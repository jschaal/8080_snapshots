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cpu6510/"/>
    </mc:Choice>
  </mc:AlternateContent>
  <xr:revisionPtr revIDLastSave="0" documentId="8_{04C30FD4-7F9C-4BB7-996B-FCEDB67D36CF}" xr6:coauthVersionLast="47" xr6:coauthVersionMax="47" xr10:uidLastSave="{00000000-0000-0000-0000-000000000000}"/>
  <bookViews>
    <workbookView xWindow="-120" yWindow="-120" windowWidth="29040" windowHeight="15720" xr2:uid="{FF5A924C-9804-4129-89EE-6B0CC68520F4}"/>
  </bookViews>
  <sheets>
    <sheet name="CPU" sheetId="2" r:id="rId1"/>
    <sheet name="Unit Tests" sheetId="5" r:id="rId2"/>
    <sheet name="Other Programs" sheetId="8" r:id="rId3"/>
    <sheet name="Export Log" sheetId="12" r:id="rId4"/>
    <sheet name="8080 Op to Hex" sheetId="6" r:id="rId5"/>
    <sheet name="Z80 Op to Hex" sheetId="13" r:id="rId6"/>
    <sheet name="6510 Op to Hex" sheetId="14" r:id="rId7"/>
    <sheet name="6510 Hex Reference" sheetId="15" r:id="rId8"/>
    <sheet name="8080 Op Codes" sheetId="1" r:id="rId9"/>
    <sheet name="Coverage" sheetId="11" r:id="rId10"/>
    <sheet name="Flag Rules" sheetId="4" r:id="rId11"/>
  </sheets>
  <functionGroups builtInGroupCount="19"/>
  <definedNames>
    <definedName name="_xlnm._FilterDatabase" localSheetId="7" hidden="1">'6510 Hex Reference'!$A$1:$F$152</definedName>
    <definedName name="_xlnm._FilterDatabase" localSheetId="6" hidden="1">'6510 Op to Hex'!$A$1:$H$152</definedName>
    <definedName name="_xlnm._FilterDatabase" localSheetId="4" hidden="1">'8080 Op to Hex'!$A$1:$K$251</definedName>
    <definedName name="_xlnm._FilterDatabase" localSheetId="1" hidden="1">'Unit Tests'!$P$5:$T$116</definedName>
    <definedName name="_xlnm._FilterDatabase" localSheetId="5" hidden="1">'Z80 Op to Hex'!$A$1:$L$637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CPU!#REF!</definedName>
    <definedName name="AtEnd">CPU!$H$20</definedName>
    <definedName name="Break">CPU!$C$17</definedName>
    <definedName name="Bytes">CPU!$S$8</definedName>
    <definedName name="Carry">CPU!$C$21</definedName>
    <definedName name="Code">CPU!$P$8:$R$1048576</definedName>
    <definedName name="CompileTest">'Unit Tests'!$N$3</definedName>
    <definedName name="consoleOut">CPU!$AA$7:$AI$18</definedName>
    <definedName name="consoleText">'Unit Tests'!$V$6</definedName>
    <definedName name="CPUMode">CPU!$AC$12</definedName>
    <definedName name="CPUTest">'Unit Tests'!$T$5</definedName>
    <definedName name="dataAddressHex">CPU!$D$23</definedName>
    <definedName name="DB">CPU!$A$24:$B$1048576</definedName>
    <definedName name="Debug">CPU!$H$5</definedName>
    <definedName name="Decimal">CPU!$C$18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CPU!$C$16</definedName>
    <definedName name="Interrupt">CPU!$C$19</definedName>
    <definedName name="Line">CPU!$N$8:$N$1048576</definedName>
    <definedName name="Line0">CPU!$N$8</definedName>
    <definedName name="line0_dec">CPU!$N$8</definedName>
    <definedName name="LT_0">'Unit Tests'!$AG$1</definedName>
    <definedName name="LT_1">'Unit Tests'!$AF$1</definedName>
    <definedName name="LT_2">'Unit Tests'!$AE$1</definedName>
    <definedName name="LT_3">'Unit Tests'!$AD$1</definedName>
    <definedName name="LT_4">'Unit Tests'!$AC$1</definedName>
    <definedName name="LT_5">'Unit Tests'!$AB$1</definedName>
    <definedName name="LT_6">'Unit Tests'!$AA$1</definedName>
    <definedName name="LT_7">'Unit Tests'!$Z$1</definedName>
    <definedName name="Max_Iters">CPU!$H$17</definedName>
    <definedName name="Mem">CPU!$S$8:$S$1008</definedName>
    <definedName name="MemEnd">CPU!$H$15</definedName>
    <definedName name="MemoryTable">CPU!$AC$15:$AJ$1070</definedName>
    <definedName name="MemoryTableAddress">CPU!$AA$15</definedName>
    <definedName name="MemSize">CPU!$H$14</definedName>
    <definedName name="MemStart">CPU!$H$13</definedName>
    <definedName name="Negative">CPU!$C$14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Overflow">CPU!$C$15</definedName>
    <definedName name="Parity">CPU!#REF!</definedName>
    <definedName name="PC">CPU!$C$10</definedName>
    <definedName name="Procedures">CPU!$AO$8</definedName>
    <definedName name="Program">CPU!$K$7:$S$1048576</definedName>
    <definedName name="R_A">CPU!$C$6</definedName>
    <definedName name="R_Ap">CPU!$C$22</definedName>
    <definedName name="R_B">CPU!#REF!</definedName>
    <definedName name="R_Bp">CPU!$C$23</definedName>
    <definedName name="R_C">CPU!#REF!</definedName>
    <definedName name="R_Cp">CPU!$C$24</definedName>
    <definedName name="R_D">CPU!#REF!</definedName>
    <definedName name="R_Dp">CPU!$C$25</definedName>
    <definedName name="R_E">CPU!#REF!</definedName>
    <definedName name="R_Ep">CPU!$C$26</definedName>
    <definedName name="R_F">CPU!$C$27</definedName>
    <definedName name="R_Fp">CPU!$C$28</definedName>
    <definedName name="R_H">CPU!#REF!</definedName>
    <definedName name="R_Hp">CPU!$C$29</definedName>
    <definedName name="R_I">CPU!$C$33</definedName>
    <definedName name="R_IX">CPU!$C$31</definedName>
    <definedName name="R_IY">CPU!$C$32</definedName>
    <definedName name="R_L">CPU!#REF!</definedName>
    <definedName name="R_Lp">CPU!$C$30</definedName>
    <definedName name="R_R">CPU!$C$34</definedName>
    <definedName name="R_X">CPU!$C$7</definedName>
    <definedName name="R_Y">CPU!$C$8</definedName>
    <definedName name="Registers">CPU!$A$6</definedName>
    <definedName name="Reset">CPU!$B$2</definedName>
    <definedName name="RunTest">'Unit Tests'!$M$3</definedName>
    <definedName name="Sign">CPU!#REF!</definedName>
    <definedName name="SkipBreaks">CPU!$H$9</definedName>
    <definedName name="SP">CPU!$C$11</definedName>
    <definedName name="SR">CPU!$C$9</definedName>
    <definedName name="stackDetails">CPU!$W$8:$Y$1008</definedName>
    <definedName name="StackStart">CPU!$H$12</definedName>
    <definedName name="stackView">CPU!$V$8</definedName>
    <definedName name="Start_PC">CPU!$B$3</definedName>
    <definedName name="Step">CPU!$B$1</definedName>
    <definedName name="Stop">CPU!$H$18</definedName>
    <definedName name="SW_0">'Unit Tests'!$AG$3</definedName>
    <definedName name="SW_1">'Unit Tests'!$AF$3</definedName>
    <definedName name="SW_2">'Unit Tests'!$AE$3</definedName>
    <definedName name="SW_3">'Unit Tests'!$AD$3</definedName>
    <definedName name="SW_4">'Unit Tests'!$AC$3</definedName>
    <definedName name="SW_5">'Unit Tests'!$AB$3</definedName>
    <definedName name="SW_6">'Unit Tests'!$AA$3</definedName>
    <definedName name="SW_7">'Unit Tests'!$Z$3</definedName>
    <definedName name="TestModel">'Unit Tests'!$A$335:$M$342</definedName>
    <definedName name="TestRunner">'Unit Tests'!$K$3</definedName>
    <definedName name="TestTable">'Unit Tests'!$P$5</definedName>
    <definedName name="Trace">CPU!$H$6</definedName>
    <definedName name="TraceLive">CPU!$H$7</definedName>
    <definedName name="TraceMemReads">CPU!$H$8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VersionNumber">'Export Log'!$A$2</definedName>
    <definedName name="Zero">CPU!$C$20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" i="5" l="1"/>
  <c r="M1" i="5"/>
  <c r="L1" i="5"/>
  <c r="K1" i="5"/>
  <c r="J1" i="5"/>
  <c r="I1" i="5"/>
  <c r="H1" i="5"/>
  <c r="N1025" i="5"/>
  <c r="M1025" i="5"/>
  <c r="L2" i="5" a="1"/>
  <c r="J2" i="5" a="1"/>
  <c r="N2" i="5" a="1"/>
  <c r="K2" i="5" a="1"/>
  <c r="I2" i="5" a="1"/>
  <c r="M2" i="5" a="1"/>
  <c r="H2" i="5" a="1"/>
  <c r="G2" i="5" a="1"/>
  <c r="F2" i="5" a="1"/>
  <c r="E2" i="5" a="1"/>
  <c r="D2" i="5" a="1"/>
  <c r="C2" i="5" a="1"/>
  <c r="B2" i="5" a="1"/>
  <c r="T14" i="2" a="1"/>
  <c r="T16" i="2" a="1"/>
  <c r="T12" i="2" a="1"/>
  <c r="T10" i="2" a="1"/>
  <c r="T20" i="2" a="1"/>
  <c r="T18" i="2" a="1"/>
  <c r="J1028" i="5" a="1"/>
  <c r="J1026" i="5" a="1"/>
  <c r="J1027" i="5" a="1"/>
  <c r="M2" i="5" l="1"/>
  <c r="I2" i="5"/>
  <c r="K2" i="5"/>
  <c r="N2" i="5"/>
  <c r="J2" i="5"/>
  <c r="L2" i="5"/>
  <c r="H2" i="5"/>
  <c r="G2" i="5"/>
  <c r="F2" i="5"/>
  <c r="E2" i="5"/>
  <c r="D2" i="5"/>
  <c r="C2" i="5"/>
  <c r="B2" i="5"/>
  <c r="T16" i="2"/>
  <c r="T14" i="2"/>
  <c r="T12" i="2"/>
  <c r="T10" i="2"/>
  <c r="T20" i="2"/>
  <c r="T18" i="2"/>
  <c r="J1028" i="5"/>
  <c r="J1026" i="5"/>
  <c r="J1027" i="5"/>
  <c r="Q125" i="5"/>
  <c r="Q124" i="5"/>
  <c r="Q123" i="5"/>
  <c r="Q122" i="5"/>
  <c r="Q121" i="5"/>
  <c r="Q120" i="5"/>
  <c r="Q119" i="5"/>
  <c r="Q118" i="5"/>
  <c r="Q117" i="5"/>
  <c r="N1011" i="5"/>
  <c r="M1011" i="5"/>
  <c r="J1012" i="5" a="1"/>
  <c r="J1013" i="5" a="1"/>
  <c r="J1025" i="5" l="1"/>
  <c r="J1013" i="5"/>
  <c r="J1012" i="5"/>
  <c r="S1070" i="2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AL14" i="2" a="1"/>
  <c r="AL14" i="2" s="1"/>
  <c r="N1000" i="5"/>
  <c r="N989" i="5"/>
  <c r="N982" i="5"/>
  <c r="N973" i="5"/>
  <c r="N967" i="5"/>
  <c r="N959" i="5"/>
  <c r="N953" i="5"/>
  <c r="N946" i="5"/>
  <c r="N937" i="5"/>
  <c r="N928" i="5"/>
  <c r="N916" i="5"/>
  <c r="N905" i="5"/>
  <c r="C901" i="5"/>
  <c r="C902" i="5" s="1"/>
  <c r="B900" i="5"/>
  <c r="N899" i="5"/>
  <c r="M899" i="5"/>
  <c r="E8" i="2"/>
  <c r="D8" i="2" s="1"/>
  <c r="E7" i="2"/>
  <c r="D7" i="2" s="1"/>
  <c r="C44" i="6"/>
  <c r="I44" i="6"/>
  <c r="J637" i="13"/>
  <c r="J636" i="13"/>
  <c r="J635" i="13"/>
  <c r="J634" i="13"/>
  <c r="J633" i="13"/>
  <c r="J632" i="13"/>
  <c r="J631" i="13"/>
  <c r="J630" i="13"/>
  <c r="J629" i="13"/>
  <c r="J628" i="13"/>
  <c r="J627" i="13"/>
  <c r="J626" i="13"/>
  <c r="J625" i="13"/>
  <c r="J624" i="13"/>
  <c r="J623" i="13"/>
  <c r="J622" i="13"/>
  <c r="J621" i="13"/>
  <c r="J620" i="13"/>
  <c r="J619" i="13"/>
  <c r="J618" i="13"/>
  <c r="J617" i="13"/>
  <c r="J616" i="13"/>
  <c r="J615" i="13"/>
  <c r="J614" i="13"/>
  <c r="J613" i="13"/>
  <c r="J612" i="13"/>
  <c r="J611" i="13"/>
  <c r="J610" i="13"/>
  <c r="J609" i="13"/>
  <c r="J608" i="13"/>
  <c r="J607" i="13"/>
  <c r="J606" i="13"/>
  <c r="J605" i="13"/>
  <c r="J604" i="13"/>
  <c r="J603" i="13"/>
  <c r="J602" i="13"/>
  <c r="J601" i="13"/>
  <c r="J600" i="13"/>
  <c r="J599" i="13"/>
  <c r="J598" i="13"/>
  <c r="J597" i="13"/>
  <c r="J596" i="13"/>
  <c r="J595" i="13"/>
  <c r="J594" i="13"/>
  <c r="J593" i="13"/>
  <c r="J592" i="13"/>
  <c r="J591" i="13"/>
  <c r="J590" i="13"/>
  <c r="J589" i="13"/>
  <c r="J588" i="13"/>
  <c r="J587" i="13"/>
  <c r="J586" i="13"/>
  <c r="J585" i="13"/>
  <c r="J584" i="13"/>
  <c r="J583" i="13"/>
  <c r="J582" i="13"/>
  <c r="J581" i="13"/>
  <c r="J580" i="13"/>
  <c r="J579" i="13"/>
  <c r="J578" i="13"/>
  <c r="J577" i="13"/>
  <c r="J576" i="13"/>
  <c r="J575" i="13"/>
  <c r="J574" i="13"/>
  <c r="J573" i="13"/>
  <c r="J572" i="13"/>
  <c r="J571" i="13"/>
  <c r="J570" i="13"/>
  <c r="J569" i="13"/>
  <c r="J568" i="13"/>
  <c r="J567" i="13"/>
  <c r="J566" i="13"/>
  <c r="J565" i="13"/>
  <c r="J564" i="13"/>
  <c r="J563" i="13"/>
  <c r="J562" i="13"/>
  <c r="J561" i="13"/>
  <c r="J560" i="13"/>
  <c r="J559" i="13"/>
  <c r="J558" i="13"/>
  <c r="J557" i="13"/>
  <c r="J556" i="13"/>
  <c r="J555" i="13"/>
  <c r="J554" i="13"/>
  <c r="J553" i="13"/>
  <c r="J552" i="13"/>
  <c r="J551" i="13"/>
  <c r="J550" i="13"/>
  <c r="J549" i="13"/>
  <c r="J548" i="13"/>
  <c r="J547" i="13"/>
  <c r="J546" i="13"/>
  <c r="J545" i="13"/>
  <c r="J544" i="13"/>
  <c r="J543" i="13"/>
  <c r="J542" i="13"/>
  <c r="J541" i="13"/>
  <c r="J540" i="13"/>
  <c r="J539" i="13"/>
  <c r="J538" i="13"/>
  <c r="J537" i="13"/>
  <c r="J536" i="13"/>
  <c r="J535" i="13"/>
  <c r="J534" i="13"/>
  <c r="J533" i="13"/>
  <c r="J532" i="13"/>
  <c r="J531" i="13"/>
  <c r="J530" i="13"/>
  <c r="J529" i="13"/>
  <c r="J528" i="13"/>
  <c r="J527" i="13"/>
  <c r="J526" i="13"/>
  <c r="J525" i="13"/>
  <c r="J524" i="13"/>
  <c r="J523" i="13"/>
  <c r="J522" i="13"/>
  <c r="J521" i="13"/>
  <c r="J520" i="13"/>
  <c r="J519" i="13"/>
  <c r="J518" i="13"/>
  <c r="J517" i="13"/>
  <c r="J516" i="13"/>
  <c r="J515" i="13"/>
  <c r="J514" i="13"/>
  <c r="J513" i="13"/>
  <c r="J512" i="13"/>
  <c r="J511" i="13"/>
  <c r="J510" i="13"/>
  <c r="J509" i="13"/>
  <c r="J508" i="13"/>
  <c r="J507" i="13"/>
  <c r="J506" i="13"/>
  <c r="J505" i="13"/>
  <c r="J504" i="13"/>
  <c r="J503" i="13"/>
  <c r="J502" i="13"/>
  <c r="J501" i="13"/>
  <c r="J500" i="13"/>
  <c r="J499" i="13"/>
  <c r="J498" i="13"/>
  <c r="J497" i="13"/>
  <c r="J496" i="13"/>
  <c r="J495" i="13"/>
  <c r="J494" i="13"/>
  <c r="J493" i="13"/>
  <c r="J492" i="13"/>
  <c r="J491" i="13"/>
  <c r="J490" i="13"/>
  <c r="J489" i="13"/>
  <c r="J488" i="13"/>
  <c r="J487" i="13"/>
  <c r="J486" i="13"/>
  <c r="J485" i="13"/>
  <c r="J484" i="13"/>
  <c r="J483" i="13"/>
  <c r="J482" i="13"/>
  <c r="J481" i="13"/>
  <c r="J480" i="13"/>
  <c r="J479" i="13"/>
  <c r="J478" i="13"/>
  <c r="J477" i="13"/>
  <c r="J476" i="13"/>
  <c r="J475" i="13"/>
  <c r="J474" i="13"/>
  <c r="J473" i="13"/>
  <c r="J472" i="13"/>
  <c r="J471" i="13"/>
  <c r="J470" i="13"/>
  <c r="J469" i="13"/>
  <c r="J468" i="13"/>
  <c r="J467" i="13"/>
  <c r="J466" i="13"/>
  <c r="J465" i="13"/>
  <c r="J464" i="13"/>
  <c r="J463" i="13"/>
  <c r="J462" i="13"/>
  <c r="J461" i="13"/>
  <c r="J460" i="13"/>
  <c r="J459" i="13"/>
  <c r="J458" i="13"/>
  <c r="J457" i="13"/>
  <c r="J456" i="13"/>
  <c r="J455" i="13"/>
  <c r="J454" i="13"/>
  <c r="J453" i="13"/>
  <c r="J452" i="13"/>
  <c r="J451" i="13"/>
  <c r="J450" i="13"/>
  <c r="J449" i="13"/>
  <c r="J448" i="13"/>
  <c r="J447" i="13"/>
  <c r="J446" i="13"/>
  <c r="J445" i="13"/>
  <c r="J444" i="13"/>
  <c r="J443" i="13"/>
  <c r="J442" i="13"/>
  <c r="J441" i="13"/>
  <c r="J440" i="13"/>
  <c r="J439" i="13"/>
  <c r="J438" i="13"/>
  <c r="J437" i="13"/>
  <c r="J436" i="13"/>
  <c r="J435" i="13"/>
  <c r="J434" i="13"/>
  <c r="J433" i="13"/>
  <c r="J432" i="13"/>
  <c r="J431" i="13"/>
  <c r="J430" i="13"/>
  <c r="J429" i="13"/>
  <c r="J428" i="13"/>
  <c r="J427" i="13"/>
  <c r="J426" i="13"/>
  <c r="J425" i="13"/>
  <c r="J424" i="13"/>
  <c r="J423" i="13"/>
  <c r="J422" i="13"/>
  <c r="J421" i="13"/>
  <c r="J420" i="13"/>
  <c r="J419" i="13"/>
  <c r="J418" i="13"/>
  <c r="J417" i="13"/>
  <c r="J416" i="13"/>
  <c r="J415" i="13"/>
  <c r="J414" i="13"/>
  <c r="J413" i="13"/>
  <c r="J412" i="13"/>
  <c r="J411" i="13"/>
  <c r="J410" i="13"/>
  <c r="J409" i="13"/>
  <c r="J408" i="13"/>
  <c r="J407" i="13"/>
  <c r="J406" i="13"/>
  <c r="J405" i="13"/>
  <c r="J404" i="13"/>
  <c r="J403" i="13"/>
  <c r="J402" i="13"/>
  <c r="J401" i="13"/>
  <c r="J400" i="13"/>
  <c r="J399" i="13"/>
  <c r="J398" i="13"/>
  <c r="J397" i="13"/>
  <c r="J396" i="13"/>
  <c r="J395" i="13"/>
  <c r="J394" i="13"/>
  <c r="J393" i="13"/>
  <c r="J392" i="13"/>
  <c r="J391" i="13"/>
  <c r="J390" i="13"/>
  <c r="J389" i="13"/>
  <c r="J388" i="13"/>
  <c r="J387" i="13"/>
  <c r="J386" i="13"/>
  <c r="J385" i="13"/>
  <c r="J384" i="13"/>
  <c r="J383" i="13"/>
  <c r="J382" i="13"/>
  <c r="J381" i="13"/>
  <c r="J380" i="13"/>
  <c r="J379" i="13"/>
  <c r="J378" i="13"/>
  <c r="J377" i="13"/>
  <c r="J376" i="13"/>
  <c r="J375" i="13"/>
  <c r="J374" i="13"/>
  <c r="J373" i="13"/>
  <c r="J372" i="13"/>
  <c r="J371" i="13"/>
  <c r="J370" i="13"/>
  <c r="J369" i="13"/>
  <c r="J368" i="13"/>
  <c r="J367" i="13"/>
  <c r="J366" i="13"/>
  <c r="J365" i="13"/>
  <c r="J364" i="13"/>
  <c r="J363" i="13"/>
  <c r="J362" i="13"/>
  <c r="J361" i="13"/>
  <c r="J360" i="13"/>
  <c r="J359" i="13"/>
  <c r="J358" i="13"/>
  <c r="J357" i="13"/>
  <c r="J356" i="13"/>
  <c r="J355" i="13"/>
  <c r="J354" i="13"/>
  <c r="J353" i="13"/>
  <c r="J352" i="13"/>
  <c r="J351" i="13"/>
  <c r="J350" i="13"/>
  <c r="J349" i="13"/>
  <c r="J348" i="13"/>
  <c r="J347" i="13"/>
  <c r="J346" i="13"/>
  <c r="J345" i="13"/>
  <c r="J344" i="13"/>
  <c r="J343" i="13"/>
  <c r="J342" i="13"/>
  <c r="J341" i="13"/>
  <c r="J340" i="13"/>
  <c r="J339" i="13"/>
  <c r="J338" i="13"/>
  <c r="J337" i="13"/>
  <c r="J336" i="13"/>
  <c r="J335" i="13"/>
  <c r="J334" i="13"/>
  <c r="J333" i="13"/>
  <c r="J332" i="13"/>
  <c r="J331" i="13"/>
  <c r="J330" i="13"/>
  <c r="J329" i="13"/>
  <c r="J328" i="13"/>
  <c r="J327" i="13"/>
  <c r="J326" i="13"/>
  <c r="J325" i="13"/>
  <c r="J324" i="13"/>
  <c r="J323" i="13"/>
  <c r="J322" i="13"/>
  <c r="J321" i="13"/>
  <c r="J320" i="13"/>
  <c r="J319" i="13"/>
  <c r="J318" i="13"/>
  <c r="J317" i="13"/>
  <c r="J316" i="13"/>
  <c r="J315" i="13"/>
  <c r="J314" i="13"/>
  <c r="J313" i="13"/>
  <c r="J312" i="13"/>
  <c r="J311" i="13"/>
  <c r="J310" i="13"/>
  <c r="J309" i="13"/>
  <c r="J308" i="13"/>
  <c r="J307" i="13"/>
  <c r="J306" i="13"/>
  <c r="J305" i="13"/>
  <c r="J304" i="13"/>
  <c r="J303" i="13"/>
  <c r="J302" i="13"/>
  <c r="J301" i="13"/>
  <c r="J300" i="13"/>
  <c r="J299" i="13"/>
  <c r="J298" i="13"/>
  <c r="J297" i="13"/>
  <c r="J296" i="13"/>
  <c r="J295" i="13"/>
  <c r="J294" i="13"/>
  <c r="J293" i="13"/>
  <c r="J292" i="13"/>
  <c r="J291" i="13"/>
  <c r="J290" i="13"/>
  <c r="J289" i="13"/>
  <c r="J288" i="13"/>
  <c r="J287" i="13"/>
  <c r="J286" i="13"/>
  <c r="J285" i="13"/>
  <c r="J284" i="13"/>
  <c r="J283" i="13"/>
  <c r="J282" i="13"/>
  <c r="J281" i="13"/>
  <c r="J280" i="13"/>
  <c r="J279" i="13"/>
  <c r="J278" i="13"/>
  <c r="J277" i="13"/>
  <c r="J276" i="13"/>
  <c r="J275" i="13"/>
  <c r="J274" i="13"/>
  <c r="J273" i="13"/>
  <c r="J272" i="13"/>
  <c r="J271" i="13"/>
  <c r="J270" i="13"/>
  <c r="J269" i="13"/>
  <c r="J268" i="13"/>
  <c r="J267" i="13"/>
  <c r="J266" i="13"/>
  <c r="J265" i="13"/>
  <c r="J264" i="13"/>
  <c r="J263" i="13"/>
  <c r="J262" i="13"/>
  <c r="J261" i="13"/>
  <c r="J260" i="13"/>
  <c r="J259" i="13"/>
  <c r="J258" i="13"/>
  <c r="J257" i="13"/>
  <c r="J256" i="13"/>
  <c r="J255" i="13"/>
  <c r="J254" i="13"/>
  <c r="J253" i="13"/>
  <c r="J252" i="13"/>
  <c r="J251" i="13"/>
  <c r="J250" i="13"/>
  <c r="J249" i="13"/>
  <c r="J248" i="13"/>
  <c r="J247" i="13"/>
  <c r="J246" i="13"/>
  <c r="J245" i="13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S38" i="2" a="1"/>
  <c r="S37" i="2" a="1"/>
  <c r="S36" i="2" a="1"/>
  <c r="S32" i="2" a="1"/>
  <c r="S39" i="2" a="1"/>
  <c r="S40" i="2" a="1"/>
  <c r="S33" i="2" a="1"/>
  <c r="S35" i="2" a="1"/>
  <c r="S34" i="2" a="1"/>
  <c r="S8" i="2" a="1"/>
  <c r="K596" i="13" a="1"/>
  <c r="J54" i="6" a="1"/>
  <c r="J15" i="6" a="1"/>
  <c r="K487" i="13" a="1"/>
  <c r="J91" i="6" a="1"/>
  <c r="K406" i="13" a="1"/>
  <c r="J147" i="6" a="1"/>
  <c r="J173" i="6" a="1"/>
  <c r="J249" i="6" a="1"/>
  <c r="K531" i="13" a="1"/>
  <c r="K608" i="13" a="1"/>
  <c r="K382" i="13" a="1"/>
  <c r="K282" i="13" a="1"/>
  <c r="K554" i="13" a="1"/>
  <c r="K70" i="13" a="1"/>
  <c r="J10" i="6" a="1"/>
  <c r="K459" i="13" a="1"/>
  <c r="K150" i="13" a="1"/>
  <c r="K199" i="13" a="1"/>
  <c r="J109" i="6" a="1"/>
  <c r="J104" i="6" a="1"/>
  <c r="K414" i="13" a="1"/>
  <c r="K587" i="13" a="1"/>
  <c r="J139" i="6" a="1"/>
  <c r="J197" i="6" a="1"/>
  <c r="K559" i="13" a="1"/>
  <c r="J116" i="6" a="1"/>
  <c r="K448" i="13" a="1"/>
  <c r="K348" i="13" a="1"/>
  <c r="K343" i="13" a="1"/>
  <c r="K616" i="13" a="1"/>
  <c r="K532" i="13" a="1"/>
  <c r="K361" i="13" a="1"/>
  <c r="J214" i="6" a="1"/>
  <c r="J158" i="6" a="1"/>
  <c r="J159" i="6" a="1"/>
  <c r="J234" i="6" a="1"/>
  <c r="J85" i="6" a="1"/>
  <c r="J246" i="6" a="1"/>
  <c r="J149" i="6" a="1"/>
  <c r="K556" i="13" a="1"/>
  <c r="K420" i="13" a="1"/>
  <c r="K425" i="13" a="1"/>
  <c r="J44" i="6" a="1"/>
  <c r="K493" i="13" a="1"/>
  <c r="J88" i="6" a="1"/>
  <c r="K525" i="13" a="1"/>
  <c r="K565" i="13" a="1"/>
  <c r="J233" i="6" a="1"/>
  <c r="K514" i="13" a="1"/>
  <c r="K325" i="13" a="1"/>
  <c r="K510" i="13" a="1"/>
  <c r="S23" i="2" a="1"/>
  <c r="S14" i="2" a="1"/>
  <c r="K545" i="13" a="1"/>
  <c r="J59" i="6" a="1"/>
  <c r="K66" i="13" a="1"/>
  <c r="K252" i="13" a="1"/>
  <c r="J160" i="6" a="1"/>
  <c r="K317" i="13" a="1"/>
  <c r="K338" i="13" a="1"/>
  <c r="J132" i="6" a="1"/>
  <c r="J220" i="6" a="1"/>
  <c r="K442" i="13" a="1"/>
  <c r="J196" i="6" a="1"/>
  <c r="S20" i="2" a="1"/>
  <c r="J201" i="6" a="1"/>
  <c r="J34" i="6" a="1"/>
  <c r="J62" i="6" a="1"/>
  <c r="K454" i="13" a="1"/>
  <c r="J193" i="6" a="1"/>
  <c r="K580" i="13" a="1"/>
  <c r="S18" i="2" a="1"/>
  <c r="J65" i="6" a="1"/>
  <c r="J170" i="6" a="1"/>
  <c r="J227" i="6" a="1"/>
  <c r="S13" i="2" a="1"/>
  <c r="J49" i="6" a="1"/>
  <c r="K440" i="13" a="1"/>
  <c r="K385" i="13" a="1"/>
  <c r="J250" i="6" a="1"/>
  <c r="J124" i="6" a="1"/>
  <c r="S24" i="2" a="1"/>
  <c r="J98" i="6" a="1"/>
  <c r="K542" i="13" a="1"/>
  <c r="K307" i="13" a="1"/>
  <c r="J66" i="6" a="1"/>
  <c r="K428" i="13" a="1"/>
  <c r="J45" i="6" a="1"/>
  <c r="J40" i="6" a="1"/>
  <c r="J47" i="6" a="1"/>
  <c r="K342" i="13" a="1"/>
  <c r="K469" i="13" a="1"/>
  <c r="K607" i="13" a="1"/>
  <c r="K522" i="13" a="1"/>
  <c r="J26" i="6" a="1"/>
  <c r="K386" i="13" a="1"/>
  <c r="J131" i="6" a="1"/>
  <c r="J228" i="6" a="1"/>
  <c r="K472" i="13" a="1"/>
  <c r="K482" i="13" a="1"/>
  <c r="K599" i="13" a="1"/>
  <c r="J92" i="6" a="1"/>
  <c r="J103" i="6" a="1"/>
  <c r="J107" i="6" a="1"/>
  <c r="K270" i="13" a="1"/>
  <c r="K523" i="13" a="1"/>
  <c r="J102" i="6" a="1"/>
  <c r="J182" i="6" a="1"/>
  <c r="J217" i="6" a="1"/>
  <c r="K483" i="13" a="1"/>
  <c r="K463" i="13" a="1"/>
  <c r="K605" i="13" a="1"/>
  <c r="K485" i="13" a="1"/>
  <c r="J161" i="6" a="1"/>
  <c r="K601" i="13" a="1"/>
  <c r="K614" i="13" a="1"/>
  <c r="J180" i="6" a="1"/>
  <c r="J195" i="6" a="1"/>
  <c r="K398" i="13" a="1"/>
  <c r="K632" i="13" a="1"/>
  <c r="J144" i="6" a="1"/>
  <c r="K411" i="13" a="1"/>
  <c r="J33" i="6" a="1"/>
  <c r="K408" i="13" a="1"/>
  <c r="K461" i="13" a="1"/>
  <c r="K540" i="13" a="1"/>
  <c r="K578" i="13" a="1"/>
  <c r="K566" i="13" a="1"/>
  <c r="K335" i="13" a="1"/>
  <c r="K379" i="13" a="1"/>
  <c r="J101" i="6" a="1"/>
  <c r="J18" i="6" a="1"/>
  <c r="K390" i="13" a="1"/>
  <c r="K352" i="13" a="1"/>
  <c r="S17" i="2" a="1"/>
  <c r="J185" i="6" a="1"/>
  <c r="K592" i="13" a="1"/>
  <c r="J156" i="6" a="1"/>
  <c r="S29" i="2" a="1"/>
  <c r="K475" i="13" a="1"/>
  <c r="J71" i="6" a="1"/>
  <c r="J133" i="6" a="1"/>
  <c r="K450" i="13" a="1"/>
  <c r="K553" i="13" a="1"/>
  <c r="J118" i="6" a="1"/>
  <c r="K618" i="13" a="1"/>
  <c r="K499" i="13" a="1"/>
  <c r="K426" i="13" a="1"/>
  <c r="S9" i="2" a="1"/>
  <c r="K445" i="13" a="1"/>
  <c r="K50" i="13" a="1"/>
  <c r="J30" i="6" a="1"/>
  <c r="K37" i="13" a="1"/>
  <c r="J163" i="6" a="1"/>
  <c r="K634" i="13" a="1"/>
  <c r="J140" i="6" a="1"/>
  <c r="K443" i="13" a="1"/>
  <c r="K391" i="13" a="1"/>
  <c r="K370" i="13" a="1"/>
  <c r="K451" i="13" a="1"/>
  <c r="K577" i="13" a="1"/>
  <c r="K624" i="13" a="1"/>
  <c r="J77" i="6" a="1"/>
  <c r="K630" i="13" a="1"/>
  <c r="K444" i="13" a="1"/>
  <c r="K563" i="13" a="1"/>
  <c r="K479" i="13" a="1"/>
  <c r="K14" i="13" a="1"/>
  <c r="J222" i="6" a="1"/>
  <c r="J240" i="6" a="1"/>
  <c r="J231" i="6" a="1"/>
  <c r="K341" i="13" a="1"/>
  <c r="J117" i="6" a="1"/>
  <c r="K511" i="13" a="1"/>
  <c r="K464" i="13" a="1"/>
  <c r="K39" i="13" a="1"/>
  <c r="K602" i="13" a="1"/>
  <c r="J208" i="6" a="1"/>
  <c r="K404" i="13" a="1"/>
  <c r="K633" i="13" a="1"/>
  <c r="K503" i="13" a="1"/>
  <c r="K397" i="13" a="1"/>
  <c r="K368" i="13" a="1"/>
  <c r="J126" i="6" a="1"/>
  <c r="J119" i="6" a="1"/>
  <c r="K467" i="13" a="1"/>
  <c r="K400" i="13" a="1"/>
  <c r="J2" i="6" a="1"/>
  <c r="K27" i="13" a="1"/>
  <c r="K457" i="13" a="1"/>
  <c r="J110" i="6" a="1"/>
  <c r="J206" i="6" a="1"/>
  <c r="K568" i="13" a="1"/>
  <c r="J43" i="6" a="1"/>
  <c r="K322" i="13" a="1"/>
  <c r="K530" i="13" a="1"/>
  <c r="J69" i="6" a="1"/>
  <c r="K583" i="13" a="1"/>
  <c r="K438" i="13" a="1"/>
  <c r="K495" i="13" a="1"/>
  <c r="J80" i="6" a="1"/>
  <c r="J14" i="6" a="1"/>
  <c r="K524" i="13" a="1"/>
  <c r="J63" i="6" a="1"/>
  <c r="K409" i="13" a="1"/>
  <c r="J95" i="6" a="1"/>
  <c r="K516" i="13" a="1"/>
  <c r="K513" i="13" a="1"/>
  <c r="K394" i="13" a="1"/>
  <c r="J194" i="6" a="1"/>
  <c r="K539" i="13" a="1"/>
  <c r="K413" i="13" a="1"/>
  <c r="J152" i="6" a="1"/>
  <c r="K412" i="13" a="1"/>
  <c r="J99" i="6" a="1"/>
  <c r="K593" i="13" a="1"/>
  <c r="K355" i="13" a="1"/>
  <c r="J75" i="6" a="1"/>
  <c r="K481" i="13" a="1"/>
  <c r="J166" i="6" a="1"/>
  <c r="S10" i="2" a="1"/>
  <c r="J128" i="6" a="1"/>
  <c r="J172" i="6" a="1"/>
  <c r="J23" i="6" a="1"/>
  <c r="J129" i="6" a="1"/>
  <c r="J130" i="6" a="1"/>
  <c r="K410" i="13" a="1"/>
  <c r="K144" i="13" a="1"/>
  <c r="K606" i="13" a="1"/>
  <c r="J248" i="6" a="1"/>
  <c r="J37" i="6" a="1"/>
  <c r="K377" i="13" a="1"/>
  <c r="K373" i="13" a="1"/>
  <c r="K41" i="13" a="1"/>
  <c r="K378" i="13" a="1"/>
  <c r="K519" i="13" a="1"/>
  <c r="K200" i="13" a="1"/>
  <c r="J203" i="6" a="1"/>
  <c r="K376" i="13" a="1"/>
  <c r="K527" i="13" a="1"/>
  <c r="J178" i="6" a="1"/>
  <c r="K383" i="13" a="1"/>
  <c r="K536" i="13" a="1"/>
  <c r="J165" i="6" a="1"/>
  <c r="K558" i="13" a="1"/>
  <c r="K15" i="13" a="1"/>
  <c r="K549" i="13" a="1"/>
  <c r="K494" i="13" a="1"/>
  <c r="K323" i="13" a="1"/>
  <c r="J232" i="6" a="1"/>
  <c r="K125" i="13" a="1"/>
  <c r="K541" i="13" a="1"/>
  <c r="J53" i="6" a="1"/>
  <c r="J112" i="6" a="1"/>
  <c r="J96" i="6" a="1"/>
  <c r="J83" i="6" a="1"/>
  <c r="J52" i="6" a="1"/>
  <c r="K399" i="13" a="1"/>
  <c r="K427" i="13" a="1"/>
  <c r="K488" i="13" a="1"/>
  <c r="J174" i="6" a="1"/>
  <c r="J200" i="6" a="1"/>
  <c r="K18" i="13" a="1"/>
  <c r="K460" i="13" a="1"/>
  <c r="J155" i="6" a="1"/>
  <c r="J29" i="6" a="1"/>
  <c r="J239" i="6" a="1"/>
  <c r="K418" i="13" a="1"/>
  <c r="J50" i="6" a="1"/>
  <c r="J11" i="6" a="1"/>
  <c r="J81" i="6" a="1"/>
  <c r="K598" i="13" a="1"/>
  <c r="K371" i="13" a="1"/>
  <c r="K372" i="13" a="1"/>
  <c r="J134" i="6" a="1"/>
  <c r="J175" i="6" a="1"/>
  <c r="J230" i="6" a="1"/>
  <c r="K628" i="13" a="1"/>
  <c r="K456" i="13" a="1"/>
  <c r="J207" i="6" a="1"/>
  <c r="K621" i="13" a="1"/>
  <c r="J120" i="6" a="1"/>
  <c r="J205" i="6" a="1"/>
  <c r="K489" i="13" a="1"/>
  <c r="K281" i="13" a="1"/>
  <c r="J13" i="6" a="1"/>
  <c r="J145" i="6" a="1"/>
  <c r="K402" i="13" a="1"/>
  <c r="J36" i="6" a="1"/>
  <c r="K581" i="13" a="1"/>
  <c r="K319" i="13" a="1"/>
  <c r="J46" i="6" a="1"/>
  <c r="K573" i="13" a="1"/>
  <c r="K468" i="13" a="1"/>
  <c r="K582" i="13" a="1"/>
  <c r="K441" i="13" a="1"/>
  <c r="K422" i="13" a="1"/>
  <c r="K529" i="13" a="1"/>
  <c r="K579" i="13" a="1"/>
  <c r="K484" i="13" a="1"/>
  <c r="K340" i="13" a="1"/>
  <c r="J183" i="6" a="1"/>
  <c r="J153" i="6" a="1"/>
  <c r="J199" i="6" a="1"/>
  <c r="J226" i="6" a="1"/>
  <c r="J190" i="6" a="1"/>
  <c r="J48" i="6" a="1"/>
  <c r="J114" i="6" a="1"/>
  <c r="K455" i="13" a="1"/>
  <c r="K544" i="13" a="1"/>
  <c r="S22" i="2" a="1"/>
  <c r="S11" i="2" a="1"/>
  <c r="J245" i="6" a="1"/>
  <c r="K381" i="13" a="1"/>
  <c r="K437" i="13" a="1"/>
  <c r="S31" i="2" a="1"/>
  <c r="K193" i="13" a="1"/>
  <c r="K490" i="13" a="1"/>
  <c r="J78" i="6" a="1"/>
  <c r="J168" i="6" a="1"/>
  <c r="K366" i="13" a="1"/>
  <c r="K126" i="13" a="1"/>
  <c r="J41" i="6" a="1"/>
  <c r="J218" i="6" a="1"/>
  <c r="J181" i="6" a="1"/>
  <c r="S28" i="2" a="1"/>
  <c r="K588" i="13" a="1"/>
  <c r="J223" i="6" a="1"/>
  <c r="K557" i="13" a="1"/>
  <c r="K627" i="13" a="1"/>
  <c r="S30" i="2" a="1"/>
  <c r="K604" i="13" a="1"/>
  <c r="K498" i="13" a="1"/>
  <c r="K334" i="13" a="1"/>
  <c r="K320" i="13" a="1"/>
  <c r="K520" i="13" a="1"/>
  <c r="K517" i="13" a="1"/>
  <c r="J42" i="6" a="1"/>
  <c r="K591" i="13" a="1"/>
  <c r="K363" i="13" a="1"/>
  <c r="K115" i="13" a="1"/>
  <c r="J221" i="6" a="1"/>
  <c r="K551" i="13" a="1"/>
  <c r="J74" i="6" a="1"/>
  <c r="K11" i="13" a="1"/>
  <c r="K419" i="13" a="1"/>
  <c r="J135" i="6" a="1"/>
  <c r="J89" i="6" a="1"/>
  <c r="K429" i="13" a="1"/>
  <c r="J251" i="6" a="1"/>
  <c r="J82" i="6" a="1"/>
  <c r="J123" i="6" a="1"/>
  <c r="J3" i="6" a="1"/>
  <c r="K436" i="13" a="1"/>
  <c r="K617" i="13" a="1"/>
  <c r="K501" i="13" a="1"/>
  <c r="K321" i="13" a="1"/>
  <c r="J125" i="6" a="1"/>
  <c r="K36" i="13" a="1"/>
  <c r="K570" i="13" a="1"/>
  <c r="K613" i="13" a="1"/>
  <c r="K555" i="13" a="1"/>
  <c r="K364" i="13" a="1"/>
  <c r="J35" i="6" a="1"/>
  <c r="K478" i="13" a="1"/>
  <c r="J73" i="6" a="1"/>
  <c r="K350" i="13" a="1"/>
  <c r="K560" i="13" a="1"/>
  <c r="K234" i="13" a="1"/>
  <c r="J106" i="6" a="1"/>
  <c r="K40" i="13" a="1"/>
  <c r="K594" i="13" a="1"/>
  <c r="J247" i="6" a="1"/>
  <c r="K330" i="13" a="1"/>
  <c r="K403" i="13" a="1"/>
  <c r="J186" i="6" a="1"/>
  <c r="K492" i="13" a="1"/>
  <c r="K502" i="13" a="1"/>
  <c r="J115" i="6" a="1"/>
  <c r="J94" i="6" a="1"/>
  <c r="J191" i="6" a="1"/>
  <c r="K407" i="13" a="1"/>
  <c r="K423" i="13" a="1"/>
  <c r="J24" i="6" a="1"/>
  <c r="J105" i="6" a="1"/>
  <c r="K358" i="13" a="1"/>
  <c r="K465" i="13" a="1"/>
  <c r="J21" i="6" a="1"/>
  <c r="K221" i="13" a="1"/>
  <c r="K380" i="13" a="1"/>
  <c r="K571" i="13" a="1"/>
  <c r="K384" i="13" a="1"/>
  <c r="J38" i="6" a="1"/>
  <c r="J25" i="6" a="1"/>
  <c r="S21" i="2" a="1"/>
  <c r="S12" i="2" a="1"/>
  <c r="K584" i="13" a="1"/>
  <c r="K431" i="13" a="1"/>
  <c r="J154" i="6" a="1"/>
  <c r="J93" i="6" a="1"/>
  <c r="K470" i="13" a="1"/>
  <c r="K16" i="13" a="1"/>
  <c r="K42" i="13" a="1"/>
  <c r="J39" i="6" a="1"/>
  <c r="K416" i="13" a="1"/>
  <c r="J58" i="6" a="1"/>
  <c r="J179" i="6" a="1"/>
  <c r="K537" i="13" a="1"/>
  <c r="K286" i="13" a="1"/>
  <c r="K550" i="13" a="1"/>
  <c r="K359" i="13" a="1"/>
  <c r="K564" i="13" a="1"/>
  <c r="J187" i="6" a="1"/>
  <c r="K508" i="13" a="1"/>
  <c r="K351" i="13" a="1"/>
  <c r="J243" i="6" a="1"/>
  <c r="J148" i="6" a="1"/>
  <c r="K198" i="13" a="1"/>
  <c r="J184" i="6" a="1"/>
  <c r="K612" i="13" a="1"/>
  <c r="K345" i="13" a="1"/>
  <c r="J167" i="6" a="1"/>
  <c r="K462" i="13" a="1"/>
  <c r="K496" i="13" a="1"/>
  <c r="K392" i="13" a="1"/>
  <c r="K595" i="13" a="1"/>
  <c r="K453" i="13" a="1"/>
  <c r="S15" i="2" a="1"/>
  <c r="J150" i="6" a="1"/>
  <c r="J111" i="6" a="1"/>
  <c r="J188" i="6" a="1"/>
  <c r="K533" i="13" a="1"/>
  <c r="J113" i="6" a="1"/>
  <c r="J157" i="6" a="1"/>
  <c r="K528" i="13" a="1"/>
  <c r="K574" i="13" a="1"/>
  <c r="K535" i="13" a="1"/>
  <c r="J192" i="6" a="1"/>
  <c r="J164" i="6" a="1"/>
  <c r="K458" i="13" a="1"/>
  <c r="K38" i="13" a="1"/>
  <c r="J20" i="6" a="1"/>
  <c r="J27" i="6" a="1"/>
  <c r="K473" i="13" a="1"/>
  <c r="K447" i="13" a="1"/>
  <c r="K512" i="13" a="1"/>
  <c r="K507" i="13" a="1"/>
  <c r="J202" i="6" a="1"/>
  <c r="J177" i="6" a="1"/>
  <c r="K332" i="13" a="1"/>
  <c r="K449" i="13" a="1"/>
  <c r="K515" i="13" a="1"/>
  <c r="K143" i="13" a="1"/>
  <c r="J7" i="6" a="1"/>
  <c r="K417" i="13" a="1"/>
  <c r="K506" i="13" a="1"/>
  <c r="K178" i="13" a="1"/>
  <c r="J32" i="6" a="1"/>
  <c r="J210" i="6" a="1"/>
  <c r="J67" i="6" a="1"/>
  <c r="K421" i="13" a="1"/>
  <c r="K521" i="13" a="1"/>
  <c r="K636" i="13" a="1"/>
  <c r="K476" i="13" a="1"/>
  <c r="K526" i="13" a="1"/>
  <c r="K434" i="13" a="1"/>
  <c r="J198" i="6" a="1"/>
  <c r="S25" i="2" a="1"/>
  <c r="K575" i="13" a="1"/>
  <c r="J189" i="6" a="1"/>
  <c r="K356" i="13" a="1"/>
  <c r="J219" i="6" a="1"/>
  <c r="K600" i="13" a="1"/>
  <c r="K474" i="13" a="1"/>
  <c r="K547" i="13" a="1"/>
  <c r="J213" i="6" a="1"/>
  <c r="K505" i="13" a="1"/>
  <c r="J225" i="6" a="1"/>
  <c r="J215" i="6" a="1"/>
  <c r="K548" i="13" a="1"/>
  <c r="K635" i="13" a="1"/>
  <c r="K589" i="13" a="1"/>
  <c r="J84" i="6" a="1"/>
  <c r="J9" i="6" a="1"/>
  <c r="K374" i="13" a="1"/>
  <c r="K597" i="13" a="1"/>
  <c r="K518" i="13" a="1"/>
  <c r="J212" i="6" a="1"/>
  <c r="K446" i="13" a="1"/>
  <c r="K561" i="13" a="1"/>
  <c r="K620" i="13" a="1"/>
  <c r="K318" i="13" a="1"/>
  <c r="J137" i="6" a="1"/>
  <c r="J55" i="6" a="1"/>
  <c r="J72" i="6" a="1"/>
  <c r="J28" i="6" a="1"/>
  <c r="J171" i="6" a="1"/>
  <c r="K497" i="13" a="1"/>
  <c r="K142" i="13" a="1"/>
  <c r="J237" i="6" a="1"/>
  <c r="J70" i="6" a="1"/>
  <c r="K182" i="13" a="1"/>
  <c r="K147" i="13" a="1"/>
  <c r="K552" i="13" a="1"/>
  <c r="K367" i="13" a="1"/>
  <c r="K349" i="13" a="1"/>
  <c r="K590" i="13" a="1"/>
  <c r="K337" i="13" a="1"/>
  <c r="J238" i="6" a="1"/>
  <c r="J211" i="6" a="1"/>
  <c r="J143" i="6" a="1"/>
  <c r="J22" i="6" a="1"/>
  <c r="K504" i="13" a="1"/>
  <c r="K509" i="13" a="1"/>
  <c r="K585" i="13" a="1"/>
  <c r="J6" i="6" a="1"/>
  <c r="K277" i="13" a="1"/>
  <c r="K331" i="13" a="1"/>
  <c r="K365" i="13" a="1"/>
  <c r="K415" i="13" a="1"/>
  <c r="K609" i="13" a="1"/>
  <c r="K177" i="13" a="1"/>
  <c r="J209" i="6" a="1"/>
  <c r="K336" i="13" a="1"/>
  <c r="K626" i="13" a="1"/>
  <c r="K353" i="13" a="1"/>
  <c r="K619" i="13" a="1"/>
  <c r="J146" i="6" a="1"/>
  <c r="J64" i="6" a="1"/>
  <c r="K214" i="13" a="1"/>
  <c r="K546" i="13" a="1"/>
  <c r="J5" i="6" a="1"/>
  <c r="K78" i="13" a="1"/>
  <c r="J51" i="6" a="1"/>
  <c r="K466" i="13" a="1"/>
  <c r="K631" i="13" a="1"/>
  <c r="J127" i="6" a="1"/>
  <c r="K388" i="13" a="1"/>
  <c r="K611" i="13" a="1"/>
  <c r="K543" i="13" a="1"/>
  <c r="K615" i="13" a="1"/>
  <c r="K610" i="13" a="1"/>
  <c r="S27" i="2" a="1"/>
  <c r="S19" i="2" a="1"/>
  <c r="K435" i="13" a="1"/>
  <c r="J236" i="6" a="1"/>
  <c r="K401" i="13" a="1"/>
  <c r="K167" i="13" a="1"/>
  <c r="J169" i="6" a="1"/>
  <c r="K10" i="13" a="1"/>
  <c r="K2" i="13" a="1"/>
  <c r="K362" i="13" a="1"/>
  <c r="J244" i="6" a="1"/>
  <c r="J16" i="6" a="1"/>
  <c r="K500" i="13" a="1"/>
  <c r="K393" i="13" a="1"/>
  <c r="J86" i="6" a="1"/>
  <c r="K185" i="13" a="1"/>
  <c r="J57" i="6" a="1"/>
  <c r="K432" i="13" a="1"/>
  <c r="K622" i="13" a="1"/>
  <c r="K586" i="13" a="1"/>
  <c r="J19" i="6" a="1"/>
  <c r="K480" i="13" a="1"/>
  <c r="K567" i="13" a="1"/>
  <c r="J90" i="6" a="1"/>
  <c r="J242" i="6" a="1"/>
  <c r="K347" i="13" a="1"/>
  <c r="J17" i="6" a="1"/>
  <c r="K471" i="13" a="1"/>
  <c r="J100" i="6" a="1"/>
  <c r="K329" i="13" a="1"/>
  <c r="K486" i="13" a="1"/>
  <c r="J76" i="6" a="1"/>
  <c r="K452" i="13" a="1"/>
  <c r="K534" i="13" a="1"/>
  <c r="J108" i="6" a="1"/>
  <c r="K316" i="13" a="1"/>
  <c r="J224" i="6" a="1"/>
  <c r="K315" i="13" a="1"/>
  <c r="K538" i="13" a="1"/>
  <c r="K637" i="13" a="1"/>
  <c r="K433" i="13" a="1"/>
  <c r="K430" i="13" a="1"/>
  <c r="K424" i="13" a="1"/>
  <c r="J216" i="6" a="1"/>
  <c r="K439" i="13" a="1"/>
  <c r="J8" i="6" a="1"/>
  <c r="J68" i="6" a="1"/>
  <c r="K389" i="13" a="1"/>
  <c r="J87" i="6" a="1"/>
  <c r="J204" i="6" a="1"/>
  <c r="J138" i="6" a="1"/>
  <c r="K477" i="13" a="1"/>
  <c r="K395" i="13" a="1"/>
  <c r="K327" i="13" a="1"/>
  <c r="J141" i="6" a="1"/>
  <c r="J122" i="6" a="1"/>
  <c r="J136" i="6" a="1"/>
  <c r="J12" i="6" a="1"/>
  <c r="K354" i="13" a="1"/>
  <c r="K166" i="13" a="1"/>
  <c r="K387" i="13" a="1"/>
  <c r="K324" i="13" a="1"/>
  <c r="K405" i="13" a="1"/>
  <c r="K569" i="13" a="1"/>
  <c r="K562" i="13" a="1"/>
  <c r="K360" i="13" a="1"/>
  <c r="K357" i="13" a="1"/>
  <c r="K326" i="13" a="1"/>
  <c r="K491" i="13" a="1"/>
  <c r="K339" i="13" a="1"/>
  <c r="K603" i="13" a="1"/>
  <c r="J31" i="6" a="1"/>
  <c r="K369" i="13" a="1"/>
  <c r="J61" i="6" a="1"/>
  <c r="S26" i="2" a="1"/>
  <c r="S16" i="2" a="1"/>
  <c r="K333" i="13" a="1"/>
  <c r="J60" i="6" a="1"/>
  <c r="K344" i="13" a="1"/>
  <c r="K328" i="13" a="1"/>
  <c r="J121" i="6" a="1"/>
  <c r="K629" i="13" a="1"/>
  <c r="K576" i="13" a="1"/>
  <c r="J79" i="6" a="1"/>
  <c r="K625" i="13" a="1"/>
  <c r="J56" i="6" a="1"/>
  <c r="K572" i="13" a="1"/>
  <c r="J142" i="6" a="1"/>
  <c r="K375" i="13" a="1"/>
  <c r="J235" i="6" a="1"/>
  <c r="K346" i="13" a="1"/>
  <c r="J151" i="6" a="1"/>
  <c r="J4" i="6" a="1"/>
  <c r="J229" i="6" a="1"/>
  <c r="K623" i="13" a="1"/>
  <c r="J97" i="6" a="1"/>
  <c r="J176" i="6" a="1"/>
  <c r="K13" i="13" a="1"/>
  <c r="K396" i="13" a="1"/>
  <c r="J241" i="6" a="1"/>
  <c r="J162" i="6" a="1"/>
  <c r="J906" i="5" a="1"/>
  <c r="J931" i="5" a="1"/>
  <c r="J930" i="5" a="1"/>
  <c r="J975" i="5" a="1"/>
  <c r="J919" i="5" a="1"/>
  <c r="J900" i="5" a="1"/>
  <c r="J1003" i="5" a="1"/>
  <c r="J961" i="5" a="1"/>
  <c r="J938" i="5" a="1"/>
  <c r="J970" i="5" a="1"/>
  <c r="J920" i="5" a="1"/>
  <c r="J954" i="5" a="1"/>
  <c r="J908" i="5" a="1"/>
  <c r="J948" i="5" a="1"/>
  <c r="J1001" i="5" a="1"/>
  <c r="J969" i="5" a="1"/>
  <c r="J1002" i="5" a="1"/>
  <c r="J968" i="5" a="1"/>
  <c r="J962" i="5" a="1"/>
  <c r="J992" i="5" a="1"/>
  <c r="J939" i="5" a="1"/>
  <c r="J929" i="5" a="1"/>
  <c r="J971" i="5" a="1"/>
  <c r="J917" i="5" a="1"/>
  <c r="J991" i="5" a="1"/>
  <c r="J960" i="5" a="1"/>
  <c r="J955" i="5" a="1"/>
  <c r="J983" i="5" a="1"/>
  <c r="J940" i="5" a="1"/>
  <c r="J901" i="5" a="1"/>
  <c r="J990" i="5" a="1"/>
  <c r="J974" i="5" a="1"/>
  <c r="J902" i="5" a="1"/>
  <c r="J947" i="5" a="1"/>
  <c r="J907" i="5" a="1"/>
  <c r="J918" i="5" a="1"/>
  <c r="J1011" i="5" l="1"/>
  <c r="S40" i="2"/>
  <c r="S39" i="2"/>
  <c r="S21" i="2"/>
  <c r="S32" i="2"/>
  <c r="S36" i="2"/>
  <c r="S37" i="2"/>
  <c r="S38" i="2"/>
  <c r="S27" i="2"/>
  <c r="S28" i="2"/>
  <c r="S29" i="2"/>
  <c r="S30" i="2"/>
  <c r="S31" i="2"/>
  <c r="S33" i="2"/>
  <c r="S22" i="2"/>
  <c r="S34" i="2"/>
  <c r="S23" i="2"/>
  <c r="S35" i="2"/>
  <c r="S24" i="2"/>
  <c r="S25" i="2"/>
  <c r="S26" i="2"/>
  <c r="S20" i="2"/>
  <c r="S19" i="2"/>
  <c r="S17" i="2"/>
  <c r="S18" i="2"/>
  <c r="S11" i="2"/>
  <c r="S12" i="2"/>
  <c r="S14" i="2"/>
  <c r="S9" i="2"/>
  <c r="S15" i="2"/>
  <c r="S16" i="2"/>
  <c r="S13" i="2"/>
  <c r="S10" i="2"/>
  <c r="S8" i="2"/>
  <c r="J1001" i="5"/>
  <c r="J1002" i="5"/>
  <c r="J1003" i="5"/>
  <c r="J992" i="5"/>
  <c r="J991" i="5"/>
  <c r="J990" i="5"/>
  <c r="J983" i="5"/>
  <c r="J982" i="5" s="1"/>
  <c r="J975" i="5"/>
  <c r="J974" i="5"/>
  <c r="J971" i="5"/>
  <c r="J970" i="5"/>
  <c r="J969" i="5"/>
  <c r="J968" i="5"/>
  <c r="J962" i="5"/>
  <c r="J961" i="5"/>
  <c r="J960" i="5"/>
  <c r="J954" i="5"/>
  <c r="J955" i="5"/>
  <c r="J948" i="5"/>
  <c r="J947" i="5"/>
  <c r="J940" i="5"/>
  <c r="J939" i="5"/>
  <c r="J938" i="5"/>
  <c r="J931" i="5"/>
  <c r="J929" i="5"/>
  <c r="J930" i="5"/>
  <c r="J918" i="5"/>
  <c r="J919" i="5"/>
  <c r="J920" i="5"/>
  <c r="J917" i="5"/>
  <c r="C903" i="5"/>
  <c r="B903" i="5" s="1"/>
  <c r="B902" i="5"/>
  <c r="B901" i="5"/>
  <c r="J906" i="5"/>
  <c r="J907" i="5"/>
  <c r="J908" i="5"/>
  <c r="M1000" i="5"/>
  <c r="M989" i="5"/>
  <c r="M982" i="5"/>
  <c r="M973" i="5"/>
  <c r="M967" i="5"/>
  <c r="M959" i="5"/>
  <c r="M953" i="5"/>
  <c r="M946" i="5"/>
  <c r="M937" i="5"/>
  <c r="M928" i="5"/>
  <c r="M916" i="5"/>
  <c r="M905" i="5"/>
  <c r="J902" i="5"/>
  <c r="J901" i="5"/>
  <c r="J900" i="5"/>
  <c r="K636" i="13"/>
  <c r="L636" i="13" s="1"/>
  <c r="K637" i="13"/>
  <c r="L637" i="13" s="1"/>
  <c r="K629" i="13"/>
  <c r="L629" i="13" s="1"/>
  <c r="K628" i="13"/>
  <c r="L628" i="13" s="1"/>
  <c r="K617" i="13"/>
  <c r="L617" i="13" s="1"/>
  <c r="K512" i="13"/>
  <c r="L512" i="13" s="1"/>
  <c r="K475" i="13"/>
  <c r="L475" i="13" s="1"/>
  <c r="K380" i="13"/>
  <c r="L380" i="13" s="1"/>
  <c r="K352" i="13"/>
  <c r="L352" i="13" s="1"/>
  <c r="K355" i="13"/>
  <c r="L355" i="13" s="1"/>
  <c r="K353" i="13"/>
  <c r="L353" i="13" s="1"/>
  <c r="K466" i="13"/>
  <c r="L466" i="13" s="1"/>
  <c r="K600" i="13"/>
  <c r="L600" i="13" s="1"/>
  <c r="K594" i="13"/>
  <c r="L594" i="13" s="1"/>
  <c r="K346" i="13"/>
  <c r="L346" i="13" s="1"/>
  <c r="K345" i="13"/>
  <c r="L345" i="13" s="1"/>
  <c r="K344" i="13"/>
  <c r="L344" i="13" s="1"/>
  <c r="K343" i="13"/>
  <c r="L343" i="13" s="1"/>
  <c r="K342" i="13"/>
  <c r="L342" i="13" s="1"/>
  <c r="K341" i="13"/>
  <c r="L341" i="13" s="1"/>
  <c r="K335" i="13"/>
  <c r="L335" i="13" s="1"/>
  <c r="K286" i="13"/>
  <c r="L286" i="13" s="1"/>
  <c r="K277" i="13"/>
  <c r="L277" i="13" s="1"/>
  <c r="K336" i="13"/>
  <c r="L336" i="13" s="1"/>
  <c r="K282" i="13"/>
  <c r="L282" i="13" s="1"/>
  <c r="K333" i="13"/>
  <c r="L333" i="13" s="1"/>
  <c r="K338" i="13"/>
  <c r="L338" i="13" s="1"/>
  <c r="K337" i="13"/>
  <c r="L337" i="13" s="1"/>
  <c r="K334" i="13"/>
  <c r="L334" i="13" s="1"/>
  <c r="K324" i="13"/>
  <c r="L324" i="13" s="1"/>
  <c r="K332" i="13"/>
  <c r="L332" i="13" s="1"/>
  <c r="K307" i="13"/>
  <c r="L307" i="13" s="1"/>
  <c r="K281" i="13"/>
  <c r="L281" i="13" s="1"/>
  <c r="K270" i="13"/>
  <c r="L270" i="13" s="1"/>
  <c r="K252" i="13"/>
  <c r="K221" i="13"/>
  <c r="L221" i="13" s="1"/>
  <c r="K214" i="13"/>
  <c r="L214" i="13" s="1"/>
  <c r="K200" i="13"/>
  <c r="K199" i="13"/>
  <c r="K198" i="13"/>
  <c r="K193" i="13"/>
  <c r="K185" i="13"/>
  <c r="L185" i="13" s="1"/>
  <c r="K182" i="13"/>
  <c r="K178" i="13"/>
  <c r="L178" i="13" s="1"/>
  <c r="K177" i="13"/>
  <c r="L177" i="13" s="1"/>
  <c r="K167" i="13"/>
  <c r="L167" i="13" s="1"/>
  <c r="K166" i="13"/>
  <c r="K150" i="13"/>
  <c r="L150" i="13" s="1"/>
  <c r="K147" i="13"/>
  <c r="L147" i="13" s="1"/>
  <c r="K142" i="13"/>
  <c r="K144" i="13"/>
  <c r="K143" i="13"/>
  <c r="L143" i="13" s="1"/>
  <c r="J44" i="6"/>
  <c r="K44" i="6" s="1"/>
  <c r="K125" i="13"/>
  <c r="L125" i="13" s="1"/>
  <c r="K126" i="13"/>
  <c r="K50" i="13"/>
  <c r="L50" i="13" s="1"/>
  <c r="K41" i="13"/>
  <c r="L41" i="13" s="1"/>
  <c r="K40" i="13"/>
  <c r="K42" i="13"/>
  <c r="L42" i="13" s="1"/>
  <c r="K39" i="13"/>
  <c r="K38" i="13"/>
  <c r="K37" i="13"/>
  <c r="K36" i="13"/>
  <c r="L36" i="13" s="1"/>
  <c r="K27" i="13"/>
  <c r="K18" i="13"/>
  <c r="L18" i="13" s="1"/>
  <c r="K16" i="13"/>
  <c r="K15" i="13"/>
  <c r="L15" i="13" s="1"/>
  <c r="K14" i="13"/>
  <c r="L14" i="13" s="1"/>
  <c r="K13" i="13"/>
  <c r="J4" i="6"/>
  <c r="K4" i="6" s="1"/>
  <c r="J3" i="6"/>
  <c r="K3" i="6" s="1"/>
  <c r="K11" i="13"/>
  <c r="L11" i="13" s="1"/>
  <c r="K10" i="13"/>
  <c r="K392" i="13"/>
  <c r="L392" i="13" s="1"/>
  <c r="K401" i="13"/>
  <c r="L401" i="13" s="1"/>
  <c r="K410" i="13"/>
  <c r="L410" i="13" s="1"/>
  <c r="K419" i="13"/>
  <c r="L419" i="13" s="1"/>
  <c r="K434" i="13"/>
  <c r="L434" i="13" s="1"/>
  <c r="K470" i="13"/>
  <c r="L470" i="13" s="1"/>
  <c r="K506" i="13"/>
  <c r="L506" i="13" s="1"/>
  <c r="K315" i="13"/>
  <c r="L315" i="13" s="1"/>
  <c r="K318" i="13"/>
  <c r="L318" i="13" s="1"/>
  <c r="K321" i="13"/>
  <c r="L321" i="13" s="1"/>
  <c r="K327" i="13"/>
  <c r="L327" i="13" s="1"/>
  <c r="K330" i="13"/>
  <c r="L330" i="13" s="1"/>
  <c r="K339" i="13"/>
  <c r="L339" i="13" s="1"/>
  <c r="K348" i="13"/>
  <c r="L348" i="13" s="1"/>
  <c r="K351" i="13"/>
  <c r="L351" i="13" s="1"/>
  <c r="K354" i="13"/>
  <c r="L354" i="13" s="1"/>
  <c r="K357" i="13"/>
  <c r="L357" i="13" s="1"/>
  <c r="K360" i="13"/>
  <c r="L360" i="13" s="1"/>
  <c r="K363" i="13"/>
  <c r="L363" i="13" s="1"/>
  <c r="K366" i="13"/>
  <c r="L366" i="13" s="1"/>
  <c r="K369" i="13"/>
  <c r="L369" i="13" s="1"/>
  <c r="K372" i="13"/>
  <c r="L372" i="13" s="1"/>
  <c r="K375" i="13"/>
  <c r="L375" i="13" s="1"/>
  <c r="K378" i="13"/>
  <c r="L378" i="13" s="1"/>
  <c r="K381" i="13"/>
  <c r="L381" i="13" s="1"/>
  <c r="K440" i="13"/>
  <c r="L440" i="13" s="1"/>
  <c r="K476" i="13"/>
  <c r="L476" i="13" s="1"/>
  <c r="K497" i="13"/>
  <c r="L497" i="13" s="1"/>
  <c r="K385" i="13"/>
  <c r="L385" i="13" s="1"/>
  <c r="K389" i="13"/>
  <c r="L389" i="13" s="1"/>
  <c r="K398" i="13"/>
  <c r="L398" i="13" s="1"/>
  <c r="K407" i="13"/>
  <c r="L407" i="13" s="1"/>
  <c r="K416" i="13"/>
  <c r="L416" i="13" s="1"/>
  <c r="K446" i="13"/>
  <c r="L446" i="13" s="1"/>
  <c r="K482" i="13"/>
  <c r="L482" i="13" s="1"/>
  <c r="K316" i="13"/>
  <c r="L316" i="13" s="1"/>
  <c r="K319" i="13"/>
  <c r="L319" i="13" s="1"/>
  <c r="K322" i="13"/>
  <c r="L322" i="13" s="1"/>
  <c r="K325" i="13"/>
  <c r="L325" i="13" s="1"/>
  <c r="K328" i="13"/>
  <c r="L328" i="13" s="1"/>
  <c r="K331" i="13"/>
  <c r="L331" i="13" s="1"/>
  <c r="K340" i="13"/>
  <c r="L340" i="13" s="1"/>
  <c r="K349" i="13"/>
  <c r="L349" i="13" s="1"/>
  <c r="K358" i="13"/>
  <c r="L358" i="13" s="1"/>
  <c r="K361" i="13"/>
  <c r="L361" i="13" s="1"/>
  <c r="K364" i="13"/>
  <c r="L364" i="13" s="1"/>
  <c r="K367" i="13"/>
  <c r="L367" i="13" s="1"/>
  <c r="K370" i="13"/>
  <c r="L370" i="13" s="1"/>
  <c r="K373" i="13"/>
  <c r="L373" i="13" s="1"/>
  <c r="K376" i="13"/>
  <c r="L376" i="13" s="1"/>
  <c r="K379" i="13"/>
  <c r="L379" i="13" s="1"/>
  <c r="K382" i="13"/>
  <c r="L382" i="13" s="1"/>
  <c r="K452" i="13"/>
  <c r="L452" i="13" s="1"/>
  <c r="K488" i="13"/>
  <c r="L488" i="13" s="1"/>
  <c r="K396" i="13"/>
  <c r="L396" i="13" s="1"/>
  <c r="K414" i="13"/>
  <c r="L414" i="13" s="1"/>
  <c r="K491" i="13"/>
  <c r="L491" i="13" s="1"/>
  <c r="K402" i="13"/>
  <c r="L402" i="13" s="1"/>
  <c r="K425" i="13"/>
  <c r="L425" i="13" s="1"/>
  <c r="K461" i="13"/>
  <c r="L461" i="13" s="1"/>
  <c r="K431" i="13"/>
  <c r="L431" i="13" s="1"/>
  <c r="K467" i="13"/>
  <c r="L467" i="13" s="1"/>
  <c r="K503" i="13"/>
  <c r="L503" i="13" s="1"/>
  <c r="K386" i="13"/>
  <c r="L386" i="13" s="1"/>
  <c r="K390" i="13"/>
  <c r="L390" i="13" s="1"/>
  <c r="K399" i="13"/>
  <c r="L399" i="13" s="1"/>
  <c r="K408" i="13"/>
  <c r="L408" i="13" s="1"/>
  <c r="K417" i="13"/>
  <c r="L417" i="13" s="1"/>
  <c r="K437" i="13"/>
  <c r="L437" i="13" s="1"/>
  <c r="K473" i="13"/>
  <c r="L473" i="13" s="1"/>
  <c r="K509" i="13"/>
  <c r="L509" i="13" s="1"/>
  <c r="K395" i="13"/>
  <c r="L395" i="13" s="1"/>
  <c r="K404" i="13"/>
  <c r="L404" i="13" s="1"/>
  <c r="K413" i="13"/>
  <c r="L413" i="13" s="1"/>
  <c r="K422" i="13"/>
  <c r="L422" i="13" s="1"/>
  <c r="K458" i="13"/>
  <c r="L458" i="13" s="1"/>
  <c r="K494" i="13"/>
  <c r="L494" i="13" s="1"/>
  <c r="K405" i="13"/>
  <c r="L405" i="13" s="1"/>
  <c r="K449" i="13"/>
  <c r="L449" i="13" s="1"/>
  <c r="K485" i="13"/>
  <c r="L485" i="13" s="1"/>
  <c r="K384" i="13"/>
  <c r="L384" i="13" s="1"/>
  <c r="K388" i="13"/>
  <c r="L388" i="13" s="1"/>
  <c r="K455" i="13"/>
  <c r="L455" i="13" s="1"/>
  <c r="K393" i="13"/>
  <c r="L393" i="13" s="1"/>
  <c r="K411" i="13"/>
  <c r="L411" i="13" s="1"/>
  <c r="K420" i="13"/>
  <c r="L420" i="13" s="1"/>
  <c r="K443" i="13"/>
  <c r="L443" i="13" s="1"/>
  <c r="K479" i="13"/>
  <c r="L479" i="13" s="1"/>
  <c r="K515" i="13"/>
  <c r="L515" i="13" s="1"/>
  <c r="K317" i="13"/>
  <c r="L317" i="13" s="1"/>
  <c r="K320" i="13"/>
  <c r="L320" i="13" s="1"/>
  <c r="K323" i="13"/>
  <c r="L323" i="13" s="1"/>
  <c r="K326" i="13"/>
  <c r="L326" i="13" s="1"/>
  <c r="K329" i="13"/>
  <c r="L329" i="13" s="1"/>
  <c r="K347" i="13"/>
  <c r="L347" i="13" s="1"/>
  <c r="K350" i="13"/>
  <c r="L350" i="13" s="1"/>
  <c r="K356" i="13"/>
  <c r="L356" i="13" s="1"/>
  <c r="K359" i="13"/>
  <c r="L359" i="13" s="1"/>
  <c r="K362" i="13"/>
  <c r="L362" i="13" s="1"/>
  <c r="K365" i="13"/>
  <c r="L365" i="13" s="1"/>
  <c r="K368" i="13"/>
  <c r="L368" i="13" s="1"/>
  <c r="K371" i="13"/>
  <c r="L371" i="13" s="1"/>
  <c r="K374" i="13"/>
  <c r="L374" i="13" s="1"/>
  <c r="K377" i="13"/>
  <c r="L377" i="13" s="1"/>
  <c r="K383" i="13"/>
  <c r="L383" i="13" s="1"/>
  <c r="K387" i="13"/>
  <c r="L387" i="13" s="1"/>
  <c r="K428" i="13"/>
  <c r="L428" i="13" s="1"/>
  <c r="K464" i="13"/>
  <c r="L464" i="13" s="1"/>
  <c r="K500" i="13"/>
  <c r="L500" i="13" s="1"/>
  <c r="K518" i="13"/>
  <c r="L518" i="13" s="1"/>
  <c r="K521" i="13"/>
  <c r="L521" i="13" s="1"/>
  <c r="K524" i="13"/>
  <c r="L524" i="13" s="1"/>
  <c r="K527" i="13"/>
  <c r="L527" i="13" s="1"/>
  <c r="K530" i="13"/>
  <c r="L530" i="13" s="1"/>
  <c r="K533" i="13"/>
  <c r="L533" i="13" s="1"/>
  <c r="K536" i="13"/>
  <c r="L536" i="13" s="1"/>
  <c r="K539" i="13"/>
  <c r="L539" i="13" s="1"/>
  <c r="K542" i="13"/>
  <c r="L542" i="13" s="1"/>
  <c r="K545" i="13"/>
  <c r="L545" i="13" s="1"/>
  <c r="K548" i="13"/>
  <c r="L548" i="13" s="1"/>
  <c r="K551" i="13"/>
  <c r="L551" i="13" s="1"/>
  <c r="K554" i="13"/>
  <c r="L554" i="13" s="1"/>
  <c r="K557" i="13"/>
  <c r="L557" i="13" s="1"/>
  <c r="K560" i="13"/>
  <c r="L560" i="13" s="1"/>
  <c r="K563" i="13"/>
  <c r="L563" i="13" s="1"/>
  <c r="K566" i="13"/>
  <c r="L566" i="13" s="1"/>
  <c r="K569" i="13"/>
  <c r="L569" i="13" s="1"/>
  <c r="K572" i="13"/>
  <c r="L572" i="13" s="1"/>
  <c r="K575" i="13"/>
  <c r="L575" i="13" s="1"/>
  <c r="K578" i="13"/>
  <c r="L578" i="13" s="1"/>
  <c r="K581" i="13"/>
  <c r="L581" i="13" s="1"/>
  <c r="K584" i="13"/>
  <c r="L584" i="13" s="1"/>
  <c r="K587" i="13"/>
  <c r="L587" i="13" s="1"/>
  <c r="K590" i="13"/>
  <c r="L590" i="13" s="1"/>
  <c r="K593" i="13"/>
  <c r="L593" i="13" s="1"/>
  <c r="K596" i="13"/>
  <c r="L596" i="13" s="1"/>
  <c r="K599" i="13"/>
  <c r="L599" i="13" s="1"/>
  <c r="K602" i="13"/>
  <c r="L602" i="13" s="1"/>
  <c r="K605" i="13"/>
  <c r="L605" i="13" s="1"/>
  <c r="K608" i="13"/>
  <c r="L608" i="13" s="1"/>
  <c r="K611" i="13"/>
  <c r="L611" i="13" s="1"/>
  <c r="K614" i="13"/>
  <c r="L614" i="13" s="1"/>
  <c r="K620" i="13"/>
  <c r="L620" i="13" s="1"/>
  <c r="K623" i="13"/>
  <c r="L623" i="13" s="1"/>
  <c r="K626" i="13"/>
  <c r="L626" i="13" s="1"/>
  <c r="K632" i="13"/>
  <c r="L632" i="13" s="1"/>
  <c r="K635" i="13"/>
  <c r="L635" i="13" s="1"/>
  <c r="K423" i="13"/>
  <c r="L423" i="13" s="1"/>
  <c r="K426" i="13"/>
  <c r="L426" i="13" s="1"/>
  <c r="K429" i="13"/>
  <c r="L429" i="13" s="1"/>
  <c r="K432" i="13"/>
  <c r="L432" i="13" s="1"/>
  <c r="K435" i="13"/>
  <c r="L435" i="13" s="1"/>
  <c r="K438" i="13"/>
  <c r="L438" i="13" s="1"/>
  <c r="K441" i="13"/>
  <c r="L441" i="13" s="1"/>
  <c r="K444" i="13"/>
  <c r="L444" i="13" s="1"/>
  <c r="K447" i="13"/>
  <c r="L447" i="13" s="1"/>
  <c r="K450" i="13"/>
  <c r="L450" i="13" s="1"/>
  <c r="K453" i="13"/>
  <c r="L453" i="13" s="1"/>
  <c r="K456" i="13"/>
  <c r="L456" i="13" s="1"/>
  <c r="K459" i="13"/>
  <c r="L459" i="13" s="1"/>
  <c r="K462" i="13"/>
  <c r="L462" i="13" s="1"/>
  <c r="K465" i="13"/>
  <c r="L465" i="13" s="1"/>
  <c r="K468" i="13"/>
  <c r="L468" i="13" s="1"/>
  <c r="K471" i="13"/>
  <c r="L471" i="13" s="1"/>
  <c r="K474" i="13"/>
  <c r="L474" i="13" s="1"/>
  <c r="K477" i="13"/>
  <c r="L477" i="13" s="1"/>
  <c r="K480" i="13"/>
  <c r="L480" i="13" s="1"/>
  <c r="K483" i="13"/>
  <c r="L483" i="13" s="1"/>
  <c r="K486" i="13"/>
  <c r="L486" i="13" s="1"/>
  <c r="K489" i="13"/>
  <c r="L489" i="13" s="1"/>
  <c r="K492" i="13"/>
  <c r="L492" i="13" s="1"/>
  <c r="K495" i="13"/>
  <c r="L495" i="13" s="1"/>
  <c r="K498" i="13"/>
  <c r="L498" i="13" s="1"/>
  <c r="K501" i="13"/>
  <c r="L501" i="13" s="1"/>
  <c r="K504" i="13"/>
  <c r="L504" i="13" s="1"/>
  <c r="K507" i="13"/>
  <c r="L507" i="13" s="1"/>
  <c r="K510" i="13"/>
  <c r="L510" i="13" s="1"/>
  <c r="K513" i="13"/>
  <c r="L513" i="13" s="1"/>
  <c r="K516" i="13"/>
  <c r="L516" i="13" s="1"/>
  <c r="K519" i="13"/>
  <c r="L519" i="13" s="1"/>
  <c r="K522" i="13"/>
  <c r="L522" i="13" s="1"/>
  <c r="K525" i="13"/>
  <c r="L525" i="13" s="1"/>
  <c r="K528" i="13"/>
  <c r="L528" i="13" s="1"/>
  <c r="K531" i="13"/>
  <c r="L531" i="13" s="1"/>
  <c r="K534" i="13"/>
  <c r="L534" i="13" s="1"/>
  <c r="K537" i="13"/>
  <c r="L537" i="13" s="1"/>
  <c r="K540" i="13"/>
  <c r="L540" i="13" s="1"/>
  <c r="K543" i="13"/>
  <c r="L543" i="13" s="1"/>
  <c r="K546" i="13"/>
  <c r="L546" i="13" s="1"/>
  <c r="K549" i="13"/>
  <c r="L549" i="13" s="1"/>
  <c r="K552" i="13"/>
  <c r="L552" i="13" s="1"/>
  <c r="K555" i="13"/>
  <c r="L555" i="13" s="1"/>
  <c r="K558" i="13"/>
  <c r="L558" i="13" s="1"/>
  <c r="K561" i="13"/>
  <c r="L561" i="13" s="1"/>
  <c r="K564" i="13"/>
  <c r="L564" i="13" s="1"/>
  <c r="K567" i="13"/>
  <c r="L567" i="13" s="1"/>
  <c r="K570" i="13"/>
  <c r="L570" i="13" s="1"/>
  <c r="K573" i="13"/>
  <c r="L573" i="13" s="1"/>
  <c r="K576" i="13"/>
  <c r="L576" i="13" s="1"/>
  <c r="K579" i="13"/>
  <c r="L579" i="13" s="1"/>
  <c r="K582" i="13"/>
  <c r="L582" i="13" s="1"/>
  <c r="K585" i="13"/>
  <c r="L585" i="13" s="1"/>
  <c r="K588" i="13"/>
  <c r="L588" i="13" s="1"/>
  <c r="K591" i="13"/>
  <c r="L591" i="13" s="1"/>
  <c r="K597" i="13"/>
  <c r="L597" i="13" s="1"/>
  <c r="K603" i="13"/>
  <c r="L603" i="13" s="1"/>
  <c r="K606" i="13"/>
  <c r="L606" i="13" s="1"/>
  <c r="K609" i="13"/>
  <c r="L609" i="13" s="1"/>
  <c r="K612" i="13"/>
  <c r="L612" i="13" s="1"/>
  <c r="K615" i="13"/>
  <c r="L615" i="13" s="1"/>
  <c r="K618" i="13"/>
  <c r="L618" i="13" s="1"/>
  <c r="K621" i="13"/>
  <c r="L621" i="13" s="1"/>
  <c r="K624" i="13"/>
  <c r="L624" i="13" s="1"/>
  <c r="K627" i="13"/>
  <c r="L627" i="13" s="1"/>
  <c r="K630" i="13"/>
  <c r="L630" i="13" s="1"/>
  <c r="K633" i="13"/>
  <c r="L633" i="13" s="1"/>
  <c r="K391" i="13"/>
  <c r="L391" i="13" s="1"/>
  <c r="K394" i="13"/>
  <c r="L394" i="13" s="1"/>
  <c r="K397" i="13"/>
  <c r="L397" i="13" s="1"/>
  <c r="K400" i="13"/>
  <c r="L400" i="13" s="1"/>
  <c r="K403" i="13"/>
  <c r="L403" i="13" s="1"/>
  <c r="K406" i="13"/>
  <c r="L406" i="13" s="1"/>
  <c r="K409" i="13"/>
  <c r="L409" i="13" s="1"/>
  <c r="K412" i="13"/>
  <c r="L412" i="13" s="1"/>
  <c r="K415" i="13"/>
  <c r="L415" i="13" s="1"/>
  <c r="K418" i="13"/>
  <c r="L418" i="13" s="1"/>
  <c r="K421" i="13"/>
  <c r="L421" i="13" s="1"/>
  <c r="K424" i="13"/>
  <c r="L424" i="13" s="1"/>
  <c r="K427" i="13"/>
  <c r="L427" i="13" s="1"/>
  <c r="K430" i="13"/>
  <c r="L430" i="13" s="1"/>
  <c r="K433" i="13"/>
  <c r="L433" i="13" s="1"/>
  <c r="K436" i="13"/>
  <c r="L436" i="13" s="1"/>
  <c r="K439" i="13"/>
  <c r="L439" i="13" s="1"/>
  <c r="K442" i="13"/>
  <c r="L442" i="13" s="1"/>
  <c r="K445" i="13"/>
  <c r="L445" i="13" s="1"/>
  <c r="K448" i="13"/>
  <c r="L448" i="13" s="1"/>
  <c r="K451" i="13"/>
  <c r="L451" i="13" s="1"/>
  <c r="K454" i="13"/>
  <c r="L454" i="13" s="1"/>
  <c r="K457" i="13"/>
  <c r="L457" i="13" s="1"/>
  <c r="K460" i="13"/>
  <c r="L460" i="13" s="1"/>
  <c r="K463" i="13"/>
  <c r="L463" i="13" s="1"/>
  <c r="K469" i="13"/>
  <c r="L469" i="13" s="1"/>
  <c r="K472" i="13"/>
  <c r="L472" i="13" s="1"/>
  <c r="K478" i="13"/>
  <c r="L478" i="13" s="1"/>
  <c r="K481" i="13"/>
  <c r="L481" i="13" s="1"/>
  <c r="K484" i="13"/>
  <c r="L484" i="13" s="1"/>
  <c r="K487" i="13"/>
  <c r="L487" i="13" s="1"/>
  <c r="K490" i="13"/>
  <c r="L490" i="13" s="1"/>
  <c r="K493" i="13"/>
  <c r="L493" i="13" s="1"/>
  <c r="K496" i="13"/>
  <c r="L496" i="13" s="1"/>
  <c r="K499" i="13"/>
  <c r="L499" i="13" s="1"/>
  <c r="K502" i="13"/>
  <c r="L502" i="13" s="1"/>
  <c r="K505" i="13"/>
  <c r="L505" i="13" s="1"/>
  <c r="K508" i="13"/>
  <c r="L508" i="13" s="1"/>
  <c r="K511" i="13"/>
  <c r="L511" i="13" s="1"/>
  <c r="K514" i="13"/>
  <c r="L514" i="13" s="1"/>
  <c r="K517" i="13"/>
  <c r="L517" i="13" s="1"/>
  <c r="K520" i="13"/>
  <c r="L520" i="13" s="1"/>
  <c r="K523" i="13"/>
  <c r="L523" i="13" s="1"/>
  <c r="K526" i="13"/>
  <c r="L526" i="13" s="1"/>
  <c r="K529" i="13"/>
  <c r="L529" i="13" s="1"/>
  <c r="K532" i="13"/>
  <c r="L532" i="13" s="1"/>
  <c r="K535" i="13"/>
  <c r="L535" i="13" s="1"/>
  <c r="K538" i="13"/>
  <c r="L538" i="13" s="1"/>
  <c r="K541" i="13"/>
  <c r="L541" i="13" s="1"/>
  <c r="K544" i="13"/>
  <c r="L544" i="13" s="1"/>
  <c r="K547" i="13"/>
  <c r="L547" i="13" s="1"/>
  <c r="K550" i="13"/>
  <c r="L550" i="13" s="1"/>
  <c r="K553" i="13"/>
  <c r="L553" i="13" s="1"/>
  <c r="K556" i="13"/>
  <c r="L556" i="13" s="1"/>
  <c r="K559" i="13"/>
  <c r="L559" i="13" s="1"/>
  <c r="K562" i="13"/>
  <c r="L562" i="13" s="1"/>
  <c r="K565" i="13"/>
  <c r="L565" i="13" s="1"/>
  <c r="K568" i="13"/>
  <c r="L568" i="13" s="1"/>
  <c r="K571" i="13"/>
  <c r="L571" i="13" s="1"/>
  <c r="K574" i="13"/>
  <c r="L574" i="13" s="1"/>
  <c r="K577" i="13"/>
  <c r="L577" i="13" s="1"/>
  <c r="K580" i="13"/>
  <c r="L580" i="13" s="1"/>
  <c r="K583" i="13"/>
  <c r="L583" i="13" s="1"/>
  <c r="K586" i="13"/>
  <c r="L586" i="13" s="1"/>
  <c r="K589" i="13"/>
  <c r="L589" i="13" s="1"/>
  <c r="K592" i="13"/>
  <c r="L592" i="13" s="1"/>
  <c r="K595" i="13"/>
  <c r="L595" i="13" s="1"/>
  <c r="K598" i="13"/>
  <c r="L598" i="13" s="1"/>
  <c r="K601" i="13"/>
  <c r="L601" i="13" s="1"/>
  <c r="K604" i="13"/>
  <c r="L604" i="13" s="1"/>
  <c r="K607" i="13"/>
  <c r="L607" i="13" s="1"/>
  <c r="K610" i="13"/>
  <c r="L610" i="13" s="1"/>
  <c r="K613" i="13"/>
  <c r="L613" i="13" s="1"/>
  <c r="K616" i="13"/>
  <c r="L616" i="13" s="1"/>
  <c r="K619" i="13"/>
  <c r="L619" i="13" s="1"/>
  <c r="K622" i="13"/>
  <c r="L622" i="13" s="1"/>
  <c r="K625" i="13"/>
  <c r="L625" i="13" s="1"/>
  <c r="K631" i="13"/>
  <c r="L631" i="13" s="1"/>
  <c r="K634" i="13"/>
  <c r="L634" i="13" s="1"/>
  <c r="K2" i="13"/>
  <c r="L2" i="13" s="1"/>
  <c r="J31" i="6"/>
  <c r="K31" i="6" s="1"/>
  <c r="J30" i="6"/>
  <c r="K30" i="6" s="1"/>
  <c r="K115" i="13"/>
  <c r="K234" i="13"/>
  <c r="J2" i="6"/>
  <c r="K2" i="6" s="1"/>
  <c r="J48" i="6"/>
  <c r="K48" i="6" s="1"/>
  <c r="J192" i="6"/>
  <c r="K192" i="6" s="1"/>
  <c r="J120" i="6"/>
  <c r="K120" i="6" s="1"/>
  <c r="J204" i="6"/>
  <c r="K204" i="6" s="1"/>
  <c r="J96" i="6"/>
  <c r="K96" i="6" s="1"/>
  <c r="J131" i="6"/>
  <c r="K131" i="6" s="1"/>
  <c r="J143" i="6"/>
  <c r="K143" i="6" s="1"/>
  <c r="J155" i="6"/>
  <c r="K155" i="6" s="1"/>
  <c r="J24" i="6"/>
  <c r="K24" i="6" s="1"/>
  <c r="J42" i="6"/>
  <c r="K42" i="6" s="1"/>
  <c r="J109" i="6"/>
  <c r="K109" i="6" s="1"/>
  <c r="J74" i="6"/>
  <c r="K74" i="6" s="1"/>
  <c r="J129" i="6"/>
  <c r="K129" i="6" s="1"/>
  <c r="J101" i="6"/>
  <c r="K101" i="6" s="1"/>
  <c r="J7" i="6"/>
  <c r="K7" i="6" s="1"/>
  <c r="J49" i="6"/>
  <c r="K49" i="6" s="1"/>
  <c r="J132" i="6"/>
  <c r="K132" i="6" s="1"/>
  <c r="J57" i="6"/>
  <c r="K57" i="6" s="1"/>
  <c r="J65" i="6"/>
  <c r="K65" i="6" s="1"/>
  <c r="J104" i="6"/>
  <c r="K104" i="6" s="1"/>
  <c r="J113" i="6"/>
  <c r="K113" i="6" s="1"/>
  <c r="J159" i="6"/>
  <c r="K159" i="6" s="1"/>
  <c r="J232" i="6"/>
  <c r="K232" i="6" s="1"/>
  <c r="J176" i="6"/>
  <c r="K176" i="6" s="1"/>
  <c r="J208" i="6"/>
  <c r="K208" i="6" s="1"/>
  <c r="J100" i="6"/>
  <c r="K100" i="6" s="1"/>
  <c r="J32" i="6"/>
  <c r="K32" i="6" s="1"/>
  <c r="J79" i="6"/>
  <c r="K79" i="6" s="1"/>
  <c r="J191" i="6"/>
  <c r="K191" i="6" s="1"/>
  <c r="J198" i="6"/>
  <c r="K198" i="6" s="1"/>
  <c r="J135" i="6"/>
  <c r="K135" i="6" s="1"/>
  <c r="J147" i="6"/>
  <c r="K147" i="6" s="1"/>
  <c r="J180" i="6"/>
  <c r="K180" i="6" s="1"/>
  <c r="J47" i="6"/>
  <c r="K47" i="6" s="1"/>
  <c r="J97" i="6"/>
  <c r="K97" i="6" s="1"/>
  <c r="J62" i="6"/>
  <c r="K62" i="6" s="1"/>
  <c r="J112" i="6"/>
  <c r="K112" i="6" s="1"/>
  <c r="J144" i="6"/>
  <c r="K144" i="6" s="1"/>
  <c r="J105" i="6"/>
  <c r="K105" i="6" s="1"/>
  <c r="J236" i="6"/>
  <c r="K236" i="6" s="1"/>
  <c r="J34" i="6"/>
  <c r="K34" i="6" s="1"/>
  <c r="J207" i="6"/>
  <c r="K207" i="6" s="1"/>
  <c r="J51" i="6"/>
  <c r="K51" i="6" s="1"/>
  <c r="J59" i="6"/>
  <c r="K59" i="6" s="1"/>
  <c r="J50" i="6"/>
  <c r="K50" i="6" s="1"/>
  <c r="J242" i="6"/>
  <c r="K242" i="6" s="1"/>
  <c r="J123" i="6"/>
  <c r="K123" i="6" s="1"/>
  <c r="J72" i="6"/>
  <c r="K72" i="6" s="1"/>
  <c r="J174" i="6"/>
  <c r="K174" i="6" s="1"/>
  <c r="J116" i="6"/>
  <c r="K116" i="6" s="1"/>
  <c r="J125" i="6"/>
  <c r="K125" i="6" s="1"/>
  <c r="J136" i="6"/>
  <c r="K136" i="6" s="1"/>
  <c r="J148" i="6"/>
  <c r="K148" i="6" s="1"/>
  <c r="J11" i="6"/>
  <c r="K11" i="6" s="1"/>
  <c r="J38" i="6"/>
  <c r="K38" i="6" s="1"/>
  <c r="J45" i="6"/>
  <c r="K45" i="6" s="1"/>
  <c r="J140" i="6"/>
  <c r="K140" i="6" s="1"/>
  <c r="J111" i="6"/>
  <c r="K111" i="6" s="1"/>
  <c r="J67" i="6"/>
  <c r="K67" i="6" s="1"/>
  <c r="J58" i="6"/>
  <c r="K58" i="6" s="1"/>
  <c r="J121" i="6"/>
  <c r="K121" i="6" s="1"/>
  <c r="J70" i="6"/>
  <c r="K70" i="6" s="1"/>
  <c r="J99" i="6"/>
  <c r="K99" i="6" s="1"/>
  <c r="J56" i="6"/>
  <c r="K56" i="6" s="1"/>
  <c r="J61" i="6"/>
  <c r="K61" i="6" s="1"/>
  <c r="J217" i="6"/>
  <c r="K217" i="6" s="1"/>
  <c r="J205" i="6"/>
  <c r="K205" i="6" s="1"/>
  <c r="J206" i="6"/>
  <c r="K206" i="6" s="1"/>
  <c r="J172" i="6"/>
  <c r="K172" i="6" s="1"/>
  <c r="J20" i="6"/>
  <c r="K20" i="6" s="1"/>
  <c r="J78" i="6"/>
  <c r="K78" i="6" s="1"/>
  <c r="J103" i="6"/>
  <c r="K103" i="6" s="1"/>
  <c r="J199" i="6"/>
  <c r="K199" i="6" s="1"/>
  <c r="J246" i="6"/>
  <c r="K246" i="6" s="1"/>
  <c r="J71" i="6"/>
  <c r="K71" i="6" s="1"/>
  <c r="J115" i="6"/>
  <c r="K115" i="6" s="1"/>
  <c r="J77" i="6"/>
  <c r="K77" i="6" s="1"/>
  <c r="J54" i="6"/>
  <c r="K54" i="6" s="1"/>
  <c r="J197" i="6"/>
  <c r="K197" i="6" s="1"/>
  <c r="J202" i="6"/>
  <c r="K202" i="6" s="1"/>
  <c r="J64" i="6"/>
  <c r="K64" i="6" s="1"/>
  <c r="J76" i="6"/>
  <c r="K76" i="6" s="1"/>
  <c r="J127" i="6"/>
  <c r="K127" i="6" s="1"/>
  <c r="J173" i="6"/>
  <c r="K173" i="6" s="1"/>
  <c r="J98" i="6"/>
  <c r="K98" i="6" s="1"/>
  <c r="J33" i="6"/>
  <c r="K33" i="6" s="1"/>
  <c r="J108" i="6"/>
  <c r="K108" i="6" s="1"/>
  <c r="J117" i="6"/>
  <c r="K117" i="6" s="1"/>
  <c r="J139" i="6"/>
  <c r="K139" i="6" s="1"/>
  <c r="J43" i="6"/>
  <c r="K43" i="6" s="1"/>
  <c r="J231" i="6"/>
  <c r="K231" i="6" s="1"/>
  <c r="J63" i="6"/>
  <c r="K63" i="6" s="1"/>
  <c r="J73" i="6"/>
  <c r="K73" i="6" s="1"/>
  <c r="J53" i="6"/>
  <c r="K53" i="6" s="1"/>
  <c r="J175" i="6"/>
  <c r="K175" i="6" s="1"/>
  <c r="J124" i="6"/>
  <c r="K124" i="6" s="1"/>
  <c r="J81" i="6"/>
  <c r="K81" i="6" s="1"/>
  <c r="J55" i="6"/>
  <c r="K55" i="6" s="1"/>
  <c r="J52" i="6"/>
  <c r="K52" i="6" s="1"/>
  <c r="J107" i="6"/>
  <c r="K107" i="6" s="1"/>
  <c r="J209" i="6"/>
  <c r="K209" i="6" s="1"/>
  <c r="J80" i="6"/>
  <c r="K80" i="6" s="1"/>
  <c r="J75" i="6"/>
  <c r="K75" i="6" s="1"/>
  <c r="J60" i="6"/>
  <c r="K60" i="6" s="1"/>
  <c r="J119" i="6"/>
  <c r="K119" i="6" s="1"/>
  <c r="J128" i="6"/>
  <c r="K128" i="6" s="1"/>
  <c r="J152" i="6"/>
  <c r="K152" i="6" s="1"/>
  <c r="J15" i="6"/>
  <c r="K15" i="6" s="1"/>
  <c r="J221" i="6"/>
  <c r="K221" i="6" s="1"/>
  <c r="J216" i="6"/>
  <c r="K216" i="6" s="1"/>
  <c r="J227" i="6"/>
  <c r="K227" i="6" s="1"/>
  <c r="J137" i="6"/>
  <c r="K137" i="6" s="1"/>
  <c r="J160" i="6"/>
  <c r="K160" i="6" s="1"/>
  <c r="J233" i="6"/>
  <c r="K233" i="6" s="1"/>
  <c r="J25" i="6"/>
  <c r="K25" i="6" s="1"/>
  <c r="J35" i="6"/>
  <c r="K35" i="6" s="1"/>
  <c r="J193" i="6"/>
  <c r="K193" i="6" s="1"/>
  <c r="J29" i="6"/>
  <c r="K29" i="6" s="1"/>
  <c r="J194" i="6"/>
  <c r="K194" i="6" s="1"/>
  <c r="J189" i="6"/>
  <c r="K189" i="6" s="1"/>
  <c r="J195" i="6"/>
  <c r="K195" i="6" s="1"/>
  <c r="J186" i="6"/>
  <c r="K186" i="6" s="1"/>
  <c r="J190" i="6"/>
  <c r="K190" i="6" s="1"/>
  <c r="J83" i="6"/>
  <c r="K83" i="6" s="1"/>
  <c r="J149" i="6"/>
  <c r="K149" i="6" s="1"/>
  <c r="J8" i="6"/>
  <c r="K8" i="6" s="1"/>
  <c r="J21" i="6"/>
  <c r="K21" i="6" s="1"/>
  <c r="J181" i="6"/>
  <c r="K181" i="6" s="1"/>
  <c r="J200" i="6"/>
  <c r="K200" i="6" s="1"/>
  <c r="J196" i="6"/>
  <c r="K196" i="6" s="1"/>
  <c r="J145" i="6"/>
  <c r="K145" i="6" s="1"/>
  <c r="J12" i="6"/>
  <c r="K12" i="6" s="1"/>
  <c r="J237" i="6"/>
  <c r="K237" i="6" s="1"/>
  <c r="J243" i="6"/>
  <c r="K243" i="6" s="1"/>
  <c r="J188" i="6"/>
  <c r="K188" i="6" s="1"/>
  <c r="J229" i="6"/>
  <c r="K229" i="6" s="1"/>
  <c r="J164" i="6"/>
  <c r="K164" i="6" s="1"/>
  <c r="J166" i="6"/>
  <c r="K166" i="6" s="1"/>
  <c r="J95" i="6"/>
  <c r="K95" i="6" s="1"/>
  <c r="J92" i="6"/>
  <c r="K92" i="6" s="1"/>
  <c r="J106" i="6"/>
  <c r="K106" i="6" s="1"/>
  <c r="J114" i="6"/>
  <c r="K114" i="6" s="1"/>
  <c r="J118" i="6"/>
  <c r="K118" i="6" s="1"/>
  <c r="J126" i="6"/>
  <c r="K126" i="6" s="1"/>
  <c r="J130" i="6"/>
  <c r="K130" i="6" s="1"/>
  <c r="J134" i="6"/>
  <c r="K134" i="6" s="1"/>
  <c r="J138" i="6"/>
  <c r="K138" i="6" s="1"/>
  <c r="J150" i="6"/>
  <c r="K150" i="6" s="1"/>
  <c r="J68" i="6"/>
  <c r="K68" i="6" s="1"/>
  <c r="J157" i="6"/>
  <c r="K157" i="6" s="1"/>
  <c r="J161" i="6"/>
  <c r="K161" i="6" s="1"/>
  <c r="J13" i="6"/>
  <c r="K13" i="6" s="1"/>
  <c r="J17" i="6"/>
  <c r="K17" i="6" s="1"/>
  <c r="J5" i="6"/>
  <c r="K5" i="6" s="1"/>
  <c r="J9" i="6"/>
  <c r="K9" i="6" s="1"/>
  <c r="J234" i="6"/>
  <c r="K234" i="6" s="1"/>
  <c r="J238" i="6"/>
  <c r="K238" i="6" s="1"/>
  <c r="J219" i="6"/>
  <c r="K219" i="6" s="1"/>
  <c r="J223" i="6"/>
  <c r="K223" i="6" s="1"/>
  <c r="J22" i="6"/>
  <c r="K22" i="6" s="1"/>
  <c r="J26" i="6"/>
  <c r="K26" i="6" s="1"/>
  <c r="J244" i="6"/>
  <c r="K244" i="6" s="1"/>
  <c r="J248" i="6"/>
  <c r="K248" i="6" s="1"/>
  <c r="J178" i="6"/>
  <c r="K178" i="6" s="1"/>
  <c r="J182" i="6"/>
  <c r="K182" i="6" s="1"/>
  <c r="J36" i="6"/>
  <c r="K36" i="6" s="1"/>
  <c r="J40" i="6"/>
  <c r="K40" i="6" s="1"/>
  <c r="J87" i="6"/>
  <c r="K87" i="6" s="1"/>
  <c r="J19" i="6"/>
  <c r="K19" i="6" s="1"/>
  <c r="J91" i="6"/>
  <c r="K91" i="6" s="1"/>
  <c r="J86" i="6"/>
  <c r="K86" i="6" s="1"/>
  <c r="J240" i="6"/>
  <c r="K240" i="6" s="1"/>
  <c r="J82" i="6"/>
  <c r="K82" i="6" s="1"/>
  <c r="J225" i="6"/>
  <c r="K225" i="6" s="1"/>
  <c r="J90" i="6"/>
  <c r="K90" i="6" s="1"/>
  <c r="J28" i="6"/>
  <c r="K28" i="6" s="1"/>
  <c r="J89" i="6"/>
  <c r="K89" i="6" s="1"/>
  <c r="J250" i="6"/>
  <c r="K250" i="6" s="1"/>
  <c r="J88" i="6"/>
  <c r="K88" i="6" s="1"/>
  <c r="J184" i="6"/>
  <c r="K184" i="6" s="1"/>
  <c r="J133" i="6"/>
  <c r="K133" i="6" s="1"/>
  <c r="J153" i="6"/>
  <c r="K153" i="6" s="1"/>
  <c r="J222" i="6"/>
  <c r="K222" i="6" s="1"/>
  <c r="J177" i="6"/>
  <c r="K177" i="6" s="1"/>
  <c r="J187" i="6"/>
  <c r="K187" i="6" s="1"/>
  <c r="J201" i="6"/>
  <c r="K201" i="6" s="1"/>
  <c r="J163" i="6"/>
  <c r="K163" i="6" s="1"/>
  <c r="J230" i="6"/>
  <c r="K230" i="6" s="1"/>
  <c r="J94" i="6"/>
  <c r="K94" i="6" s="1"/>
  <c r="J167" i="6"/>
  <c r="K167" i="6" s="1"/>
  <c r="J168" i="6"/>
  <c r="K168" i="6" s="1"/>
  <c r="J169" i="6"/>
  <c r="K169" i="6" s="1"/>
  <c r="J170" i="6"/>
  <c r="K170" i="6" s="1"/>
  <c r="J110" i="6"/>
  <c r="K110" i="6" s="1"/>
  <c r="J122" i="6"/>
  <c r="K122" i="6" s="1"/>
  <c r="J146" i="6"/>
  <c r="K146" i="6" s="1"/>
  <c r="J141" i="6"/>
  <c r="K141" i="6" s="1"/>
  <c r="J156" i="6"/>
  <c r="K156" i="6" s="1"/>
  <c r="J16" i="6"/>
  <c r="K16" i="6" s="1"/>
  <c r="J218" i="6"/>
  <c r="K218" i="6" s="1"/>
  <c r="J247" i="6"/>
  <c r="K247" i="6" s="1"/>
  <c r="J39" i="6"/>
  <c r="K39" i="6" s="1"/>
  <c r="J93" i="6"/>
  <c r="K93" i="6" s="1"/>
  <c r="J165" i="6"/>
  <c r="K165" i="6" s="1"/>
  <c r="J226" i="6"/>
  <c r="K226" i="6" s="1"/>
  <c r="J228" i="6"/>
  <c r="K228" i="6" s="1"/>
  <c r="J102" i="6"/>
  <c r="K102" i="6" s="1"/>
  <c r="J142" i="6"/>
  <c r="K142" i="6" s="1"/>
  <c r="J151" i="6"/>
  <c r="K151" i="6" s="1"/>
  <c r="J154" i="6"/>
  <c r="K154" i="6" s="1"/>
  <c r="J158" i="6"/>
  <c r="K158" i="6" s="1"/>
  <c r="J162" i="6"/>
  <c r="K162" i="6" s="1"/>
  <c r="J14" i="6"/>
  <c r="K14" i="6" s="1"/>
  <c r="J18" i="6"/>
  <c r="K18" i="6" s="1"/>
  <c r="J6" i="6"/>
  <c r="K6" i="6" s="1"/>
  <c r="J10" i="6"/>
  <c r="K10" i="6" s="1"/>
  <c r="J235" i="6"/>
  <c r="K235" i="6" s="1"/>
  <c r="J239" i="6"/>
  <c r="K239" i="6" s="1"/>
  <c r="J220" i="6"/>
  <c r="K220" i="6" s="1"/>
  <c r="J224" i="6"/>
  <c r="K224" i="6" s="1"/>
  <c r="J23" i="6"/>
  <c r="K23" i="6" s="1"/>
  <c r="J27" i="6"/>
  <c r="K27" i="6" s="1"/>
  <c r="J245" i="6"/>
  <c r="K245" i="6" s="1"/>
  <c r="J249" i="6"/>
  <c r="K249" i="6" s="1"/>
  <c r="J179" i="6"/>
  <c r="K179" i="6" s="1"/>
  <c r="J183" i="6"/>
  <c r="K183" i="6" s="1"/>
  <c r="J37" i="6"/>
  <c r="K37" i="6" s="1"/>
  <c r="J41" i="6"/>
  <c r="K41" i="6" s="1"/>
  <c r="J84" i="6"/>
  <c r="K84" i="6" s="1"/>
  <c r="J210" i="6"/>
  <c r="K210" i="6" s="1"/>
  <c r="J85" i="6"/>
  <c r="K85" i="6" s="1"/>
  <c r="J211" i="6"/>
  <c r="K211" i="6" s="1"/>
  <c r="J185" i="6"/>
  <c r="K185" i="6" s="1"/>
  <c r="J212" i="6"/>
  <c r="K212" i="6" s="1"/>
  <c r="J69" i="6"/>
  <c r="K69" i="6" s="1"/>
  <c r="J213" i="6"/>
  <c r="K213" i="6" s="1"/>
  <c r="J251" i="6"/>
  <c r="K251" i="6" s="1"/>
  <c r="J214" i="6"/>
  <c r="K214" i="6" s="1"/>
  <c r="J241" i="6"/>
  <c r="K241" i="6" s="1"/>
  <c r="J215" i="6"/>
  <c r="K215" i="6" s="1"/>
  <c r="J66" i="6"/>
  <c r="K66" i="6" s="1"/>
  <c r="J203" i="6"/>
  <c r="K203" i="6" s="1"/>
  <c r="J46" i="6"/>
  <c r="K46" i="6" s="1"/>
  <c r="J171" i="6"/>
  <c r="K171" i="6" s="1"/>
  <c r="K78" i="13"/>
  <c r="L78" i="13" s="1"/>
  <c r="K66" i="13"/>
  <c r="L66" i="13" s="1"/>
  <c r="K70" i="13"/>
  <c r="L70" i="13" s="1"/>
  <c r="K72" i="13" a="1"/>
  <c r="K6" i="13" a="1"/>
  <c r="K90" i="13" a="1"/>
  <c r="K170" i="13" a="1"/>
  <c r="K232" i="13" a="1"/>
  <c r="K131" i="13" a="1"/>
  <c r="K196" i="13" a="1"/>
  <c r="K33" i="13" a="1"/>
  <c r="K158" i="13" a="1"/>
  <c r="K239" i="13" a="1"/>
  <c r="K226" i="13" a="1"/>
  <c r="K132" i="13" a="1"/>
  <c r="K284" i="13" a="1"/>
  <c r="K217" i="13" a="1"/>
  <c r="K97" i="13" a="1"/>
  <c r="K61" i="13" a="1"/>
  <c r="K291" i="13" a="1"/>
  <c r="K240" i="13" a="1"/>
  <c r="K73" i="13" a="1"/>
  <c r="K192" i="13" a="1"/>
  <c r="K145" i="13" a="1"/>
  <c r="K58" i="13" a="1"/>
  <c r="K212" i="13" a="1"/>
  <c r="K273" i="13" a="1"/>
  <c r="K202" i="13" a="1"/>
  <c r="K222" i="13" a="1"/>
  <c r="K67" i="13" a="1"/>
  <c r="K99" i="13" a="1"/>
  <c r="K161" i="13" a="1"/>
  <c r="K308" i="13" a="1"/>
  <c r="K89" i="13" a="1"/>
  <c r="K314" i="13" a="1"/>
  <c r="K162" i="13" a="1"/>
  <c r="K64" i="13" a="1"/>
  <c r="K148" i="13" a="1"/>
  <c r="K228" i="13" a="1"/>
  <c r="K215" i="13" a="1"/>
  <c r="K119" i="13" a="1"/>
  <c r="K140" i="13" a="1"/>
  <c r="K244" i="13" a="1"/>
  <c r="K96" i="13" a="1"/>
  <c r="K12" i="13" a="1"/>
  <c r="K213" i="13" a="1"/>
  <c r="K122" i="13" a="1"/>
  <c r="K301" i="13" a="1"/>
  <c r="K271" i="13" a="1"/>
  <c r="K292" i="13" a="1"/>
  <c r="K49" i="13" a="1"/>
  <c r="K216" i="13" a="1"/>
  <c r="K179" i="13" a="1"/>
  <c r="K5" i="13" a="1"/>
  <c r="K87" i="13" a="1"/>
  <c r="K255" i="13" a="1"/>
  <c r="K261" i="13" a="1"/>
  <c r="K311" i="13" a="1"/>
  <c r="K19" i="13" a="1"/>
  <c r="K225" i="13" a="1"/>
  <c r="K85" i="13" a="1"/>
  <c r="K59" i="13" a="1"/>
  <c r="K155" i="13" a="1"/>
  <c r="K195" i="13" a="1"/>
  <c r="K30" i="13" a="1"/>
  <c r="K276" i="13" a="1"/>
  <c r="K241" i="13" a="1"/>
  <c r="K153" i="13" a="1"/>
  <c r="K231" i="13" a="1"/>
  <c r="K245" i="13" a="1"/>
  <c r="K266" i="13" a="1"/>
  <c r="K262" i="13" a="1"/>
  <c r="K163" i="13" a="1"/>
  <c r="K82" i="13" a="1"/>
  <c r="K62" i="13" a="1"/>
  <c r="K136" i="13" a="1"/>
  <c r="K28" i="13" a="1"/>
  <c r="K157" i="13" a="1"/>
  <c r="K181" i="13" a="1"/>
  <c r="K263" i="13" a="1"/>
  <c r="K46" i="13" a="1"/>
  <c r="K121" i="13" a="1"/>
  <c r="K106" i="13" a="1"/>
  <c r="K233" i="13" a="1"/>
  <c r="K229" i="13" a="1"/>
  <c r="K56" i="13" a="1"/>
  <c r="K105" i="13" a="1"/>
  <c r="K164" i="13" a="1"/>
  <c r="K275" i="13" a="1"/>
  <c r="K4" i="13" a="1"/>
  <c r="K93" i="13" a="1"/>
  <c r="K102" i="13" a="1"/>
  <c r="K128" i="13" a="1"/>
  <c r="K110" i="13" a="1"/>
  <c r="K183" i="13" a="1"/>
  <c r="K17" i="13" a="1"/>
  <c r="K247" i="13" a="1"/>
  <c r="K139" i="13" a="1"/>
  <c r="K54" i="13" a="1"/>
  <c r="K278" i="13" a="1"/>
  <c r="K134" i="13" a="1"/>
  <c r="K269" i="13" a="1"/>
  <c r="K26" i="13" a="1"/>
  <c r="K303" i="13" a="1"/>
  <c r="K34" i="13" a="1"/>
  <c r="K103" i="13" a="1"/>
  <c r="K230" i="13" a="1"/>
  <c r="K117" i="13" a="1"/>
  <c r="K31" i="13" a="1"/>
  <c r="K187" i="13" a="1"/>
  <c r="K55" i="13" a="1"/>
  <c r="K111" i="13" a="1"/>
  <c r="K76" i="13" a="1"/>
  <c r="K156" i="13" a="1"/>
  <c r="K259" i="13" a="1"/>
  <c r="K211" i="13" a="1"/>
  <c r="K180" i="13" a="1"/>
  <c r="K60" i="13" a="1"/>
  <c r="K295" i="13" a="1"/>
  <c r="K86" i="13" a="1"/>
  <c r="K207" i="13" a="1"/>
  <c r="K206" i="13" a="1"/>
  <c r="K302" i="13" a="1"/>
  <c r="K3" i="13" a="1"/>
  <c r="K204" i="13" a="1"/>
  <c r="K35" i="13" a="1"/>
  <c r="K309" i="13" a="1"/>
  <c r="K113" i="13" a="1"/>
  <c r="K43" i="13" a="1"/>
  <c r="K274" i="13" a="1"/>
  <c r="K109" i="13" a="1"/>
  <c r="K223" i="13" a="1"/>
  <c r="K289" i="13" a="1"/>
  <c r="K100" i="13" a="1"/>
  <c r="K173" i="13" a="1"/>
  <c r="K246" i="13" a="1"/>
  <c r="K9" i="13" a="1"/>
  <c r="K208" i="13" a="1"/>
  <c r="K29" i="13" a="1"/>
  <c r="K258" i="13" a="1"/>
  <c r="K91" i="13" a="1"/>
  <c r="K92" i="13" a="1"/>
  <c r="K296" i="13" a="1"/>
  <c r="K152" i="13" a="1"/>
  <c r="K83" i="13" a="1"/>
  <c r="K172" i="13" a="1"/>
  <c r="K171" i="13" a="1"/>
  <c r="K264" i="13" a="1"/>
  <c r="K201" i="13" a="1"/>
  <c r="K129" i="13" a="1"/>
  <c r="K24" i="13" a="1"/>
  <c r="K57" i="13" a="1"/>
  <c r="K300" i="13" a="1"/>
  <c r="K104" i="13" a="1"/>
  <c r="K280" i="13" a="1"/>
  <c r="K52" i="13" a="1"/>
  <c r="K20" i="13" a="1"/>
  <c r="K160" i="13" a="1"/>
  <c r="K254" i="13" a="1"/>
  <c r="K218" i="13" a="1"/>
  <c r="K283" i="13" a="1"/>
  <c r="K120" i="13" a="1"/>
  <c r="K205" i="13" a="1"/>
  <c r="K130" i="13" a="1"/>
  <c r="K287" i="13" a="1"/>
  <c r="K168" i="13" a="1"/>
  <c r="K236" i="13" a="1"/>
  <c r="K210" i="13" a="1"/>
  <c r="K71" i="13" a="1"/>
  <c r="K237" i="13" a="1"/>
  <c r="K312" i="13" a="1"/>
  <c r="K23" i="13" a="1"/>
  <c r="K293" i="13" a="1"/>
  <c r="K297" i="13" a="1"/>
  <c r="K95" i="13" a="1"/>
  <c r="K191" i="13" a="1"/>
  <c r="K249" i="13" a="1"/>
  <c r="K112" i="13" a="1"/>
  <c r="K257" i="13" a="1"/>
  <c r="K22" i="13" a="1"/>
  <c r="K88" i="13" a="1"/>
  <c r="K203" i="13" a="1"/>
  <c r="K190" i="13" a="1"/>
  <c r="K267" i="13" a="1"/>
  <c r="K256" i="13" a="1"/>
  <c r="K288" i="13" a="1"/>
  <c r="K219" i="13" a="1"/>
  <c r="K251" i="13" a="1"/>
  <c r="K290" i="13" a="1"/>
  <c r="K114" i="13" a="1"/>
  <c r="K25" i="13" a="1"/>
  <c r="K186" i="13" a="1"/>
  <c r="K32" i="13" a="1"/>
  <c r="K184" i="13" a="1"/>
  <c r="K45" i="13" a="1"/>
  <c r="K310" i="13" a="1"/>
  <c r="K285" i="13" a="1"/>
  <c r="K124" i="13" a="1"/>
  <c r="K304" i="13" a="1"/>
  <c r="K101" i="13" a="1"/>
  <c r="K133" i="13" a="1"/>
  <c r="K7" i="13" a="1"/>
  <c r="K165" i="13" a="1"/>
  <c r="K135" i="13" a="1"/>
  <c r="K44" i="13" a="1"/>
  <c r="K123" i="13" a="1"/>
  <c r="K250" i="13" a="1"/>
  <c r="K294" i="13" a="1"/>
  <c r="K63" i="13" a="1"/>
  <c r="K235" i="13" a="1"/>
  <c r="K68" i="13" a="1"/>
  <c r="K21" i="13" a="1"/>
  <c r="K138" i="13" a="1"/>
  <c r="K69" i="13" a="1"/>
  <c r="K268" i="13" a="1"/>
  <c r="K265" i="13" a="1"/>
  <c r="K313" i="13" a="1"/>
  <c r="K80" i="13" a="1"/>
  <c r="K169" i="13" a="1"/>
  <c r="K220" i="13" a="1"/>
  <c r="K299" i="13" a="1"/>
  <c r="K8" i="13" a="1"/>
  <c r="K298" i="13" a="1"/>
  <c r="K75" i="13" a="1"/>
  <c r="K272" i="13" a="1"/>
  <c r="K74" i="13" a="1"/>
  <c r="K243" i="13" a="1"/>
  <c r="K197" i="13" a="1"/>
  <c r="K305" i="13" a="1"/>
  <c r="K107" i="13" a="1"/>
  <c r="K306" i="13" a="1"/>
  <c r="K188" i="13" a="1"/>
  <c r="K84" i="13" a="1"/>
  <c r="K137" i="13" a="1"/>
  <c r="K194" i="13" a="1"/>
  <c r="K149" i="13" a="1"/>
  <c r="K151" i="13" a="1"/>
  <c r="K98" i="13" a="1"/>
  <c r="K141" i="13" a="1"/>
  <c r="K175" i="13" a="1"/>
  <c r="K154" i="13" a="1"/>
  <c r="K65" i="13" a="1"/>
  <c r="K227" i="13" a="1"/>
  <c r="K176" i="13" a="1"/>
  <c r="K116" i="13" a="1"/>
  <c r="K224" i="13" a="1"/>
  <c r="K209" i="13" a="1"/>
  <c r="K47" i="13" a="1"/>
  <c r="K174" i="13" a="1"/>
  <c r="K242" i="13" a="1"/>
  <c r="K159" i="13" a="1"/>
  <c r="K108" i="13" a="1"/>
  <c r="K77" i="13" a="1"/>
  <c r="K48" i="13" a="1"/>
  <c r="K53" i="13" a="1"/>
  <c r="K51" i="13" a="1"/>
  <c r="K279" i="13" a="1"/>
  <c r="K127" i="13" a="1"/>
  <c r="K253" i="13" a="1"/>
  <c r="K189" i="13" a="1"/>
  <c r="K94" i="13" a="1"/>
  <c r="K79" i="13" a="1"/>
  <c r="K118" i="13" a="1"/>
  <c r="K146" i="13" a="1"/>
  <c r="K248" i="13" a="1"/>
  <c r="K81" i="13" a="1"/>
  <c r="K238" i="13" a="1"/>
  <c r="K260" i="13" a="1"/>
  <c r="J989" i="5" l="1"/>
  <c r="J1000" i="5"/>
  <c r="J967" i="5"/>
  <c r="J973" i="5"/>
  <c r="J959" i="5"/>
  <c r="J953" i="5"/>
  <c r="J946" i="5"/>
  <c r="J937" i="5"/>
  <c r="J928" i="5"/>
  <c r="J916" i="5"/>
  <c r="J905" i="5"/>
  <c r="J899" i="5"/>
  <c r="K69" i="13"/>
  <c r="L69" i="13" s="1"/>
  <c r="K205" i="13"/>
  <c r="L205" i="13" s="1"/>
  <c r="L142" i="13"/>
  <c r="K149" i="13"/>
  <c r="L149" i="13" s="1"/>
  <c r="K68" i="13"/>
  <c r="L68" i="13" s="1"/>
  <c r="K67" i="13"/>
  <c r="L67" i="13" s="1"/>
  <c r="K183" i="13"/>
  <c r="L183" i="13" s="1"/>
  <c r="K22" i="13"/>
  <c r="L22" i="13" s="1"/>
  <c r="K239" i="13"/>
  <c r="L239" i="13" s="1"/>
  <c r="K148" i="13"/>
  <c r="L148" i="13" s="1"/>
  <c r="K157" i="13"/>
  <c r="L157" i="13" s="1"/>
  <c r="K12" i="13"/>
  <c r="L12" i="13" s="1"/>
  <c r="K80" i="13"/>
  <c r="L80" i="13" s="1"/>
  <c r="K79" i="13"/>
  <c r="L79" i="13" s="1"/>
  <c r="K103" i="13"/>
  <c r="L103" i="13" s="1"/>
  <c r="K102" i="13"/>
  <c r="L102" i="13" s="1"/>
  <c r="L27" i="13"/>
  <c r="K146" i="13"/>
  <c r="L146" i="13" s="1"/>
  <c r="K145" i="13"/>
  <c r="L145" i="13" s="1"/>
  <c r="K207" i="13"/>
  <c r="L207" i="13" s="1"/>
  <c r="K224" i="13"/>
  <c r="L224" i="13" s="1"/>
  <c r="K295" i="13"/>
  <c r="L295" i="13" s="1"/>
  <c r="K220" i="13"/>
  <c r="L220" i="13" s="1"/>
  <c r="K225" i="13"/>
  <c r="L225" i="13" s="1"/>
  <c r="K296" i="13"/>
  <c r="L296" i="13" s="1"/>
  <c r="K306" i="13"/>
  <c r="L306" i="13" s="1"/>
  <c r="K64" i="13"/>
  <c r="L64" i="13" s="1"/>
  <c r="K75" i="13"/>
  <c r="L75" i="13" s="1"/>
  <c r="K74" i="13"/>
  <c r="L74" i="13" s="1"/>
  <c r="K28" i="13"/>
  <c r="L28" i="13" s="1"/>
  <c r="K65" i="13"/>
  <c r="L65" i="13" s="1"/>
  <c r="K244" i="13"/>
  <c r="L244" i="13" s="1"/>
  <c r="K175" i="13"/>
  <c r="L175" i="13" s="1"/>
  <c r="L182" i="13"/>
  <c r="K311" i="13"/>
  <c r="L311" i="13" s="1"/>
  <c r="K17" i="13"/>
  <c r="L17" i="13" s="1"/>
  <c r="L40" i="13"/>
  <c r="L13" i="13"/>
  <c r="L193" i="13"/>
  <c r="K77" i="13"/>
  <c r="L77" i="13" s="1"/>
  <c r="K151" i="13"/>
  <c r="L151" i="13" s="1"/>
  <c r="K313" i="13"/>
  <c r="L313" i="13" s="1"/>
  <c r="K231" i="13"/>
  <c r="L231" i="13" s="1"/>
  <c r="K228" i="13"/>
  <c r="L228" i="13" s="1"/>
  <c r="K236" i="13"/>
  <c r="L236" i="13" s="1"/>
  <c r="K123" i="13"/>
  <c r="L123" i="13" s="1"/>
  <c r="K154" i="13"/>
  <c r="L154" i="13" s="1"/>
  <c r="K191" i="13"/>
  <c r="L191" i="13" s="1"/>
  <c r="K300" i="13"/>
  <c r="L300" i="13" s="1"/>
  <c r="K173" i="13"/>
  <c r="L173" i="13" s="1"/>
  <c r="K130" i="13"/>
  <c r="L130" i="13" s="1"/>
  <c r="K222" i="13"/>
  <c r="L222" i="13" s="1"/>
  <c r="K293" i="13"/>
  <c r="L293" i="13" s="1"/>
  <c r="K23" i="13"/>
  <c r="L23" i="13" s="1"/>
  <c r="K264" i="13"/>
  <c r="L264" i="13" s="1"/>
  <c r="K104" i="13"/>
  <c r="L104" i="13" s="1"/>
  <c r="K101" i="13"/>
  <c r="L101" i="13" s="1"/>
  <c r="K134" i="13"/>
  <c r="L134" i="13" s="1"/>
  <c r="K92" i="13"/>
  <c r="L92" i="13" s="1"/>
  <c r="K291" i="13"/>
  <c r="L291" i="13" s="1"/>
  <c r="K218" i="13"/>
  <c r="L218" i="13" s="1"/>
  <c r="K133" i="13"/>
  <c r="L133" i="13" s="1"/>
  <c r="K230" i="13"/>
  <c r="L230" i="13" s="1"/>
  <c r="K215" i="13"/>
  <c r="L215" i="13" s="1"/>
  <c r="K127" i="13"/>
  <c r="L127" i="13" s="1"/>
  <c r="K113" i="13"/>
  <c r="L113" i="13" s="1"/>
  <c r="K24" i="13"/>
  <c r="L24" i="13" s="1"/>
  <c r="K97" i="13"/>
  <c r="L97" i="13" s="1"/>
  <c r="K247" i="13"/>
  <c r="L247" i="13" s="1"/>
  <c r="K253" i="13"/>
  <c r="L253" i="13" s="1"/>
  <c r="K242" i="13"/>
  <c r="L242" i="13" s="1"/>
  <c r="K283" i="13"/>
  <c r="L283" i="13" s="1"/>
  <c r="K299" i="13"/>
  <c r="L299" i="13" s="1"/>
  <c r="K301" i="13"/>
  <c r="L301" i="13" s="1"/>
  <c r="K269" i="13"/>
  <c r="L269" i="13" s="1"/>
  <c r="K184" i="13"/>
  <c r="L184" i="13" s="1"/>
  <c r="K194" i="13"/>
  <c r="L194" i="13" s="1"/>
  <c r="K227" i="13"/>
  <c r="L227" i="13" s="1"/>
  <c r="K181" i="13"/>
  <c r="L181" i="13" s="1"/>
  <c r="K229" i="13"/>
  <c r="L229" i="13" s="1"/>
  <c r="K155" i="13"/>
  <c r="L155" i="13" s="1"/>
  <c r="K153" i="13"/>
  <c r="L153" i="13" s="1"/>
  <c r="K302" i="13"/>
  <c r="L302" i="13" s="1"/>
  <c r="K93" i="13"/>
  <c r="L93" i="13" s="1"/>
  <c r="K106" i="13"/>
  <c r="L106" i="13" s="1"/>
  <c r="K46" i="13"/>
  <c r="L46" i="13" s="1"/>
  <c r="K128" i="13"/>
  <c r="L128" i="13" s="1"/>
  <c r="K98" i="13"/>
  <c r="L98" i="13" s="1"/>
  <c r="K81" i="13"/>
  <c r="L81" i="13" s="1"/>
  <c r="K91" i="13"/>
  <c r="L91" i="13" s="1"/>
  <c r="K33" i="13"/>
  <c r="L33" i="13" s="1"/>
  <c r="K238" i="13"/>
  <c r="L238" i="13" s="1"/>
  <c r="K122" i="13"/>
  <c r="L122" i="13" s="1"/>
  <c r="K211" i="13"/>
  <c r="L211" i="13" s="1"/>
  <c r="K275" i="13"/>
  <c r="L275" i="13" s="1"/>
  <c r="K246" i="13"/>
  <c r="L246" i="13" s="1"/>
  <c r="K89" i="13"/>
  <c r="L89" i="13" s="1"/>
  <c r="K58" i="13"/>
  <c r="L58" i="13" s="1"/>
  <c r="K248" i="13"/>
  <c r="L248" i="13" s="1"/>
  <c r="K254" i="13"/>
  <c r="L254" i="13" s="1"/>
  <c r="K237" i="13"/>
  <c r="L237" i="13" s="1"/>
  <c r="K204" i="13"/>
  <c r="L204" i="13" s="1"/>
  <c r="K60" i="13"/>
  <c r="L60" i="13" s="1"/>
  <c r="K271" i="13"/>
  <c r="L271" i="13" s="1"/>
  <c r="K176" i="13"/>
  <c r="L176" i="13" s="1"/>
  <c r="K35" i="13"/>
  <c r="L35" i="13" s="1"/>
  <c r="K83" i="13"/>
  <c r="L83" i="13" s="1"/>
  <c r="K212" i="13"/>
  <c r="L212" i="13" s="1"/>
  <c r="K95" i="13"/>
  <c r="L95" i="13" s="1"/>
  <c r="K259" i="13"/>
  <c r="L259" i="13" s="1"/>
  <c r="K314" i="13"/>
  <c r="L314" i="13" s="1"/>
  <c r="K304" i="13"/>
  <c r="L304" i="13" s="1"/>
  <c r="K139" i="13"/>
  <c r="L139" i="13" s="1"/>
  <c r="K195" i="13"/>
  <c r="L195" i="13" s="1"/>
  <c r="K278" i="13"/>
  <c r="L278" i="13" s="1"/>
  <c r="K30" i="13"/>
  <c r="L30" i="13" s="1"/>
  <c r="K276" i="13"/>
  <c r="L276" i="13" s="1"/>
  <c r="K305" i="13"/>
  <c r="L305" i="13" s="1"/>
  <c r="K233" i="13"/>
  <c r="L233" i="13" s="1"/>
  <c r="K72" i="13"/>
  <c r="L72" i="13" s="1"/>
  <c r="K61" i="13"/>
  <c r="L61" i="13" s="1"/>
  <c r="L144" i="13"/>
  <c r="L10" i="13"/>
  <c r="K5" i="13"/>
  <c r="L5" i="13" s="1"/>
  <c r="K186" i="13"/>
  <c r="L186" i="13" s="1"/>
  <c r="K288" i="13"/>
  <c r="L288" i="13" s="1"/>
  <c r="K48" i="13"/>
  <c r="L48" i="13" s="1"/>
  <c r="K86" i="13"/>
  <c r="L86" i="13" s="1"/>
  <c r="K208" i="13"/>
  <c r="L208" i="13" s="1"/>
  <c r="K116" i="13"/>
  <c r="L116" i="13" s="1"/>
  <c r="K152" i="13"/>
  <c r="L152" i="13" s="1"/>
  <c r="K57" i="13"/>
  <c r="L57" i="13" s="1"/>
  <c r="K267" i="13"/>
  <c r="L267" i="13" s="1"/>
  <c r="K216" i="13"/>
  <c r="L216" i="13" s="1"/>
  <c r="K235" i="13"/>
  <c r="L235" i="13" s="1"/>
  <c r="K44" i="13"/>
  <c r="L44" i="13" s="1"/>
  <c r="K285" i="13"/>
  <c r="L285" i="13" s="1"/>
  <c r="K210" i="13"/>
  <c r="L210" i="13" s="1"/>
  <c r="K243" i="13"/>
  <c r="L243" i="13" s="1"/>
  <c r="K255" i="13"/>
  <c r="L255" i="13" s="1"/>
  <c r="K156" i="13"/>
  <c r="L156" i="13" s="1"/>
  <c r="K111" i="13"/>
  <c r="L111" i="13" s="1"/>
  <c r="K206" i="13"/>
  <c r="L206" i="13" s="1"/>
  <c r="K90" i="13"/>
  <c r="L90" i="13" s="1"/>
  <c r="K241" i="13"/>
  <c r="L241" i="13" s="1"/>
  <c r="K249" i="13"/>
  <c r="L249" i="13" s="1"/>
  <c r="K19" i="13"/>
  <c r="L19" i="13" s="1"/>
  <c r="K257" i="13"/>
  <c r="L257" i="13" s="1"/>
  <c r="K188" i="13"/>
  <c r="L188" i="13" s="1"/>
  <c r="K180" i="13"/>
  <c r="L180" i="13" s="1"/>
  <c r="K309" i="13"/>
  <c r="L309" i="13" s="1"/>
  <c r="K96" i="13"/>
  <c r="L96" i="13" s="1"/>
  <c r="K162" i="13"/>
  <c r="L162" i="13" s="1"/>
  <c r="K121" i="13"/>
  <c r="L121" i="13" s="1"/>
  <c r="K99" i="13"/>
  <c r="L99" i="13" s="1"/>
  <c r="K171" i="13"/>
  <c r="L171" i="13" s="1"/>
  <c r="K105" i="13"/>
  <c r="L105" i="13" s="1"/>
  <c r="K124" i="13"/>
  <c r="L124" i="13" s="1"/>
  <c r="K268" i="13"/>
  <c r="L268" i="13" s="1"/>
  <c r="K219" i="13"/>
  <c r="L219" i="13" s="1"/>
  <c r="K8" i="13"/>
  <c r="L8" i="13" s="1"/>
  <c r="K85" i="13"/>
  <c r="L85" i="13" s="1"/>
  <c r="K119" i="13"/>
  <c r="L119" i="13" s="1"/>
  <c r="K223" i="13"/>
  <c r="L223" i="13" s="1"/>
  <c r="K174" i="13"/>
  <c r="L174" i="13" s="1"/>
  <c r="K169" i="13"/>
  <c r="L169" i="13" s="1"/>
  <c r="K179" i="13"/>
  <c r="L179" i="13" s="1"/>
  <c r="K56" i="13"/>
  <c r="L56" i="13" s="1"/>
  <c r="K52" i="13"/>
  <c r="L52" i="13" s="1"/>
  <c r="K170" i="13"/>
  <c r="L170" i="13" s="1"/>
  <c r="K280" i="13"/>
  <c r="L280" i="13" s="1"/>
  <c r="K31" i="13"/>
  <c r="L31" i="13" s="1"/>
  <c r="K308" i="13"/>
  <c r="L308" i="13" s="1"/>
  <c r="K226" i="13"/>
  <c r="L226" i="13" s="1"/>
  <c r="K71" i="13"/>
  <c r="L71" i="13" s="1"/>
  <c r="K7" i="13"/>
  <c r="L7" i="13" s="1"/>
  <c r="K9" i="13"/>
  <c r="L9" i="13" s="1"/>
  <c r="K131" i="13"/>
  <c r="L131" i="13" s="1"/>
  <c r="K163" i="13"/>
  <c r="L163" i="13" s="1"/>
  <c r="K289" i="13"/>
  <c r="L289" i="13" s="1"/>
  <c r="K287" i="13"/>
  <c r="L287" i="13" s="1"/>
  <c r="K87" i="13"/>
  <c r="L87" i="13" s="1"/>
  <c r="K141" i="13"/>
  <c r="L141" i="13" s="1"/>
  <c r="K140" i="13"/>
  <c r="L140" i="13" s="1"/>
  <c r="K100" i="13"/>
  <c r="L100" i="13" s="1"/>
  <c r="K160" i="13"/>
  <c r="L160" i="13" s="1"/>
  <c r="K45" i="13"/>
  <c r="L45" i="13" s="1"/>
  <c r="L126" i="13"/>
  <c r="K53" i="13"/>
  <c r="L53" i="13" s="1"/>
  <c r="K190" i="13"/>
  <c r="L190" i="13" s="1"/>
  <c r="K43" i="13"/>
  <c r="L43" i="13" s="1"/>
  <c r="K260" i="13"/>
  <c r="L260" i="13" s="1"/>
  <c r="K189" i="13"/>
  <c r="L189" i="13" s="1"/>
  <c r="K240" i="13"/>
  <c r="L240" i="13" s="1"/>
  <c r="L37" i="13"/>
  <c r="K59" i="13"/>
  <c r="L59" i="13" s="1"/>
  <c r="K201" i="13"/>
  <c r="L201" i="13" s="1"/>
  <c r="K112" i="13"/>
  <c r="L112" i="13" s="1"/>
  <c r="K76" i="13"/>
  <c r="L76" i="13" s="1"/>
  <c r="K312" i="13"/>
  <c r="L312" i="13" s="1"/>
  <c r="K250" i="13"/>
  <c r="L250" i="13" s="1"/>
  <c r="K6" i="13"/>
  <c r="L6" i="13" s="1"/>
  <c r="K165" i="13"/>
  <c r="L165" i="13" s="1"/>
  <c r="K158" i="13"/>
  <c r="L158" i="13" s="1"/>
  <c r="K84" i="13"/>
  <c r="L84" i="13" s="1"/>
  <c r="K266" i="13"/>
  <c r="L266" i="13" s="1"/>
  <c r="K47" i="13"/>
  <c r="L47" i="13" s="1"/>
  <c r="L252" i="13"/>
  <c r="K202" i="13"/>
  <c r="L202" i="13" s="1"/>
  <c r="K303" i="13"/>
  <c r="L303" i="13" s="1"/>
  <c r="K117" i="13"/>
  <c r="L117" i="13" s="1"/>
  <c r="L166" i="13"/>
  <c r="K297" i="13"/>
  <c r="L297" i="13" s="1"/>
  <c r="K26" i="13"/>
  <c r="L26" i="13" s="1"/>
  <c r="K279" i="13"/>
  <c r="L279" i="13" s="1"/>
  <c r="K4" i="13"/>
  <c r="L4" i="13" s="1"/>
  <c r="L200" i="13"/>
  <c r="K73" i="13"/>
  <c r="L73" i="13" s="1"/>
  <c r="K197" i="13"/>
  <c r="L197" i="13" s="1"/>
  <c r="K258" i="13"/>
  <c r="L258" i="13" s="1"/>
  <c r="K292" i="13"/>
  <c r="L292" i="13" s="1"/>
  <c r="K55" i="13"/>
  <c r="L55" i="13" s="1"/>
  <c r="K261" i="13"/>
  <c r="L261" i="13" s="1"/>
  <c r="K187" i="13"/>
  <c r="L187" i="13" s="1"/>
  <c r="K168" i="13"/>
  <c r="L168" i="13" s="1"/>
  <c r="L198" i="13"/>
  <c r="K203" i="13"/>
  <c r="L203" i="13" s="1"/>
  <c r="K284" i="13"/>
  <c r="L284" i="13" s="1"/>
  <c r="K54" i="13"/>
  <c r="L54" i="13" s="1"/>
  <c r="K132" i="13"/>
  <c r="L132" i="13" s="1"/>
  <c r="K34" i="13"/>
  <c r="L34" i="13" s="1"/>
  <c r="L199" i="13"/>
  <c r="K138" i="13"/>
  <c r="L138" i="13" s="1"/>
  <c r="K196" i="13"/>
  <c r="L196" i="13" s="1"/>
  <c r="K298" i="13"/>
  <c r="L298" i="13" s="1"/>
  <c r="K32" i="13"/>
  <c r="L32" i="13" s="1"/>
  <c r="K310" i="13"/>
  <c r="L310" i="13" s="1"/>
  <c r="K29" i="13"/>
  <c r="L29" i="13" s="1"/>
  <c r="K63" i="13"/>
  <c r="L63" i="13" s="1"/>
  <c r="K262" i="13"/>
  <c r="L262" i="13" s="1"/>
  <c r="L16" i="13"/>
  <c r="K3" i="13"/>
  <c r="L3" i="13" s="1"/>
  <c r="K107" i="13"/>
  <c r="L107" i="13" s="1"/>
  <c r="K265" i="13"/>
  <c r="L265" i="13" s="1"/>
  <c r="K290" i="13"/>
  <c r="L290" i="13" s="1"/>
  <c r="L38" i="13"/>
  <c r="K49" i="13"/>
  <c r="L49" i="13" s="1"/>
  <c r="K192" i="13"/>
  <c r="L192" i="13" s="1"/>
  <c r="K245" i="13"/>
  <c r="L245" i="13" s="1"/>
  <c r="L234" i="13"/>
  <c r="K161" i="13"/>
  <c r="L161" i="13" s="1"/>
  <c r="K217" i="13"/>
  <c r="L217" i="13" s="1"/>
  <c r="K256" i="13"/>
  <c r="L256" i="13" s="1"/>
  <c r="K82" i="13"/>
  <c r="L82" i="13" s="1"/>
  <c r="K114" i="13"/>
  <c r="L114" i="13" s="1"/>
  <c r="K213" i="13"/>
  <c r="L213" i="13" s="1"/>
  <c r="K274" i="13"/>
  <c r="L274" i="13" s="1"/>
  <c r="K110" i="13"/>
  <c r="L110" i="13" s="1"/>
  <c r="K136" i="13"/>
  <c r="L136" i="13" s="1"/>
  <c r="K209" i="13"/>
  <c r="L209" i="13" s="1"/>
  <c r="K120" i="13"/>
  <c r="L120" i="13" s="1"/>
  <c r="K62" i="13"/>
  <c r="L62" i="13" s="1"/>
  <c r="K129" i="13"/>
  <c r="L129" i="13" s="1"/>
  <c r="K88" i="13"/>
  <c r="L88" i="13" s="1"/>
  <c r="L115" i="13"/>
  <c r="K273" i="13"/>
  <c r="L273" i="13" s="1"/>
  <c r="K251" i="13"/>
  <c r="L251" i="13" s="1"/>
  <c r="K20" i="13"/>
  <c r="L20" i="13" s="1"/>
  <c r="K164" i="13"/>
  <c r="L164" i="13" s="1"/>
  <c r="K109" i="13"/>
  <c r="L109" i="13" s="1"/>
  <c r="K25" i="13"/>
  <c r="L25" i="13" s="1"/>
  <c r="K263" i="13"/>
  <c r="L263" i="13" s="1"/>
  <c r="K51" i="13"/>
  <c r="L51" i="13" s="1"/>
  <c r="K272" i="13"/>
  <c r="L272" i="13" s="1"/>
  <c r="L39" i="13"/>
  <c r="K21" i="13"/>
  <c r="L21" i="13" s="1"/>
  <c r="K294" i="13"/>
  <c r="L294" i="13" s="1"/>
  <c r="K172" i="13"/>
  <c r="L172" i="13" s="1"/>
  <c r="K159" i="13"/>
  <c r="L159" i="13" s="1"/>
  <c r="K232" i="13"/>
  <c r="L232" i="13" s="1"/>
  <c r="K137" i="13"/>
  <c r="L137" i="13" s="1"/>
  <c r="K94" i="13"/>
  <c r="L94" i="13" s="1"/>
  <c r="K108" i="13"/>
  <c r="L108" i="13" s="1"/>
  <c r="K135" i="13"/>
  <c r="L135" i="13" s="1"/>
  <c r="K118" i="13"/>
  <c r="L118" i="13" s="1"/>
  <c r="AK14" i="2"/>
  <c r="I46" i="6"/>
  <c r="I31" i="6"/>
  <c r="I83" i="6"/>
  <c r="I227" i="6"/>
  <c r="I203" i="6"/>
  <c r="I184" i="6"/>
  <c r="I196" i="6"/>
  <c r="I66" i="6"/>
  <c r="I88" i="6"/>
  <c r="I190" i="6"/>
  <c r="I206" i="6"/>
  <c r="I215" i="6"/>
  <c r="I250" i="6"/>
  <c r="I45" i="6"/>
  <c r="I241" i="6"/>
  <c r="I89" i="6"/>
  <c r="I186" i="6"/>
  <c r="I207" i="6"/>
  <c r="I214" i="6"/>
  <c r="I28" i="6"/>
  <c r="I195" i="6"/>
  <c r="I47" i="6"/>
  <c r="I251" i="6"/>
  <c r="I90" i="6"/>
  <c r="I189" i="6"/>
  <c r="I208" i="6"/>
  <c r="I213" i="6"/>
  <c r="I225" i="6"/>
  <c r="I30" i="6"/>
  <c r="I69" i="6"/>
  <c r="I82" i="6"/>
  <c r="I201" i="6"/>
  <c r="I199" i="6"/>
  <c r="I212" i="6"/>
  <c r="I240" i="6"/>
  <c r="I194" i="6"/>
  <c r="I42" i="6"/>
  <c r="I185" i="6"/>
  <c r="I86" i="6"/>
  <c r="I188" i="6"/>
  <c r="I204" i="6"/>
  <c r="I211" i="6"/>
  <c r="I2" i="6"/>
  <c r="I29" i="6"/>
  <c r="I48" i="6"/>
  <c r="I85" i="6"/>
  <c r="I91" i="6"/>
  <c r="I200" i="6"/>
  <c r="I216" i="6"/>
  <c r="I210" i="6"/>
  <c r="I19" i="6"/>
  <c r="I193" i="6"/>
  <c r="I43" i="6"/>
  <c r="I84" i="6"/>
  <c r="I87" i="6"/>
  <c r="I187" i="6"/>
  <c r="I205" i="6"/>
  <c r="I41" i="6"/>
  <c r="I40" i="6"/>
  <c r="I39" i="6"/>
  <c r="I38" i="6"/>
  <c r="I37" i="6"/>
  <c r="I36" i="6"/>
  <c r="I35" i="6"/>
  <c r="I34" i="6"/>
  <c r="I183" i="6"/>
  <c r="I182" i="6"/>
  <c r="I181" i="6"/>
  <c r="I180" i="6"/>
  <c r="I179" i="6"/>
  <c r="I178" i="6"/>
  <c r="I177" i="6"/>
  <c r="I176" i="6"/>
  <c r="I249" i="6"/>
  <c r="I248" i="6"/>
  <c r="I247" i="6"/>
  <c r="I246" i="6"/>
  <c r="I245" i="6"/>
  <c r="I244" i="6"/>
  <c r="I243" i="6"/>
  <c r="I242" i="6"/>
  <c r="I27" i="6"/>
  <c r="I26" i="6"/>
  <c r="I25" i="6"/>
  <c r="I24" i="6"/>
  <c r="I23" i="6"/>
  <c r="I22" i="6"/>
  <c r="I21" i="6"/>
  <c r="I20" i="6"/>
  <c r="I224" i="6"/>
  <c r="I223" i="6"/>
  <c r="I222" i="6"/>
  <c r="I221" i="6"/>
  <c r="I220" i="6"/>
  <c r="I219" i="6"/>
  <c r="I218" i="6"/>
  <c r="I217" i="6"/>
  <c r="I239" i="6"/>
  <c r="I238" i="6"/>
  <c r="I237" i="6"/>
  <c r="I236" i="6"/>
  <c r="I235" i="6"/>
  <c r="I234" i="6"/>
  <c r="I233" i="6"/>
  <c r="I232" i="6"/>
  <c r="I10" i="6"/>
  <c r="I9" i="6"/>
  <c r="I8" i="6"/>
  <c r="I7" i="6"/>
  <c r="I6" i="6"/>
  <c r="I5" i="6"/>
  <c r="I4" i="6"/>
  <c r="I3" i="6"/>
  <c r="I18" i="6"/>
  <c r="I17" i="6"/>
  <c r="I16" i="6"/>
  <c r="I15" i="6"/>
  <c r="I14" i="6"/>
  <c r="I13" i="6"/>
  <c r="I12" i="6"/>
  <c r="I11" i="6"/>
  <c r="I162" i="6"/>
  <c r="I161" i="6"/>
  <c r="I160" i="6"/>
  <c r="I159" i="6"/>
  <c r="I158" i="6"/>
  <c r="I157" i="6"/>
  <c r="I156" i="6"/>
  <c r="I155" i="6"/>
  <c r="I154" i="6"/>
  <c r="I68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33" i="6"/>
  <c r="I170" i="6"/>
  <c r="I61" i="6"/>
  <c r="I77" i="6"/>
  <c r="I65" i="6"/>
  <c r="I92" i="6"/>
  <c r="I53" i="6"/>
  <c r="I67" i="6"/>
  <c r="I231" i="6"/>
  <c r="I169" i="6"/>
  <c r="I60" i="6"/>
  <c r="I76" i="6"/>
  <c r="I81" i="6"/>
  <c r="I228" i="6"/>
  <c r="I99" i="6"/>
  <c r="I191" i="6"/>
  <c r="I32" i="6"/>
  <c r="I168" i="6"/>
  <c r="I59" i="6"/>
  <c r="I75" i="6"/>
  <c r="I64" i="6"/>
  <c r="I95" i="6"/>
  <c r="I52" i="6"/>
  <c r="I175" i="6"/>
  <c r="I49" i="6"/>
  <c r="I167" i="6"/>
  <c r="I58" i="6"/>
  <c r="I74" i="6"/>
  <c r="I80" i="6"/>
  <c r="I226" i="6"/>
  <c r="I98" i="6"/>
  <c r="I174" i="6"/>
  <c r="I198" i="6"/>
  <c r="I166" i="6"/>
  <c r="I57" i="6"/>
  <c r="I73" i="6"/>
  <c r="I63" i="6"/>
  <c r="I94" i="6"/>
  <c r="I51" i="6"/>
  <c r="I173" i="6"/>
  <c r="I197" i="6"/>
  <c r="I165" i="6"/>
  <c r="I56" i="6"/>
  <c r="I72" i="6"/>
  <c r="I79" i="6"/>
  <c r="I230" i="6"/>
  <c r="I97" i="6"/>
  <c r="I172" i="6"/>
  <c r="I209" i="6"/>
  <c r="I164" i="6"/>
  <c r="I55" i="6"/>
  <c r="I71" i="6"/>
  <c r="I62" i="6"/>
  <c r="I93" i="6"/>
  <c r="I50" i="6"/>
  <c r="I192" i="6"/>
  <c r="I202" i="6"/>
  <c r="I163" i="6"/>
  <c r="I54" i="6"/>
  <c r="I70" i="6"/>
  <c r="I78" i="6"/>
  <c r="I229" i="6"/>
  <c r="I96" i="6"/>
  <c r="I171" i="6"/>
  <c r="AM14" i="2"/>
  <c r="AN14" i="2" s="1"/>
  <c r="AC4" i="2"/>
  <c r="Q116" i="5"/>
  <c r="N897" i="5"/>
  <c r="M897" i="5"/>
  <c r="C893" i="5"/>
  <c r="C894" i="5" s="1"/>
  <c r="C895" i="5" s="1"/>
  <c r="B895" i="5" s="1"/>
  <c r="B892" i="5"/>
  <c r="N891" i="5"/>
  <c r="M891" i="5"/>
  <c r="Q115" i="5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C887" i="5"/>
  <c r="C888" i="5" s="1"/>
  <c r="B886" i="5"/>
  <c r="N885" i="5"/>
  <c r="M885" i="5"/>
  <c r="C881" i="5"/>
  <c r="C882" i="5" s="1"/>
  <c r="C883" i="5" s="1"/>
  <c r="B883" i="5" s="1"/>
  <c r="B880" i="5"/>
  <c r="N879" i="5"/>
  <c r="M879" i="5"/>
  <c r="C875" i="5"/>
  <c r="C876" i="5" s="1"/>
  <c r="C877" i="5" s="1"/>
  <c r="B877" i="5" s="1"/>
  <c r="B874" i="5"/>
  <c r="N873" i="5"/>
  <c r="M873" i="5"/>
  <c r="C869" i="5"/>
  <c r="B869" i="5" s="1"/>
  <c r="B868" i="5"/>
  <c r="N867" i="5"/>
  <c r="M867" i="5"/>
  <c r="C863" i="5"/>
  <c r="B863" i="5" s="1"/>
  <c r="B862" i="5"/>
  <c r="N861" i="5"/>
  <c r="M861" i="5"/>
  <c r="C857" i="5"/>
  <c r="C858" i="5" s="1"/>
  <c r="B856" i="5"/>
  <c r="N855" i="5"/>
  <c r="M855" i="5"/>
  <c r="C851" i="5"/>
  <c r="B851" i="5" s="1"/>
  <c r="B850" i="5"/>
  <c r="N849" i="5"/>
  <c r="M849" i="5"/>
  <c r="C845" i="5"/>
  <c r="B845" i="5" s="1"/>
  <c r="B844" i="5"/>
  <c r="N843" i="5"/>
  <c r="M843" i="5"/>
  <c r="Q101" i="5"/>
  <c r="Q100" i="5"/>
  <c r="Q99" i="5"/>
  <c r="Q98" i="5"/>
  <c r="Q97" i="5"/>
  <c r="Q96" i="5"/>
  <c r="Q95" i="5"/>
  <c r="Q94" i="5"/>
  <c r="C835" i="5"/>
  <c r="C836" i="5" s="1"/>
  <c r="B834" i="5"/>
  <c r="N833" i="5"/>
  <c r="M833" i="5"/>
  <c r="C829" i="5"/>
  <c r="C830" i="5" s="1"/>
  <c r="B828" i="5"/>
  <c r="N827" i="5"/>
  <c r="M827" i="5"/>
  <c r="C823" i="5"/>
  <c r="C824" i="5" s="1"/>
  <c r="B822" i="5"/>
  <c r="N821" i="5"/>
  <c r="M821" i="5"/>
  <c r="C817" i="5"/>
  <c r="C818" i="5" s="1"/>
  <c r="B818" i="5" s="1"/>
  <c r="B816" i="5"/>
  <c r="N815" i="5"/>
  <c r="M815" i="5"/>
  <c r="C812" i="5"/>
  <c r="C813" i="5" s="1"/>
  <c r="B811" i="5"/>
  <c r="N810" i="5"/>
  <c r="M810" i="5"/>
  <c r="C803" i="5"/>
  <c r="C804" i="5" s="1"/>
  <c r="B802" i="5"/>
  <c r="N801" i="5"/>
  <c r="M801" i="5"/>
  <c r="C203" i="6"/>
  <c r="C31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3" i="5"/>
  <c r="C755" i="5"/>
  <c r="C756" i="5" s="1"/>
  <c r="C757" i="5" s="1"/>
  <c r="B754" i="5"/>
  <c r="C746" i="5"/>
  <c r="C747" i="5" s="1"/>
  <c r="B745" i="5"/>
  <c r="C737" i="5"/>
  <c r="C738" i="5" s="1"/>
  <c r="B736" i="5"/>
  <c r="C728" i="5"/>
  <c r="C729" i="5" s="1"/>
  <c r="B727" i="5"/>
  <c r="C719" i="5"/>
  <c r="C720" i="5" s="1"/>
  <c r="B718" i="5"/>
  <c r="C710" i="5"/>
  <c r="C711" i="5" s="1"/>
  <c r="B709" i="5"/>
  <c r="C701" i="5"/>
  <c r="C702" i="5" s="1"/>
  <c r="B700" i="5"/>
  <c r="C692" i="5"/>
  <c r="C693" i="5" s="1"/>
  <c r="C694" i="5" s="1"/>
  <c r="B691" i="5"/>
  <c r="C683" i="5"/>
  <c r="C684" i="5" s="1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8" i="5"/>
  <c r="C631" i="5"/>
  <c r="C632" i="5" s="1"/>
  <c r="C633" i="5" s="1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3" i="6"/>
  <c r="C46" i="6"/>
  <c r="C227" i="6"/>
  <c r="C184" i="6"/>
  <c r="J508" i="5"/>
  <c r="J507" i="5"/>
  <c r="J506" i="5"/>
  <c r="J505" i="5"/>
  <c r="J504" i="5"/>
  <c r="J503" i="5"/>
  <c r="C502" i="5"/>
  <c r="C503" i="5" s="1"/>
  <c r="C504" i="5" s="1"/>
  <c r="B501" i="5"/>
  <c r="C196" i="6"/>
  <c r="C66" i="6"/>
  <c r="C88" i="6"/>
  <c r="C190" i="6"/>
  <c r="C206" i="6"/>
  <c r="C215" i="6"/>
  <c r="C250" i="6"/>
  <c r="C45" i="6"/>
  <c r="C241" i="6"/>
  <c r="C89" i="6"/>
  <c r="C186" i="6"/>
  <c r="C207" i="6"/>
  <c r="C214" i="6"/>
  <c r="C28" i="6"/>
  <c r="C195" i="6"/>
  <c r="C47" i="6"/>
  <c r="C251" i="6"/>
  <c r="C90" i="6"/>
  <c r="C189" i="6"/>
  <c r="C208" i="6"/>
  <c r="C213" i="6"/>
  <c r="C225" i="6"/>
  <c r="C30" i="6"/>
  <c r="C69" i="6"/>
  <c r="C82" i="6"/>
  <c r="C201" i="6"/>
  <c r="C199" i="6"/>
  <c r="C212" i="6"/>
  <c r="C240" i="6"/>
  <c r="C194" i="6"/>
  <c r="C42" i="6"/>
  <c r="C185" i="6"/>
  <c r="C86" i="6"/>
  <c r="C188" i="6"/>
  <c r="C204" i="6"/>
  <c r="C211" i="6"/>
  <c r="C2" i="6"/>
  <c r="C29" i="6"/>
  <c r="C48" i="6"/>
  <c r="C85" i="6"/>
  <c r="C91" i="6"/>
  <c r="C200" i="6"/>
  <c r="C216" i="6"/>
  <c r="C210" i="6"/>
  <c r="C19" i="6"/>
  <c r="C193" i="6"/>
  <c r="C43" i="6"/>
  <c r="C84" i="6"/>
  <c r="C87" i="6"/>
  <c r="C187" i="6"/>
  <c r="C205" i="6"/>
  <c r="C41" i="6"/>
  <c r="C40" i="6"/>
  <c r="C39" i="6"/>
  <c r="C38" i="6"/>
  <c r="C37" i="6"/>
  <c r="C36" i="6"/>
  <c r="C35" i="6"/>
  <c r="C34" i="6"/>
  <c r="C183" i="6"/>
  <c r="C182" i="6"/>
  <c r="C181" i="6"/>
  <c r="C180" i="6"/>
  <c r="C179" i="6"/>
  <c r="C178" i="6"/>
  <c r="C177" i="6"/>
  <c r="C176" i="6"/>
  <c r="C249" i="6"/>
  <c r="C248" i="6"/>
  <c r="C247" i="6"/>
  <c r="C246" i="6"/>
  <c r="C245" i="6"/>
  <c r="C244" i="6"/>
  <c r="C243" i="6"/>
  <c r="C242" i="6"/>
  <c r="C27" i="6"/>
  <c r="C26" i="6"/>
  <c r="C25" i="6"/>
  <c r="C24" i="6"/>
  <c r="C23" i="6"/>
  <c r="C22" i="6"/>
  <c r="C21" i="6"/>
  <c r="C20" i="6"/>
  <c r="C224" i="6"/>
  <c r="C223" i="6"/>
  <c r="C222" i="6"/>
  <c r="C221" i="6"/>
  <c r="C220" i="6"/>
  <c r="C219" i="6"/>
  <c r="C218" i="6"/>
  <c r="C217" i="6"/>
  <c r="C239" i="6"/>
  <c r="C238" i="6"/>
  <c r="C237" i="6"/>
  <c r="C236" i="6"/>
  <c r="C235" i="6"/>
  <c r="C234" i="6"/>
  <c r="C233" i="6"/>
  <c r="C232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2" i="6"/>
  <c r="C161" i="6"/>
  <c r="C160" i="6"/>
  <c r="C159" i="6"/>
  <c r="C158" i="6"/>
  <c r="C157" i="6"/>
  <c r="C156" i="6"/>
  <c r="C155" i="6"/>
  <c r="C154" i="6"/>
  <c r="C68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33" i="6"/>
  <c r="C170" i="6"/>
  <c r="C61" i="6"/>
  <c r="C77" i="6"/>
  <c r="C65" i="6"/>
  <c r="C92" i="6"/>
  <c r="C53" i="6"/>
  <c r="C67" i="6"/>
  <c r="C231" i="6"/>
  <c r="C169" i="6"/>
  <c r="C60" i="6"/>
  <c r="C76" i="6"/>
  <c r="C81" i="6"/>
  <c r="C228" i="6"/>
  <c r="C99" i="6"/>
  <c r="C191" i="6"/>
  <c r="C32" i="6"/>
  <c r="C168" i="6"/>
  <c r="C59" i="6"/>
  <c r="C75" i="6"/>
  <c r="C64" i="6"/>
  <c r="C95" i="6"/>
  <c r="C52" i="6"/>
  <c r="C175" i="6"/>
  <c r="C49" i="6"/>
  <c r="C167" i="6"/>
  <c r="C58" i="6"/>
  <c r="C74" i="6"/>
  <c r="C80" i="6"/>
  <c r="C226" i="6"/>
  <c r="C98" i="6"/>
  <c r="C174" i="6"/>
  <c r="C198" i="6"/>
  <c r="C166" i="6"/>
  <c r="C57" i="6"/>
  <c r="C73" i="6"/>
  <c r="C63" i="6"/>
  <c r="C94" i="6"/>
  <c r="C51" i="6"/>
  <c r="C173" i="6"/>
  <c r="C197" i="6"/>
  <c r="C165" i="6"/>
  <c r="C56" i="6"/>
  <c r="C72" i="6"/>
  <c r="C79" i="6"/>
  <c r="C230" i="6"/>
  <c r="C97" i="6"/>
  <c r="C172" i="6"/>
  <c r="C209" i="6"/>
  <c r="C164" i="6"/>
  <c r="C55" i="6"/>
  <c r="C71" i="6"/>
  <c r="C62" i="6"/>
  <c r="C93" i="6"/>
  <c r="C50" i="6"/>
  <c r="C192" i="6"/>
  <c r="C202" i="6"/>
  <c r="C163" i="6"/>
  <c r="C54" i="6"/>
  <c r="C70" i="6"/>
  <c r="C78" i="6"/>
  <c r="C229" i="6"/>
  <c r="C96" i="6"/>
  <c r="C171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S11" i="4"/>
  <c r="S10" i="4"/>
  <c r="U10" i="4" s="1"/>
  <c r="S9" i="4"/>
  <c r="S8" i="4"/>
  <c r="U8" i="4" s="1"/>
  <c r="S7" i="4"/>
  <c r="S6" i="4"/>
  <c r="U6" i="4" s="1"/>
  <c r="S5" i="4"/>
  <c r="S4" i="4"/>
  <c r="R11" i="4"/>
  <c r="R9" i="4"/>
  <c r="R7" i="4"/>
  <c r="R5" i="4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1068" i="2" a="1"/>
  <c r="AB1056" i="2" a="1"/>
  <c r="AB1044" i="2" a="1"/>
  <c r="AB1032" i="2" a="1"/>
  <c r="AB1020" i="2" a="1"/>
  <c r="AB1008" i="2" a="1"/>
  <c r="AB996" i="2" a="1"/>
  <c r="AB984" i="2" a="1"/>
  <c r="AB972" i="2" a="1"/>
  <c r="AB960" i="2" a="1"/>
  <c r="AB948" i="2" a="1"/>
  <c r="AB936" i="2" a="1"/>
  <c r="AB924" i="2" a="1"/>
  <c r="AB912" i="2" a="1"/>
  <c r="AB900" i="2" a="1"/>
  <c r="AB888" i="2" a="1"/>
  <c r="AB876" i="2" a="1"/>
  <c r="AB864" i="2" a="1"/>
  <c r="AB852" i="2" a="1"/>
  <c r="AB840" i="2" a="1"/>
  <c r="AB828" i="2" a="1"/>
  <c r="AB816" i="2" a="1"/>
  <c r="AB804" i="2" a="1"/>
  <c r="AB792" i="2" a="1"/>
  <c r="AB780" i="2" a="1"/>
  <c r="AB768" i="2" a="1"/>
  <c r="AB756" i="2" a="1"/>
  <c r="AB744" i="2" a="1"/>
  <c r="AB732" i="2" a="1"/>
  <c r="AB720" i="2" a="1"/>
  <c r="AB708" i="2" a="1"/>
  <c r="AB696" i="2" a="1"/>
  <c r="AB684" i="2" a="1"/>
  <c r="AB672" i="2" a="1"/>
  <c r="AB660" i="2" a="1"/>
  <c r="AB648" i="2" a="1"/>
  <c r="AB636" i="2" a="1"/>
  <c r="AB624" i="2" a="1"/>
  <c r="AB612" i="2" a="1"/>
  <c r="AB600" i="2" a="1"/>
  <c r="AB588" i="2" a="1"/>
  <c r="AB576" i="2" a="1"/>
  <c r="AB564" i="2" a="1"/>
  <c r="AB552" i="2" a="1"/>
  <c r="AB540" i="2" a="1"/>
  <c r="AB528" i="2" a="1"/>
  <c r="AB516" i="2" a="1"/>
  <c r="AB504" i="2" a="1"/>
  <c r="AB492" i="2" a="1"/>
  <c r="AB480" i="2" a="1"/>
  <c r="AB468" i="2" a="1"/>
  <c r="AB456" i="2" a="1"/>
  <c r="AB444" i="2" a="1"/>
  <c r="AB432" i="2" a="1"/>
  <c r="AB420" i="2" a="1"/>
  <c r="AB408" i="2" a="1"/>
  <c r="AB396" i="2" a="1"/>
  <c r="AB384" i="2" a="1"/>
  <c r="AB372" i="2" a="1"/>
  <c r="AB360" i="2" a="1"/>
  <c r="AB348" i="2" a="1"/>
  <c r="AB336" i="2" a="1"/>
  <c r="AB324" i="2" a="1"/>
  <c r="AB312" i="2" a="1"/>
  <c r="AB300" i="2" a="1"/>
  <c r="AB288" i="2" a="1"/>
  <c r="AB276" i="2" a="1"/>
  <c r="AB264" i="2" a="1"/>
  <c r="AB252" i="2" a="1"/>
  <c r="AB240" i="2" a="1"/>
  <c r="AB228" i="2" a="1"/>
  <c r="AB216" i="2" a="1"/>
  <c r="AB204" i="2" a="1"/>
  <c r="AB192" i="2" a="1"/>
  <c r="AB180" i="2" a="1"/>
  <c r="AB168" i="2" a="1"/>
  <c r="AB156" i="2" a="1"/>
  <c r="AB144" i="2" a="1"/>
  <c r="AB132" i="2" a="1"/>
  <c r="AB120" i="2" a="1"/>
  <c r="AB108" i="2" a="1"/>
  <c r="AB96" i="2" a="1"/>
  <c r="AB84" i="2" a="1"/>
  <c r="AB1067" i="2" a="1"/>
  <c r="AB1055" i="2" a="1"/>
  <c r="AB1043" i="2" a="1"/>
  <c r="AB1031" i="2" a="1"/>
  <c r="AB1019" i="2" a="1"/>
  <c r="AB1007" i="2" a="1"/>
  <c r="AB995" i="2" a="1"/>
  <c r="AB983" i="2" a="1"/>
  <c r="AB971" i="2" a="1"/>
  <c r="AB959" i="2" a="1"/>
  <c r="AB947" i="2" a="1"/>
  <c r="AB935" i="2" a="1"/>
  <c r="AB923" i="2" a="1"/>
  <c r="AB911" i="2" a="1"/>
  <c r="AB899" i="2" a="1"/>
  <c r="AB887" i="2" a="1"/>
  <c r="AB875" i="2" a="1"/>
  <c r="AB863" i="2" a="1"/>
  <c r="AB851" i="2" a="1"/>
  <c r="AB839" i="2" a="1"/>
  <c r="AB827" i="2" a="1"/>
  <c r="AB815" i="2" a="1"/>
  <c r="AB803" i="2" a="1"/>
  <c r="AB791" i="2" a="1"/>
  <c r="AB779" i="2" a="1"/>
  <c r="AB767" i="2" a="1"/>
  <c r="AB755" i="2" a="1"/>
  <c r="AB743" i="2" a="1"/>
  <c r="AB731" i="2" a="1"/>
  <c r="AB719" i="2" a="1"/>
  <c r="AB707" i="2" a="1"/>
  <c r="AB695" i="2" a="1"/>
  <c r="AB683" i="2" a="1"/>
  <c r="AB671" i="2" a="1"/>
  <c r="AB659" i="2" a="1"/>
  <c r="AB647" i="2" a="1"/>
  <c r="AB635" i="2" a="1"/>
  <c r="AB623" i="2" a="1"/>
  <c r="AB611" i="2" a="1"/>
  <c r="AB599" i="2" a="1"/>
  <c r="AB587" i="2" a="1"/>
  <c r="AB575" i="2" a="1"/>
  <c r="AB563" i="2" a="1"/>
  <c r="AB551" i="2" a="1"/>
  <c r="AB539" i="2" a="1"/>
  <c r="AB527" i="2" a="1"/>
  <c r="AB515" i="2" a="1"/>
  <c r="AB503" i="2" a="1"/>
  <c r="AB491" i="2" a="1"/>
  <c r="AB479" i="2" a="1"/>
  <c r="AB467" i="2" a="1"/>
  <c r="AB455" i="2" a="1"/>
  <c r="AB443" i="2" a="1"/>
  <c r="AB431" i="2" a="1"/>
  <c r="AB419" i="2" a="1"/>
  <c r="AB407" i="2" a="1"/>
  <c r="AB395" i="2" a="1"/>
  <c r="AB383" i="2" a="1"/>
  <c r="AB371" i="2" a="1"/>
  <c r="AB359" i="2" a="1"/>
  <c r="AB347" i="2" a="1"/>
  <c r="AB335" i="2" a="1"/>
  <c r="AB323" i="2" a="1"/>
  <c r="AB311" i="2" a="1"/>
  <c r="AB299" i="2" a="1"/>
  <c r="AB287" i="2" a="1"/>
  <c r="AB275" i="2" a="1"/>
  <c r="AB263" i="2" a="1"/>
  <c r="AB251" i="2" a="1"/>
  <c r="AB239" i="2" a="1"/>
  <c r="AB227" i="2" a="1"/>
  <c r="AB215" i="2" a="1"/>
  <c r="AB203" i="2" a="1"/>
  <c r="AB191" i="2" a="1"/>
  <c r="AB179" i="2" a="1"/>
  <c r="AB167" i="2" a="1"/>
  <c r="AB155" i="2" a="1"/>
  <c r="AB143" i="2" a="1"/>
  <c r="AB131" i="2" a="1"/>
  <c r="AB119" i="2" a="1"/>
  <c r="AB107" i="2" a="1"/>
  <c r="AB95" i="2" a="1"/>
  <c r="AB83" i="2" a="1"/>
  <c r="AB1066" i="2" a="1"/>
  <c r="AB1054" i="2" a="1"/>
  <c r="AB1042" i="2" a="1"/>
  <c r="AB1030" i="2" a="1"/>
  <c r="AB1018" i="2" a="1"/>
  <c r="AB1006" i="2" a="1"/>
  <c r="AB994" i="2" a="1"/>
  <c r="AB982" i="2" a="1"/>
  <c r="AB970" i="2" a="1"/>
  <c r="AB958" i="2" a="1"/>
  <c r="AB946" i="2" a="1"/>
  <c r="AB934" i="2" a="1"/>
  <c r="AB922" i="2" a="1"/>
  <c r="AB910" i="2" a="1"/>
  <c r="AB898" i="2" a="1"/>
  <c r="AB886" i="2" a="1"/>
  <c r="AB874" i="2" a="1"/>
  <c r="AB862" i="2" a="1"/>
  <c r="AB850" i="2" a="1"/>
  <c r="AB838" i="2" a="1"/>
  <c r="AB826" i="2" a="1"/>
  <c r="AB814" i="2" a="1"/>
  <c r="AB802" i="2" a="1"/>
  <c r="AB790" i="2" a="1"/>
  <c r="AB778" i="2" a="1"/>
  <c r="AB766" i="2" a="1"/>
  <c r="AB754" i="2" a="1"/>
  <c r="AB742" i="2" a="1"/>
  <c r="AB730" i="2" a="1"/>
  <c r="AB718" i="2" a="1"/>
  <c r="AB706" i="2" a="1"/>
  <c r="AB694" i="2" a="1"/>
  <c r="AB682" i="2" a="1"/>
  <c r="AB670" i="2" a="1"/>
  <c r="AB658" i="2" a="1"/>
  <c r="AB646" i="2" a="1"/>
  <c r="AB634" i="2" a="1"/>
  <c r="AB622" i="2" a="1"/>
  <c r="AB610" i="2" a="1"/>
  <c r="AB598" i="2" a="1"/>
  <c r="AB586" i="2" a="1"/>
  <c r="AB574" i="2" a="1"/>
  <c r="AB562" i="2" a="1"/>
  <c r="AB550" i="2" a="1"/>
  <c r="AB538" i="2" a="1"/>
  <c r="AB526" i="2" a="1"/>
  <c r="AB514" i="2" a="1"/>
  <c r="AB502" i="2" a="1"/>
  <c r="AB490" i="2" a="1"/>
  <c r="AB478" i="2" a="1"/>
  <c r="AB466" i="2" a="1"/>
  <c r="AB454" i="2" a="1"/>
  <c r="AB442" i="2" a="1"/>
  <c r="AB430" i="2" a="1"/>
  <c r="AB418" i="2" a="1"/>
  <c r="AB406" i="2" a="1"/>
  <c r="AB394" i="2" a="1"/>
  <c r="AB382" i="2" a="1"/>
  <c r="AB370" i="2" a="1"/>
  <c r="AB358" i="2" a="1"/>
  <c r="AB346" i="2" a="1"/>
  <c r="AB334" i="2" a="1"/>
  <c r="AB322" i="2" a="1"/>
  <c r="AB310" i="2" a="1"/>
  <c r="AB298" i="2" a="1"/>
  <c r="AB286" i="2" a="1"/>
  <c r="AB274" i="2" a="1"/>
  <c r="AB262" i="2" a="1"/>
  <c r="AB250" i="2" a="1"/>
  <c r="AB238" i="2" a="1"/>
  <c r="AB226" i="2" a="1"/>
  <c r="AB214" i="2" a="1"/>
  <c r="AB202" i="2" a="1"/>
  <c r="AB190" i="2" a="1"/>
  <c r="AB178" i="2" a="1"/>
  <c r="AB166" i="2" a="1"/>
  <c r="AB154" i="2" a="1"/>
  <c r="AB142" i="2" a="1"/>
  <c r="AB130" i="2" a="1"/>
  <c r="AB118" i="2" a="1"/>
  <c r="AB106" i="2" a="1"/>
  <c r="AB94" i="2" a="1"/>
  <c r="AB82" i="2" a="1"/>
  <c r="AB1065" i="2" a="1"/>
  <c r="AB1053" i="2" a="1"/>
  <c r="AB1041" i="2" a="1"/>
  <c r="AB1029" i="2" a="1"/>
  <c r="AB1017" i="2" a="1"/>
  <c r="AB1005" i="2" a="1"/>
  <c r="AB993" i="2" a="1"/>
  <c r="AB981" i="2" a="1"/>
  <c r="AB969" i="2" a="1"/>
  <c r="AB957" i="2" a="1"/>
  <c r="AB945" i="2" a="1"/>
  <c r="AB933" i="2" a="1"/>
  <c r="AB921" i="2" a="1"/>
  <c r="AB909" i="2" a="1"/>
  <c r="AB897" i="2" a="1"/>
  <c r="AB885" i="2" a="1"/>
  <c r="AB873" i="2" a="1"/>
  <c r="AB861" i="2" a="1"/>
  <c r="AB849" i="2" a="1"/>
  <c r="AB837" i="2" a="1"/>
  <c r="AB825" i="2" a="1"/>
  <c r="AB813" i="2" a="1"/>
  <c r="AB801" i="2" a="1"/>
  <c r="AB789" i="2" a="1"/>
  <c r="AB777" i="2" a="1"/>
  <c r="AB765" i="2" a="1"/>
  <c r="AB753" i="2" a="1"/>
  <c r="AB741" i="2" a="1"/>
  <c r="AB729" i="2" a="1"/>
  <c r="AB717" i="2" a="1"/>
  <c r="AB705" i="2" a="1"/>
  <c r="AB693" i="2" a="1"/>
  <c r="AB681" i="2" a="1"/>
  <c r="AB669" i="2" a="1"/>
  <c r="AB657" i="2" a="1"/>
  <c r="AB645" i="2" a="1"/>
  <c r="AB633" i="2" a="1"/>
  <c r="AB621" i="2" a="1"/>
  <c r="AB609" i="2" a="1"/>
  <c r="AB597" i="2" a="1"/>
  <c r="AB585" i="2" a="1"/>
  <c r="AB573" i="2" a="1"/>
  <c r="AB561" i="2" a="1"/>
  <c r="AB549" i="2" a="1"/>
  <c r="AB537" i="2" a="1"/>
  <c r="AB525" i="2" a="1"/>
  <c r="AB513" i="2" a="1"/>
  <c r="AB501" i="2" a="1"/>
  <c r="AB489" i="2" a="1"/>
  <c r="AB477" i="2" a="1"/>
  <c r="AB465" i="2" a="1"/>
  <c r="AB453" i="2" a="1"/>
  <c r="AB441" i="2" a="1"/>
  <c r="AB429" i="2" a="1"/>
  <c r="AB417" i="2" a="1"/>
  <c r="AB405" i="2" a="1"/>
  <c r="AB393" i="2" a="1"/>
  <c r="AB381" i="2" a="1"/>
  <c r="AB369" i="2" a="1"/>
  <c r="AB357" i="2" a="1"/>
  <c r="AB345" i="2" a="1"/>
  <c r="AB333" i="2" a="1"/>
  <c r="AB321" i="2" a="1"/>
  <c r="AB309" i="2" a="1"/>
  <c r="AB297" i="2" a="1"/>
  <c r="AB285" i="2" a="1"/>
  <c r="AB273" i="2" a="1"/>
  <c r="AB261" i="2" a="1"/>
  <c r="AB249" i="2" a="1"/>
  <c r="AB237" i="2" a="1"/>
  <c r="AB225" i="2" a="1"/>
  <c r="AB213" i="2" a="1"/>
  <c r="AB201" i="2" a="1"/>
  <c r="AB189" i="2" a="1"/>
  <c r="AB177" i="2" a="1"/>
  <c r="AB165" i="2" a="1"/>
  <c r="AB153" i="2" a="1"/>
  <c r="AB141" i="2" a="1"/>
  <c r="AB129" i="2" a="1"/>
  <c r="AB117" i="2" a="1"/>
  <c r="AB105" i="2" a="1"/>
  <c r="AB93" i="2" a="1"/>
  <c r="AB81" i="2" a="1"/>
  <c r="AB1064" i="2" a="1"/>
  <c r="AB1052" i="2" a="1"/>
  <c r="AB1040" i="2" a="1"/>
  <c r="AB1028" i="2" a="1"/>
  <c r="AB1016" i="2" a="1"/>
  <c r="AB1004" i="2" a="1"/>
  <c r="AB992" i="2" a="1"/>
  <c r="AB980" i="2" a="1"/>
  <c r="AB968" i="2" a="1"/>
  <c r="AB956" i="2" a="1"/>
  <c r="AB944" i="2" a="1"/>
  <c r="AB932" i="2" a="1"/>
  <c r="AB920" i="2" a="1"/>
  <c r="AB908" i="2" a="1"/>
  <c r="AB896" i="2" a="1"/>
  <c r="AB884" i="2" a="1"/>
  <c r="AB872" i="2" a="1"/>
  <c r="AB860" i="2" a="1"/>
  <c r="AB848" i="2" a="1"/>
  <c r="AB836" i="2" a="1"/>
  <c r="AB824" i="2" a="1"/>
  <c r="AB812" i="2" a="1"/>
  <c r="AB800" i="2" a="1"/>
  <c r="AB788" i="2" a="1"/>
  <c r="AB776" i="2" a="1"/>
  <c r="AB764" i="2" a="1"/>
  <c r="AB752" i="2" a="1"/>
  <c r="AB740" i="2" a="1"/>
  <c r="AB728" i="2" a="1"/>
  <c r="AB716" i="2" a="1"/>
  <c r="AB704" i="2" a="1"/>
  <c r="AB692" i="2" a="1"/>
  <c r="AB680" i="2" a="1"/>
  <c r="AB668" i="2" a="1"/>
  <c r="AB656" i="2" a="1"/>
  <c r="AB644" i="2" a="1"/>
  <c r="AB632" i="2" a="1"/>
  <c r="AB620" i="2" a="1"/>
  <c r="AB608" i="2" a="1"/>
  <c r="AB596" i="2" a="1"/>
  <c r="AB584" i="2" a="1"/>
  <c r="AB572" i="2" a="1"/>
  <c r="AB560" i="2" a="1"/>
  <c r="AB548" i="2" a="1"/>
  <c r="AB536" i="2" a="1"/>
  <c r="AB524" i="2" a="1"/>
  <c r="AB512" i="2" a="1"/>
  <c r="AB500" i="2" a="1"/>
  <c r="AB488" i="2" a="1"/>
  <c r="AB476" i="2" a="1"/>
  <c r="AB464" i="2" a="1"/>
  <c r="AB452" i="2" a="1"/>
  <c r="AB440" i="2" a="1"/>
  <c r="AB428" i="2" a="1"/>
  <c r="AB416" i="2" a="1"/>
  <c r="AB404" i="2" a="1"/>
  <c r="AB392" i="2" a="1"/>
  <c r="AB380" i="2" a="1"/>
  <c r="AB368" i="2" a="1"/>
  <c r="AB356" i="2" a="1"/>
  <c r="AB344" i="2" a="1"/>
  <c r="AB332" i="2" a="1"/>
  <c r="AB320" i="2" a="1"/>
  <c r="AB308" i="2" a="1"/>
  <c r="AB296" i="2" a="1"/>
  <c r="AB284" i="2" a="1"/>
  <c r="AB272" i="2" a="1"/>
  <c r="AB260" i="2" a="1"/>
  <c r="AB248" i="2" a="1"/>
  <c r="AB236" i="2" a="1"/>
  <c r="AB224" i="2" a="1"/>
  <c r="AB212" i="2" a="1"/>
  <c r="AB200" i="2" a="1"/>
  <c r="AB188" i="2" a="1"/>
  <c r="AB176" i="2" a="1"/>
  <c r="AB164" i="2" a="1"/>
  <c r="AB152" i="2" a="1"/>
  <c r="AB140" i="2" a="1"/>
  <c r="AB128" i="2" a="1"/>
  <c r="AB116" i="2" a="1"/>
  <c r="AB104" i="2" a="1"/>
  <c r="AB92" i="2" a="1"/>
  <c r="AB1063" i="2" a="1"/>
  <c r="AB1051" i="2" a="1"/>
  <c r="AB1039" i="2" a="1"/>
  <c r="AB1027" i="2" a="1"/>
  <c r="AB1015" i="2" a="1"/>
  <c r="AB1003" i="2" a="1"/>
  <c r="AB991" i="2" a="1"/>
  <c r="AB979" i="2" a="1"/>
  <c r="AB967" i="2" a="1"/>
  <c r="AB955" i="2" a="1"/>
  <c r="AB943" i="2" a="1"/>
  <c r="AB931" i="2" a="1"/>
  <c r="AB919" i="2" a="1"/>
  <c r="AB907" i="2" a="1"/>
  <c r="AB895" i="2" a="1"/>
  <c r="AB883" i="2" a="1"/>
  <c r="AB871" i="2" a="1"/>
  <c r="AB859" i="2" a="1"/>
  <c r="AB847" i="2" a="1"/>
  <c r="AB835" i="2" a="1"/>
  <c r="AB823" i="2" a="1"/>
  <c r="AB811" i="2" a="1"/>
  <c r="AB799" i="2" a="1"/>
  <c r="AB787" i="2" a="1"/>
  <c r="AB775" i="2" a="1"/>
  <c r="AB763" i="2" a="1"/>
  <c r="AB751" i="2" a="1"/>
  <c r="AB739" i="2" a="1"/>
  <c r="AB727" i="2" a="1"/>
  <c r="AB715" i="2" a="1"/>
  <c r="AB703" i="2" a="1"/>
  <c r="AB691" i="2" a="1"/>
  <c r="AB679" i="2" a="1"/>
  <c r="AB667" i="2" a="1"/>
  <c r="AB655" i="2" a="1"/>
  <c r="AB643" i="2" a="1"/>
  <c r="AB631" i="2" a="1"/>
  <c r="AB619" i="2" a="1"/>
  <c r="AB607" i="2" a="1"/>
  <c r="AB595" i="2" a="1"/>
  <c r="AB583" i="2" a="1"/>
  <c r="AB571" i="2" a="1"/>
  <c r="AB559" i="2" a="1"/>
  <c r="AB547" i="2" a="1"/>
  <c r="AB535" i="2" a="1"/>
  <c r="AB523" i="2" a="1"/>
  <c r="AB511" i="2" a="1"/>
  <c r="AB499" i="2" a="1"/>
  <c r="AB487" i="2" a="1"/>
  <c r="AB475" i="2" a="1"/>
  <c r="AB463" i="2" a="1"/>
  <c r="AB451" i="2" a="1"/>
  <c r="AB439" i="2" a="1"/>
  <c r="AB427" i="2" a="1"/>
  <c r="AB415" i="2" a="1"/>
  <c r="AB403" i="2" a="1"/>
  <c r="AB391" i="2" a="1"/>
  <c r="AB379" i="2" a="1"/>
  <c r="AB367" i="2" a="1"/>
  <c r="AB355" i="2" a="1"/>
  <c r="AB343" i="2" a="1"/>
  <c r="AB331" i="2" a="1"/>
  <c r="AB319" i="2" a="1"/>
  <c r="AB307" i="2" a="1"/>
  <c r="AB295" i="2" a="1"/>
  <c r="AB283" i="2" a="1"/>
  <c r="AB271" i="2" a="1"/>
  <c r="AB259" i="2" a="1"/>
  <c r="AB247" i="2" a="1"/>
  <c r="AB235" i="2" a="1"/>
  <c r="AB223" i="2" a="1"/>
  <c r="AB211" i="2" a="1"/>
  <c r="AB199" i="2" a="1"/>
  <c r="AB187" i="2" a="1"/>
  <c r="AB175" i="2" a="1"/>
  <c r="AB163" i="2" a="1"/>
  <c r="AB151" i="2" a="1"/>
  <c r="AB139" i="2" a="1"/>
  <c r="AB127" i="2" a="1"/>
  <c r="AB115" i="2" a="1"/>
  <c r="AB103" i="2" a="1"/>
  <c r="AB91" i="2" a="1"/>
  <c r="AB1062" i="2" a="1"/>
  <c r="AB1050" i="2" a="1"/>
  <c r="AB1038" i="2" a="1"/>
  <c r="AB1026" i="2" a="1"/>
  <c r="AB1014" i="2" a="1"/>
  <c r="AB1002" i="2" a="1"/>
  <c r="AB990" i="2" a="1"/>
  <c r="AB978" i="2" a="1"/>
  <c r="AB966" i="2" a="1"/>
  <c r="AB954" i="2" a="1"/>
  <c r="AB942" i="2" a="1"/>
  <c r="AB930" i="2" a="1"/>
  <c r="AB918" i="2" a="1"/>
  <c r="AB906" i="2" a="1"/>
  <c r="AB894" i="2" a="1"/>
  <c r="AB882" i="2" a="1"/>
  <c r="AB870" i="2" a="1"/>
  <c r="AB858" i="2" a="1"/>
  <c r="AB846" i="2" a="1"/>
  <c r="AB834" i="2" a="1"/>
  <c r="AB822" i="2" a="1"/>
  <c r="AB810" i="2" a="1"/>
  <c r="AB798" i="2" a="1"/>
  <c r="AB786" i="2" a="1"/>
  <c r="AB774" i="2" a="1"/>
  <c r="AB762" i="2" a="1"/>
  <c r="AB750" i="2" a="1"/>
  <c r="AB738" i="2" a="1"/>
  <c r="AB726" i="2" a="1"/>
  <c r="AB714" i="2" a="1"/>
  <c r="AB702" i="2" a="1"/>
  <c r="AB690" i="2" a="1"/>
  <c r="AB678" i="2" a="1"/>
  <c r="AB666" i="2" a="1"/>
  <c r="AB654" i="2" a="1"/>
  <c r="AB642" i="2" a="1"/>
  <c r="AB630" i="2" a="1"/>
  <c r="AB618" i="2" a="1"/>
  <c r="AB606" i="2" a="1"/>
  <c r="AB594" i="2" a="1"/>
  <c r="AB582" i="2" a="1"/>
  <c r="AB570" i="2" a="1"/>
  <c r="AB558" i="2" a="1"/>
  <c r="AB546" i="2" a="1"/>
  <c r="AB534" i="2" a="1"/>
  <c r="AB522" i="2" a="1"/>
  <c r="AB510" i="2" a="1"/>
  <c r="AB498" i="2" a="1"/>
  <c r="AB486" i="2" a="1"/>
  <c r="AB474" i="2" a="1"/>
  <c r="AB462" i="2" a="1"/>
  <c r="AB450" i="2" a="1"/>
  <c r="AB438" i="2" a="1"/>
  <c r="AB426" i="2" a="1"/>
  <c r="AB414" i="2" a="1"/>
  <c r="AB402" i="2" a="1"/>
  <c r="AB390" i="2" a="1"/>
  <c r="AB378" i="2" a="1"/>
  <c r="AB366" i="2" a="1"/>
  <c r="AB354" i="2" a="1"/>
  <c r="AB342" i="2" a="1"/>
  <c r="AB330" i="2" a="1"/>
  <c r="AB318" i="2" a="1"/>
  <c r="AB306" i="2" a="1"/>
  <c r="AB294" i="2" a="1"/>
  <c r="AB282" i="2" a="1"/>
  <c r="AB270" i="2" a="1"/>
  <c r="AB258" i="2" a="1"/>
  <c r="AB246" i="2" a="1"/>
  <c r="AB234" i="2" a="1"/>
  <c r="AB222" i="2" a="1"/>
  <c r="AB210" i="2" a="1"/>
  <c r="AB198" i="2" a="1"/>
  <c r="AB186" i="2" a="1"/>
  <c r="AB174" i="2" a="1"/>
  <c r="AB162" i="2" a="1"/>
  <c r="AB150" i="2" a="1"/>
  <c r="AB138" i="2" a="1"/>
  <c r="AB126" i="2" a="1"/>
  <c r="AB114" i="2" a="1"/>
  <c r="AB102" i="2" a="1"/>
  <c r="AB90" i="2" a="1"/>
  <c r="AB1061" i="2" a="1"/>
  <c r="AB1049" i="2" a="1"/>
  <c r="AB1037" i="2" a="1"/>
  <c r="AB1025" i="2" a="1"/>
  <c r="AB1013" i="2" a="1"/>
  <c r="AB1001" i="2" a="1"/>
  <c r="AB989" i="2" a="1"/>
  <c r="AB977" i="2" a="1"/>
  <c r="AB965" i="2" a="1"/>
  <c r="AB953" i="2" a="1"/>
  <c r="AB941" i="2" a="1"/>
  <c r="AB929" i="2" a="1"/>
  <c r="AB917" i="2" a="1"/>
  <c r="AB905" i="2" a="1"/>
  <c r="AB893" i="2" a="1"/>
  <c r="AB881" i="2" a="1"/>
  <c r="AB869" i="2" a="1"/>
  <c r="AB857" i="2" a="1"/>
  <c r="AB845" i="2" a="1"/>
  <c r="AB833" i="2" a="1"/>
  <c r="AB821" i="2" a="1"/>
  <c r="AB809" i="2" a="1"/>
  <c r="AB797" i="2" a="1"/>
  <c r="AB785" i="2" a="1"/>
  <c r="AB773" i="2" a="1"/>
  <c r="AB761" i="2" a="1"/>
  <c r="AB749" i="2" a="1"/>
  <c r="AB737" i="2" a="1"/>
  <c r="AB725" i="2" a="1"/>
  <c r="AB713" i="2" a="1"/>
  <c r="AB701" i="2" a="1"/>
  <c r="AB689" i="2" a="1"/>
  <c r="AB677" i="2" a="1"/>
  <c r="AB665" i="2" a="1"/>
  <c r="AB653" i="2" a="1"/>
  <c r="AB641" i="2" a="1"/>
  <c r="AB629" i="2" a="1"/>
  <c r="AB617" i="2" a="1"/>
  <c r="AB605" i="2" a="1"/>
  <c r="AB593" i="2" a="1"/>
  <c r="AB581" i="2" a="1"/>
  <c r="AB569" i="2" a="1"/>
  <c r="AB557" i="2" a="1"/>
  <c r="AB545" i="2" a="1"/>
  <c r="AB533" i="2" a="1"/>
  <c r="AB521" i="2" a="1"/>
  <c r="AB509" i="2" a="1"/>
  <c r="AB497" i="2" a="1"/>
  <c r="AB485" i="2" a="1"/>
  <c r="AB473" i="2" a="1"/>
  <c r="AB461" i="2" a="1"/>
  <c r="AB449" i="2" a="1"/>
  <c r="AB437" i="2" a="1"/>
  <c r="AB425" i="2" a="1"/>
  <c r="AB413" i="2" a="1"/>
  <c r="AB401" i="2" a="1"/>
  <c r="AB389" i="2" a="1"/>
  <c r="AB377" i="2" a="1"/>
  <c r="AB365" i="2" a="1"/>
  <c r="AB353" i="2" a="1"/>
  <c r="AB341" i="2" a="1"/>
  <c r="AB329" i="2" a="1"/>
  <c r="AB317" i="2" a="1"/>
  <c r="AB305" i="2" a="1"/>
  <c r="AB293" i="2" a="1"/>
  <c r="AB281" i="2" a="1"/>
  <c r="AB269" i="2" a="1"/>
  <c r="AB257" i="2" a="1"/>
  <c r="AB245" i="2" a="1"/>
  <c r="AB233" i="2" a="1"/>
  <c r="AB221" i="2" a="1"/>
  <c r="AB209" i="2" a="1"/>
  <c r="AB197" i="2" a="1"/>
  <c r="AB185" i="2" a="1"/>
  <c r="AB173" i="2" a="1"/>
  <c r="AB161" i="2" a="1"/>
  <c r="AB149" i="2" a="1"/>
  <c r="AB137" i="2" a="1"/>
  <c r="AB125" i="2" a="1"/>
  <c r="AB113" i="2" a="1"/>
  <c r="AB101" i="2" a="1"/>
  <c r="AB89" i="2" a="1"/>
  <c r="AB1060" i="2" a="1"/>
  <c r="AB1048" i="2" a="1"/>
  <c r="AB1036" i="2" a="1"/>
  <c r="AB1024" i="2" a="1"/>
  <c r="AB1012" i="2" a="1"/>
  <c r="AB1000" i="2" a="1"/>
  <c r="AB988" i="2" a="1"/>
  <c r="AB976" i="2" a="1"/>
  <c r="AB964" i="2" a="1"/>
  <c r="AB952" i="2" a="1"/>
  <c r="AB940" i="2" a="1"/>
  <c r="AB928" i="2" a="1"/>
  <c r="AB916" i="2" a="1"/>
  <c r="AB904" i="2" a="1"/>
  <c r="AB892" i="2" a="1"/>
  <c r="AB880" i="2" a="1"/>
  <c r="AB868" i="2" a="1"/>
  <c r="AB856" i="2" a="1"/>
  <c r="AB844" i="2" a="1"/>
  <c r="AB832" i="2" a="1"/>
  <c r="AB820" i="2" a="1"/>
  <c r="AB808" i="2" a="1"/>
  <c r="AB796" i="2" a="1"/>
  <c r="AB784" i="2" a="1"/>
  <c r="AB772" i="2" a="1"/>
  <c r="AB760" i="2" a="1"/>
  <c r="AB748" i="2" a="1"/>
  <c r="AB736" i="2" a="1"/>
  <c r="AB724" i="2" a="1"/>
  <c r="AB712" i="2" a="1"/>
  <c r="AB700" i="2" a="1"/>
  <c r="AB688" i="2" a="1"/>
  <c r="AB676" i="2" a="1"/>
  <c r="AB664" i="2" a="1"/>
  <c r="AB652" i="2" a="1"/>
  <c r="AB640" i="2" a="1"/>
  <c r="AB628" i="2" a="1"/>
  <c r="AB616" i="2" a="1"/>
  <c r="AB604" i="2" a="1"/>
  <c r="AB592" i="2" a="1"/>
  <c r="AB580" i="2" a="1"/>
  <c r="AB568" i="2" a="1"/>
  <c r="AB556" i="2" a="1"/>
  <c r="AB544" i="2" a="1"/>
  <c r="AB532" i="2" a="1"/>
  <c r="AB520" i="2" a="1"/>
  <c r="AB508" i="2" a="1"/>
  <c r="AB496" i="2" a="1"/>
  <c r="AB484" i="2" a="1"/>
  <c r="AB472" i="2" a="1"/>
  <c r="AB460" i="2" a="1"/>
  <c r="AB448" i="2" a="1"/>
  <c r="AB436" i="2" a="1"/>
  <c r="AB424" i="2" a="1"/>
  <c r="AB412" i="2" a="1"/>
  <c r="AB400" i="2" a="1"/>
  <c r="AB388" i="2" a="1"/>
  <c r="AB376" i="2" a="1"/>
  <c r="AB364" i="2" a="1"/>
  <c r="AB352" i="2" a="1"/>
  <c r="AB340" i="2" a="1"/>
  <c r="AB328" i="2" a="1"/>
  <c r="AB316" i="2" a="1"/>
  <c r="AB304" i="2" a="1"/>
  <c r="AB292" i="2" a="1"/>
  <c r="AB280" i="2" a="1"/>
  <c r="AB268" i="2" a="1"/>
  <c r="AB256" i="2" a="1"/>
  <c r="AB244" i="2" a="1"/>
  <c r="AB232" i="2" a="1"/>
  <c r="AB220" i="2" a="1"/>
  <c r="AB208" i="2" a="1"/>
  <c r="AB196" i="2" a="1"/>
  <c r="AB184" i="2" a="1"/>
  <c r="AB172" i="2" a="1"/>
  <c r="AB160" i="2" a="1"/>
  <c r="AB148" i="2" a="1"/>
  <c r="AB136" i="2" a="1"/>
  <c r="AB124" i="2" a="1"/>
  <c r="AB112" i="2" a="1"/>
  <c r="AB100" i="2" a="1"/>
  <c r="AB88" i="2" a="1"/>
  <c r="AB1059" i="2" a="1"/>
  <c r="AB1047" i="2" a="1"/>
  <c r="AB1035" i="2" a="1"/>
  <c r="AB1023" i="2" a="1"/>
  <c r="AB1011" i="2" a="1"/>
  <c r="AB999" i="2" a="1"/>
  <c r="AB987" i="2" a="1"/>
  <c r="AB975" i="2" a="1"/>
  <c r="AB963" i="2" a="1"/>
  <c r="AB951" i="2" a="1"/>
  <c r="AB939" i="2" a="1"/>
  <c r="AB927" i="2" a="1"/>
  <c r="AB915" i="2" a="1"/>
  <c r="AB903" i="2" a="1"/>
  <c r="AB891" i="2" a="1"/>
  <c r="AB879" i="2" a="1"/>
  <c r="AB867" i="2" a="1"/>
  <c r="AB855" i="2" a="1"/>
  <c r="AB843" i="2" a="1"/>
  <c r="AB831" i="2" a="1"/>
  <c r="AB819" i="2" a="1"/>
  <c r="AB807" i="2" a="1"/>
  <c r="AB795" i="2" a="1"/>
  <c r="AB783" i="2" a="1"/>
  <c r="AB771" i="2" a="1"/>
  <c r="AB759" i="2" a="1"/>
  <c r="AB747" i="2" a="1"/>
  <c r="AB735" i="2" a="1"/>
  <c r="AB723" i="2" a="1"/>
  <c r="AB711" i="2" a="1"/>
  <c r="AB699" i="2" a="1"/>
  <c r="AB687" i="2" a="1"/>
  <c r="AB675" i="2" a="1"/>
  <c r="AB663" i="2" a="1"/>
  <c r="AB651" i="2" a="1"/>
  <c r="AB639" i="2" a="1"/>
  <c r="AB627" i="2" a="1"/>
  <c r="AB615" i="2" a="1"/>
  <c r="AB603" i="2" a="1"/>
  <c r="AB591" i="2" a="1"/>
  <c r="AB579" i="2" a="1"/>
  <c r="AB567" i="2" a="1"/>
  <c r="AB555" i="2" a="1"/>
  <c r="AB543" i="2" a="1"/>
  <c r="AB531" i="2" a="1"/>
  <c r="AB519" i="2" a="1"/>
  <c r="AB507" i="2" a="1"/>
  <c r="AB495" i="2" a="1"/>
  <c r="AB483" i="2" a="1"/>
  <c r="AB471" i="2" a="1"/>
  <c r="AB459" i="2" a="1"/>
  <c r="AB447" i="2" a="1"/>
  <c r="AB435" i="2" a="1"/>
  <c r="AB423" i="2" a="1"/>
  <c r="AB411" i="2" a="1"/>
  <c r="AB399" i="2" a="1"/>
  <c r="AB387" i="2" a="1"/>
  <c r="AB375" i="2" a="1"/>
  <c r="AB363" i="2" a="1"/>
  <c r="AB351" i="2" a="1"/>
  <c r="AB339" i="2" a="1"/>
  <c r="AB327" i="2" a="1"/>
  <c r="AB315" i="2" a="1"/>
  <c r="AB303" i="2" a="1"/>
  <c r="AB291" i="2" a="1"/>
  <c r="AB279" i="2" a="1"/>
  <c r="AB267" i="2" a="1"/>
  <c r="AB255" i="2" a="1"/>
  <c r="AB243" i="2" a="1"/>
  <c r="AB231" i="2" a="1"/>
  <c r="AB219" i="2" a="1"/>
  <c r="AB207" i="2" a="1"/>
  <c r="AB195" i="2" a="1"/>
  <c r="AB183" i="2" a="1"/>
  <c r="AB171" i="2" a="1"/>
  <c r="AB159" i="2" a="1"/>
  <c r="AB147" i="2" a="1"/>
  <c r="AB135" i="2" a="1"/>
  <c r="AB123" i="2" a="1"/>
  <c r="AB111" i="2" a="1"/>
  <c r="AB99" i="2" a="1"/>
  <c r="AB1070" i="2" a="1"/>
  <c r="AB1058" i="2" a="1"/>
  <c r="AB1046" i="2" a="1"/>
  <c r="AB1034" i="2" a="1"/>
  <c r="AB1022" i="2" a="1"/>
  <c r="AB1010" i="2" a="1"/>
  <c r="AB998" i="2" a="1"/>
  <c r="AB986" i="2" a="1"/>
  <c r="AB974" i="2" a="1"/>
  <c r="AB962" i="2" a="1"/>
  <c r="AB950" i="2" a="1"/>
  <c r="AB938" i="2" a="1"/>
  <c r="AB926" i="2" a="1"/>
  <c r="AB914" i="2" a="1"/>
  <c r="AB902" i="2" a="1"/>
  <c r="AB890" i="2" a="1"/>
  <c r="AB878" i="2" a="1"/>
  <c r="AB866" i="2" a="1"/>
  <c r="AB854" i="2" a="1"/>
  <c r="AB842" i="2" a="1"/>
  <c r="AB830" i="2" a="1"/>
  <c r="AB818" i="2" a="1"/>
  <c r="AB806" i="2" a="1"/>
  <c r="AB794" i="2" a="1"/>
  <c r="AB782" i="2" a="1"/>
  <c r="AB770" i="2" a="1"/>
  <c r="AB758" i="2" a="1"/>
  <c r="AB746" i="2" a="1"/>
  <c r="AB734" i="2" a="1"/>
  <c r="AB722" i="2" a="1"/>
  <c r="AB710" i="2" a="1"/>
  <c r="AB698" i="2" a="1"/>
  <c r="AB686" i="2" a="1"/>
  <c r="AB674" i="2" a="1"/>
  <c r="AB662" i="2" a="1"/>
  <c r="AB650" i="2" a="1"/>
  <c r="AB638" i="2" a="1"/>
  <c r="AB626" i="2" a="1"/>
  <c r="AB614" i="2" a="1"/>
  <c r="AB602" i="2" a="1"/>
  <c r="AB590" i="2" a="1"/>
  <c r="AB578" i="2" a="1"/>
  <c r="AB566" i="2" a="1"/>
  <c r="AB554" i="2" a="1"/>
  <c r="AB542" i="2" a="1"/>
  <c r="AB530" i="2" a="1"/>
  <c r="AB518" i="2" a="1"/>
  <c r="AB506" i="2" a="1"/>
  <c r="AB494" i="2" a="1"/>
  <c r="AB482" i="2" a="1"/>
  <c r="AB470" i="2" a="1"/>
  <c r="AB458" i="2" a="1"/>
  <c r="AB446" i="2" a="1"/>
  <c r="AB434" i="2" a="1"/>
  <c r="AB422" i="2" a="1"/>
  <c r="AB410" i="2" a="1"/>
  <c r="AB398" i="2" a="1"/>
  <c r="AB386" i="2" a="1"/>
  <c r="AB374" i="2" a="1"/>
  <c r="AB362" i="2" a="1"/>
  <c r="AB350" i="2" a="1"/>
  <c r="AB338" i="2" a="1"/>
  <c r="AB326" i="2" a="1"/>
  <c r="AB314" i="2" a="1"/>
  <c r="AB302" i="2" a="1"/>
  <c r="AB290" i="2" a="1"/>
  <c r="AB278" i="2" a="1"/>
  <c r="AB266" i="2" a="1"/>
  <c r="AB254" i="2" a="1"/>
  <c r="AB242" i="2" a="1"/>
  <c r="AB230" i="2" a="1"/>
  <c r="AB218" i="2" a="1"/>
  <c r="AB206" i="2" a="1"/>
  <c r="AB194" i="2" a="1"/>
  <c r="AB182" i="2" a="1"/>
  <c r="AB170" i="2" a="1"/>
  <c r="AB158" i="2" a="1"/>
  <c r="AB146" i="2" a="1"/>
  <c r="AB134" i="2" a="1"/>
  <c r="AB122" i="2" a="1"/>
  <c r="AB110" i="2" a="1"/>
  <c r="AB98" i="2" a="1"/>
  <c r="AB86" i="2" a="1"/>
  <c r="AB1069" i="2" a="1"/>
  <c r="AB1057" i="2" a="1"/>
  <c r="AB1045" i="2" a="1"/>
  <c r="AB1033" i="2" a="1"/>
  <c r="AB1021" i="2" a="1"/>
  <c r="AB1009" i="2" a="1"/>
  <c r="AB997" i="2" a="1"/>
  <c r="AB985" i="2" a="1"/>
  <c r="AB973" i="2" a="1"/>
  <c r="AB961" i="2" a="1"/>
  <c r="AB949" i="2" a="1"/>
  <c r="AB937" i="2" a="1"/>
  <c r="AB925" i="2" a="1"/>
  <c r="AB913" i="2" a="1"/>
  <c r="AB901" i="2" a="1"/>
  <c r="AB889" i="2" a="1"/>
  <c r="AB877" i="2" a="1"/>
  <c r="AB865" i="2" a="1"/>
  <c r="AB853" i="2" a="1"/>
  <c r="AB841" i="2" a="1"/>
  <c r="AB829" i="2" a="1"/>
  <c r="AB817" i="2" a="1"/>
  <c r="AB805" i="2" a="1"/>
  <c r="AB793" i="2" a="1"/>
  <c r="AB781" i="2" a="1"/>
  <c r="AB769" i="2" a="1"/>
  <c r="AB757" i="2" a="1"/>
  <c r="AB745" i="2" a="1"/>
  <c r="AB733" i="2" a="1"/>
  <c r="AB721" i="2" a="1"/>
  <c r="AB709" i="2" a="1"/>
  <c r="AB697" i="2" a="1"/>
  <c r="AB685" i="2" a="1"/>
  <c r="AB673" i="2" a="1"/>
  <c r="AB661" i="2" a="1"/>
  <c r="AB649" i="2" a="1"/>
  <c r="AB637" i="2" a="1"/>
  <c r="AB625" i="2" a="1"/>
  <c r="AB613" i="2" a="1"/>
  <c r="AB601" i="2" a="1"/>
  <c r="AB589" i="2" a="1"/>
  <c r="AB577" i="2" a="1"/>
  <c r="AB565" i="2" a="1"/>
  <c r="AB553" i="2" a="1"/>
  <c r="AB541" i="2" a="1"/>
  <c r="AB529" i="2" a="1"/>
  <c r="AB517" i="2" a="1"/>
  <c r="AB505" i="2" a="1"/>
  <c r="AB493" i="2" a="1"/>
  <c r="AB481" i="2" a="1"/>
  <c r="AB469" i="2" a="1"/>
  <c r="AB457" i="2" a="1"/>
  <c r="AB445" i="2" a="1"/>
  <c r="AB433" i="2" a="1"/>
  <c r="AB421" i="2" a="1"/>
  <c r="AB409" i="2" a="1"/>
  <c r="AB397" i="2" a="1"/>
  <c r="AB385" i="2" a="1"/>
  <c r="AB373" i="2" a="1"/>
  <c r="AB361" i="2" a="1"/>
  <c r="AB349" i="2" a="1"/>
  <c r="AB337" i="2" a="1"/>
  <c r="AB325" i="2" a="1"/>
  <c r="AB313" i="2" a="1"/>
  <c r="AB301" i="2" a="1"/>
  <c r="AB289" i="2" a="1"/>
  <c r="AB277" i="2" a="1"/>
  <c r="AB265" i="2" a="1"/>
  <c r="AB253" i="2" a="1"/>
  <c r="AB241" i="2" a="1"/>
  <c r="AB229" i="2" a="1"/>
  <c r="AB217" i="2" a="1"/>
  <c r="AB205" i="2" a="1"/>
  <c r="AB193" i="2" a="1"/>
  <c r="AB181" i="2" a="1"/>
  <c r="AB169" i="2" a="1"/>
  <c r="AB157" i="2" a="1"/>
  <c r="AB145" i="2" a="1"/>
  <c r="AB133" i="2" a="1"/>
  <c r="AB121" i="2" a="1"/>
  <c r="AB109" i="2" a="1"/>
  <c r="AB97" i="2" a="1"/>
  <c r="AB85" i="2" a="1"/>
  <c r="AB80" i="2" a="1"/>
  <c r="AB87" i="2" a="1"/>
  <c r="AB36" i="2" a="1"/>
  <c r="AB79" i="2" a="1"/>
  <c r="AB39" i="2" a="1"/>
  <c r="AB23" i="2" a="1"/>
  <c r="AB31" i="2" a="1"/>
  <c r="AB68" i="2" a="1"/>
  <c r="AB49" i="2" a="1"/>
  <c r="AB21" i="2" a="1"/>
  <c r="AB47" i="2" a="1"/>
  <c r="AB59" i="2" a="1"/>
  <c r="AB60" i="2" a="1"/>
  <c r="AB77" i="2" a="1"/>
  <c r="AB73" i="2" a="1"/>
  <c r="AB32" i="2" a="1"/>
  <c r="AB26" i="2" a="1"/>
  <c r="AB51" i="2" a="1"/>
  <c r="AB61" i="2" a="1"/>
  <c r="AB35" i="2" a="1"/>
  <c r="AB53" i="2" a="1"/>
  <c r="AB45" i="2" a="1"/>
  <c r="AB29" i="2" a="1"/>
  <c r="AB27" i="2" a="1"/>
  <c r="AB66" i="2" a="1"/>
  <c r="AB42" i="2" a="1"/>
  <c r="AB40" i="2" a="1"/>
  <c r="AB72" i="2" a="1"/>
  <c r="AB43" i="2" a="1"/>
  <c r="AB62" i="2" a="1"/>
  <c r="AB20" i="2" a="1"/>
  <c r="AB71" i="2" a="1"/>
  <c r="AB76" i="2" a="1"/>
  <c r="AB37" i="2" a="1"/>
  <c r="AB63" i="2" a="1"/>
  <c r="AB52" i="2" a="1"/>
  <c r="AB67" i="2" a="1"/>
  <c r="AB57" i="2" a="1"/>
  <c r="AB64" i="2" a="1"/>
  <c r="AB44" i="2" a="1"/>
  <c r="AB65" i="2" a="1"/>
  <c r="AB50" i="2" a="1"/>
  <c r="AB46" i="2" a="1"/>
  <c r="AB25" i="2" a="1"/>
  <c r="AB24" i="2" a="1"/>
  <c r="AB33" i="2" a="1"/>
  <c r="AB75" i="2" a="1"/>
  <c r="AB54" i="2" a="1"/>
  <c r="AB69" i="2" a="1"/>
  <c r="AB58" i="2" a="1"/>
  <c r="AB28" i="2" a="1"/>
  <c r="AB41" i="2" a="1"/>
  <c r="AB56" i="2" a="1"/>
  <c r="AB78" i="2" a="1"/>
  <c r="AB48" i="2" a="1"/>
  <c r="AB22" i="2" a="1"/>
  <c r="AB74" i="2" a="1"/>
  <c r="AB70" i="2" a="1"/>
  <c r="AB55" i="2" a="1"/>
  <c r="AB30" i="2" a="1"/>
  <c r="AB34" i="2" a="1"/>
  <c r="AB38" i="2" a="1"/>
  <c r="AB18" i="2" a="1"/>
  <c r="AB17" i="2" a="1"/>
  <c r="AB19" i="2" a="1"/>
  <c r="AB15" i="2" a="1"/>
  <c r="AB16" i="2" a="1"/>
  <c r="J887" i="5" a="1"/>
  <c r="J695" i="5" a="1"/>
  <c r="J306" i="5" a="1"/>
  <c r="J492" i="5" a="1"/>
  <c r="J728" i="5" a="1"/>
  <c r="J376" i="5" a="1"/>
  <c r="J167" i="5" a="1"/>
  <c r="J408" i="5" a="1"/>
  <c r="J474" i="5" a="1"/>
  <c r="J312" i="5" a="1"/>
  <c r="J811" i="5" a="1"/>
  <c r="J318" i="5" a="1"/>
  <c r="J493" i="5" a="1"/>
  <c r="J142" i="5" a="1"/>
  <c r="J302" i="5" a="1"/>
  <c r="J776" i="5" a="1"/>
  <c r="J737" i="5" a="1"/>
  <c r="J262" i="5" a="1"/>
  <c r="J143" i="5" a="1"/>
  <c r="J237" i="5" a="1"/>
  <c r="J269" i="5" a="1"/>
  <c r="J807" i="5" a="1"/>
  <c r="J576" i="5" a="1"/>
  <c r="J266" i="5" a="1"/>
  <c r="J241" i="5" a="1"/>
  <c r="J374" i="5" a="1"/>
  <c r="J773" i="5" a="1"/>
  <c r="J138" i="5" a="1"/>
  <c r="J268" i="5" a="1"/>
  <c r="J218" i="5" a="1"/>
  <c r="J44" i="5" a="1"/>
  <c r="J402" i="5" a="1"/>
  <c r="J555" i="5" a="1"/>
  <c r="J551" i="5" a="1"/>
  <c r="J626" i="5" a="1"/>
  <c r="J828" i="5" a="1"/>
  <c r="J287" i="5" a="1"/>
  <c r="J168" i="5" a="1"/>
  <c r="J548" i="5" a="1"/>
  <c r="J228" i="5" a="1"/>
  <c r="J347" i="5" a="1"/>
  <c r="J283" i="5" a="1"/>
  <c r="J331" i="5" a="1"/>
  <c r="J392" i="5" a="1"/>
  <c r="J165" i="5" a="1"/>
  <c r="J710" i="5" a="1"/>
  <c r="J886" i="5" a="1"/>
  <c r="J367" i="5" a="1"/>
  <c r="J188" i="5" a="1"/>
  <c r="J804" i="5" a="1"/>
  <c r="J874" i="5" a="1"/>
  <c r="J292" i="5" a="1"/>
  <c r="J383" i="5" a="1"/>
  <c r="J261" i="5" a="1"/>
  <c r="J153" i="5" a="1"/>
  <c r="J475" i="5" a="1"/>
  <c r="J342" i="5" a="1"/>
  <c r="J587" i="5" a="1"/>
  <c r="J313" i="5" a="1"/>
  <c r="J323" i="5" a="1"/>
  <c r="J286" i="5" a="1"/>
  <c r="J234" i="5" a="1"/>
  <c r="J126" i="5" a="1"/>
  <c r="J594" i="5" a="1"/>
  <c r="J275" i="5" a="1"/>
  <c r="J227" i="5" a="1"/>
  <c r="J798" i="5" a="1"/>
  <c r="J296" i="5" a="1"/>
  <c r="J448" i="5" a="1"/>
  <c r="J366" i="5" a="1"/>
  <c r="J176" i="5" a="1"/>
  <c r="J274" i="5" a="1"/>
  <c r="J291" i="5" a="1"/>
  <c r="J276" i="5" a="1"/>
  <c r="J260" i="5" a="1"/>
  <c r="J171" i="5" a="1"/>
  <c r="J248" i="5" a="1"/>
  <c r="J267" i="5" a="1"/>
  <c r="J368" i="5" a="1"/>
  <c r="J354" i="5" a="1"/>
  <c r="J201" i="5" a="1"/>
  <c r="J46" i="5" a="1"/>
  <c r="J390" i="5" a="1"/>
  <c r="J198" i="5" a="1"/>
  <c r="J324" i="5" a="1"/>
  <c r="J181" i="5" a="1"/>
  <c r="J895" i="5" a="1"/>
  <c r="J401" i="5" a="1"/>
  <c r="J579" i="5" a="1"/>
  <c r="J365" i="5" a="1"/>
  <c r="J187" i="5" a="1"/>
  <c r="J236" i="5" a="1"/>
  <c r="J282" i="5" a="1"/>
  <c r="J315" i="5" a="1"/>
  <c r="J391" i="5" a="1"/>
  <c r="J580" i="5" a="1"/>
  <c r="J225" i="5" a="1"/>
  <c r="J136" i="5" a="1"/>
  <c r="J651" i="5" a="1"/>
  <c r="J152" i="5" a="1"/>
  <c r="J856" i="5" a="1"/>
  <c r="J766" i="5" a="1"/>
  <c r="J158" i="5" a="1"/>
  <c r="J608" i="5" a="1"/>
  <c r="J428" i="5" a="1"/>
  <c r="J357" i="5" a="1"/>
  <c r="J155" i="5" a="1"/>
  <c r="J645" i="5" a="1"/>
  <c r="J322" i="5" a="1"/>
  <c r="J618" i="5" a="1"/>
  <c r="J377" i="5" a="1"/>
  <c r="J395" i="5" a="1"/>
  <c r="J550" i="5" a="1"/>
  <c r="J351" i="5" a="1"/>
  <c r="J386" i="5" a="1"/>
  <c r="J245" i="5" a="1"/>
  <c r="J577" i="5" a="1"/>
  <c r="J677" i="5" a="1"/>
  <c r="J330" i="5" a="1"/>
  <c r="J314" i="5" a="1"/>
  <c r="J285" i="5" a="1"/>
  <c r="J559" i="5" a="1"/>
  <c r="J822" i="5" a="1"/>
  <c r="J561" i="5" a="1"/>
  <c r="J480" i="5" a="1"/>
  <c r="J384" i="5" a="1"/>
  <c r="J226" i="5" a="1"/>
  <c r="J659" i="5" a="1"/>
  <c r="J151" i="5" a="1"/>
  <c r="J360" i="5" a="1"/>
  <c r="J644" i="5" a="1"/>
  <c r="J166" i="5" a="1"/>
  <c r="J300" i="5" a="1"/>
  <c r="J868" i="5" a="1"/>
  <c r="J212" i="5" a="1"/>
  <c r="J356" i="5" a="1"/>
  <c r="J746" i="5" a="1"/>
  <c r="J393" i="5" a="1"/>
  <c r="J279" i="5" a="1"/>
  <c r="J829" i="5" a="1"/>
  <c r="J132" i="5" a="1"/>
  <c r="J601" i="5" a="1"/>
  <c r="J358" i="5" a="1"/>
  <c r="J310" i="5" a="1"/>
  <c r="J381" i="5" a="1"/>
  <c r="J553" i="5" a="1"/>
  <c r="J177" i="5" a="1"/>
  <c r="J242" i="5" a="1"/>
  <c r="J350" i="5" a="1"/>
  <c r="J464" i="5" a="1"/>
  <c r="J255" i="5" a="1"/>
  <c r="J321" i="5" a="1"/>
  <c r="J271" i="5" a="1"/>
  <c r="J805" i="5" a="1"/>
  <c r="J894" i="5" a="1"/>
  <c r="J547" i="5" a="1"/>
  <c r="J602" i="5" a="1"/>
  <c r="J288" i="5" a="1"/>
  <c r="J453" i="5" a="1"/>
  <c r="J186" i="5" a="1"/>
  <c r="J554" i="5" a="1"/>
  <c r="J284" i="5" a="1"/>
  <c r="J294" i="5" a="1"/>
  <c r="J446" i="5" a="1"/>
  <c r="J304" i="5" a="1"/>
  <c r="J556" i="5" a="1"/>
  <c r="J431" i="5" a="1"/>
  <c r="J277" i="5" a="1"/>
  <c r="J634" i="5" a="1"/>
  <c r="J812" i="5" a="1"/>
  <c r="J882" i="5" a="1"/>
  <c r="J883" i="5" a="1"/>
  <c r="J385" i="5" a="1"/>
  <c r="J449" i="5" a="1"/>
  <c r="J557" i="5" a="1"/>
  <c r="J889" i="5" a="1"/>
  <c r="J303" i="5" a="1"/>
  <c r="J320" i="5" a="1"/>
  <c r="J719" i="5" a="1"/>
  <c r="J788" i="5" a="1"/>
  <c r="J578" i="5" a="1"/>
  <c r="J817" i="5" a="1"/>
  <c r="J472" i="5" a="1"/>
  <c r="J249" i="5" a="1"/>
  <c r="J359" i="5" a="1"/>
  <c r="J892" i="5" a="1"/>
  <c r="J332" i="5" a="1"/>
  <c r="J816" i="5" a="1"/>
  <c r="J256" i="5" a="1"/>
  <c r="J141" i="5" a="1"/>
  <c r="J199" i="5" a="1"/>
  <c r="J378" i="5" a="1"/>
  <c r="J247" i="5" a="1"/>
  <c r="J150" i="5" a="1"/>
  <c r="J128" i="5" a="1"/>
  <c r="J338" i="5" a="1"/>
  <c r="J404" i="5" a="1"/>
  <c r="J178" i="5" a="1"/>
  <c r="J339" i="5" a="1"/>
  <c r="J215" i="5" a="1"/>
  <c r="J562" i="5" a="1"/>
  <c r="J844" i="5" a="1"/>
  <c r="J145" i="5" a="1"/>
  <c r="J619" i="5" a="1"/>
  <c r="J438" i="5" a="1"/>
  <c r="J195" i="5" a="1"/>
  <c r="J405" i="5" a="1"/>
  <c r="J369" i="5" a="1"/>
  <c r="J888" i="5" a="1"/>
  <c r="J336" i="5" a="1"/>
  <c r="J552" i="5" a="1"/>
  <c r="J246" i="5" a="1"/>
  <c r="J235" i="5" a="1"/>
  <c r="J473" i="5" a="1"/>
  <c r="J297" i="5" a="1"/>
  <c r="J127" i="5" a="1"/>
  <c r="J295" i="5" a="1"/>
  <c r="J156" i="5" a="1"/>
  <c r="J447" i="5" a="1"/>
  <c r="J779" i="5" a="1"/>
  <c r="J170" i="5" a="1"/>
  <c r="J862" i="5" a="1"/>
  <c r="J278" i="5" a="1"/>
  <c r="J417" i="5" a="1"/>
  <c r="J372" i="5" a="1"/>
  <c r="J387" i="5" a="1"/>
  <c r="J560" i="5" a="1"/>
  <c r="J396" i="5" a="1"/>
  <c r="J175" i="5" a="1"/>
  <c r="J850" i="5" a="1"/>
  <c r="J263" i="5" a="1"/>
  <c r="J375" i="5" a="1"/>
  <c r="J293" i="5" a="1"/>
  <c r="J494" i="5" a="1"/>
  <c r="J806" i="5" a="1"/>
  <c r="J196" i="5" a="1"/>
  <c r="J668" i="5" a="1"/>
  <c r="J487" i="5" a="1"/>
  <c r="J305" i="5" a="1"/>
  <c r="J329" i="5" a="1"/>
  <c r="J799" i="5" a="1"/>
  <c r="J206" i="5" a="1"/>
  <c r="J424" i="5" a="1"/>
  <c r="J179" i="5" a="1"/>
  <c r="J835" i="5" a="1"/>
  <c r="J403" i="5" a="1"/>
  <c r="J803" i="5" a="1"/>
  <c r="J340" i="5" a="1"/>
  <c r="J394" i="5" a="1"/>
  <c r="J130" i="5" a="1"/>
  <c r="J836" i="5" a="1"/>
  <c r="J185" i="5" a="1"/>
  <c r="J704" i="5" a="1"/>
  <c r="J588" i="5" a="1"/>
  <c r="J834" i="5" a="1"/>
  <c r="J546" i="5" a="1"/>
  <c r="J463" i="5" a="1"/>
  <c r="J496" i="5" a="1"/>
  <c r="J197" i="5" a="1"/>
  <c r="J348" i="5" a="1"/>
  <c r="J558" i="5" a="1"/>
  <c r="J399" i="5" a="1"/>
  <c r="J565" i="5" a="1"/>
  <c r="J686" i="5" a="1"/>
  <c r="J333" i="5" a="1"/>
  <c r="J200" i="5" a="1"/>
  <c r="J309" i="5" a="1"/>
  <c r="J581" i="5" a="1"/>
  <c r="J345" i="5" a="1"/>
  <c r="J755" i="5" a="1"/>
  <c r="J129" i="5" a="1"/>
  <c r="J191" i="5" a="1"/>
  <c r="J243" i="5" a="1"/>
  <c r="J823" i="5" a="1"/>
  <c r="J881" i="5" a="1"/>
  <c r="J327" i="5" a="1"/>
  <c r="J413" i="5" a="1"/>
  <c r="J595" i="5" a="1"/>
  <c r="J270" i="5" a="1"/>
  <c r="J363" i="5" a="1"/>
  <c r="J219" i="5" a="1"/>
  <c r="J880" i="5" a="1"/>
  <c r="J189" i="5" a="1"/>
  <c r="J838" i="5" a="1"/>
  <c r="J144" i="5" a="1"/>
  <c r="J137" i="5" a="1"/>
  <c r="J837" i="5" a="1"/>
  <c r="J131" i="5" a="1"/>
  <c r="J549" i="5" a="1"/>
  <c r="J349" i="5" a="1"/>
  <c r="J341" i="5" a="1"/>
  <c r="J311" i="5" a="1"/>
  <c r="J802" i="5" a="1"/>
  <c r="U11" i="4" l="1"/>
  <c r="U5" i="4"/>
  <c r="U7" i="4"/>
  <c r="U9" i="4"/>
  <c r="B875" i="5"/>
  <c r="B835" i="5"/>
  <c r="B893" i="5"/>
  <c r="C852" i="5"/>
  <c r="C853" i="5" s="1"/>
  <c r="B853" i="5" s="1"/>
  <c r="B639" i="5"/>
  <c r="B817" i="5"/>
  <c r="B719" i="5"/>
  <c r="B881" i="5"/>
  <c r="B631" i="5"/>
  <c r="B823" i="5"/>
  <c r="B803" i="5"/>
  <c r="C819" i="5"/>
  <c r="B819" i="5" s="1"/>
  <c r="B887" i="5"/>
  <c r="B692" i="5"/>
  <c r="B812" i="5"/>
  <c r="B829" i="5"/>
  <c r="C805" i="5"/>
  <c r="C806" i="5" s="1"/>
  <c r="B804" i="5"/>
  <c r="C846" i="5"/>
  <c r="C847" i="5" s="1"/>
  <c r="B847" i="5" s="1"/>
  <c r="B710" i="5"/>
  <c r="C864" i="5"/>
  <c r="C865" i="5" s="1"/>
  <c r="B865" i="5" s="1"/>
  <c r="B755" i="5"/>
  <c r="B683" i="5"/>
  <c r="B764" i="5"/>
  <c r="C870" i="5"/>
  <c r="C871" i="5" s="1"/>
  <c r="B871" i="5" s="1"/>
  <c r="B728" i="5"/>
  <c r="B857" i="5"/>
  <c r="AB85" i="2"/>
  <c r="AB97" i="2"/>
  <c r="AB109" i="2"/>
  <c r="AB121" i="2"/>
  <c r="AB133" i="2"/>
  <c r="AB145" i="2"/>
  <c r="AB157" i="2"/>
  <c r="AB169" i="2"/>
  <c r="AB181" i="2"/>
  <c r="AB193" i="2"/>
  <c r="AB205" i="2"/>
  <c r="AB217" i="2"/>
  <c r="AB229" i="2"/>
  <c r="AB241" i="2"/>
  <c r="AB253" i="2"/>
  <c r="AB265" i="2"/>
  <c r="AB277" i="2"/>
  <c r="AB289" i="2"/>
  <c r="AB301" i="2"/>
  <c r="AB313" i="2"/>
  <c r="AB325" i="2"/>
  <c r="AB337" i="2"/>
  <c r="AB349" i="2"/>
  <c r="AB361" i="2"/>
  <c r="AB373" i="2"/>
  <c r="AB385" i="2"/>
  <c r="AB397" i="2"/>
  <c r="AB409" i="2"/>
  <c r="AB421" i="2"/>
  <c r="AB433" i="2"/>
  <c r="AB445" i="2"/>
  <c r="AB457" i="2"/>
  <c r="AB469" i="2"/>
  <c r="AB481" i="2"/>
  <c r="AB493" i="2"/>
  <c r="AB505" i="2"/>
  <c r="AB517" i="2"/>
  <c r="AB529" i="2"/>
  <c r="AB541" i="2"/>
  <c r="AB553" i="2"/>
  <c r="AB565" i="2"/>
  <c r="AB577" i="2"/>
  <c r="AB589" i="2"/>
  <c r="AB601" i="2"/>
  <c r="AB613" i="2"/>
  <c r="AB625" i="2"/>
  <c r="AB637" i="2"/>
  <c r="AB649" i="2"/>
  <c r="AB661" i="2"/>
  <c r="AB673" i="2"/>
  <c r="AB685" i="2"/>
  <c r="AB697" i="2"/>
  <c r="AB709" i="2"/>
  <c r="AB721" i="2"/>
  <c r="AB733" i="2"/>
  <c r="AB745" i="2"/>
  <c r="AB757" i="2"/>
  <c r="AB769" i="2"/>
  <c r="AB781" i="2"/>
  <c r="AB793" i="2"/>
  <c r="AB805" i="2"/>
  <c r="AB817" i="2"/>
  <c r="AB829" i="2"/>
  <c r="AB841" i="2"/>
  <c r="AB853" i="2"/>
  <c r="AB865" i="2"/>
  <c r="AB877" i="2"/>
  <c r="AB889" i="2"/>
  <c r="AB901" i="2"/>
  <c r="AB913" i="2"/>
  <c r="AB925" i="2"/>
  <c r="AB937" i="2"/>
  <c r="AB949" i="2"/>
  <c r="AB961" i="2"/>
  <c r="AB973" i="2"/>
  <c r="AB985" i="2"/>
  <c r="AB997" i="2"/>
  <c r="AB1009" i="2"/>
  <c r="AB1021" i="2"/>
  <c r="AB1033" i="2"/>
  <c r="AB1045" i="2"/>
  <c r="AB1057" i="2"/>
  <c r="AB1069" i="2"/>
  <c r="AB86" i="2"/>
  <c r="AB98" i="2"/>
  <c r="AB110" i="2"/>
  <c r="AB122" i="2"/>
  <c r="AB134" i="2"/>
  <c r="AB146" i="2"/>
  <c r="AB158" i="2"/>
  <c r="AB170" i="2"/>
  <c r="AB182" i="2"/>
  <c r="AB194" i="2"/>
  <c r="AB206" i="2"/>
  <c r="AB218" i="2"/>
  <c r="AB230" i="2"/>
  <c r="AB242" i="2"/>
  <c r="AB254" i="2"/>
  <c r="AB266" i="2"/>
  <c r="AB278" i="2"/>
  <c r="AB290" i="2"/>
  <c r="AB302" i="2"/>
  <c r="AB314" i="2"/>
  <c r="AB326" i="2"/>
  <c r="AB338" i="2"/>
  <c r="AB350" i="2"/>
  <c r="AB362" i="2"/>
  <c r="AB374" i="2"/>
  <c r="AB386" i="2"/>
  <c r="AB398" i="2"/>
  <c r="AB410" i="2"/>
  <c r="AB422" i="2"/>
  <c r="AB434" i="2"/>
  <c r="AB446" i="2"/>
  <c r="AB458" i="2"/>
  <c r="AB470" i="2"/>
  <c r="AB482" i="2"/>
  <c r="AB494" i="2"/>
  <c r="AB506" i="2"/>
  <c r="AB518" i="2"/>
  <c r="AB530" i="2"/>
  <c r="AB542" i="2"/>
  <c r="AB554" i="2"/>
  <c r="AB566" i="2"/>
  <c r="AB578" i="2"/>
  <c r="AB590" i="2"/>
  <c r="AB602" i="2"/>
  <c r="AB614" i="2"/>
  <c r="AB626" i="2"/>
  <c r="AB638" i="2"/>
  <c r="AB650" i="2"/>
  <c r="AB662" i="2"/>
  <c r="AB674" i="2"/>
  <c r="AB686" i="2"/>
  <c r="AB698" i="2"/>
  <c r="AB710" i="2"/>
  <c r="AB722" i="2"/>
  <c r="AB734" i="2"/>
  <c r="AB746" i="2"/>
  <c r="AB758" i="2"/>
  <c r="AB770" i="2"/>
  <c r="AB782" i="2"/>
  <c r="AB794" i="2"/>
  <c r="AB806" i="2"/>
  <c r="AB818" i="2"/>
  <c r="AB830" i="2"/>
  <c r="AB842" i="2"/>
  <c r="AB854" i="2"/>
  <c r="AB866" i="2"/>
  <c r="AB878" i="2"/>
  <c r="AB890" i="2"/>
  <c r="AB902" i="2"/>
  <c r="AB914" i="2"/>
  <c r="AB926" i="2"/>
  <c r="AB938" i="2"/>
  <c r="AB950" i="2"/>
  <c r="AB962" i="2"/>
  <c r="AB974" i="2"/>
  <c r="AB986" i="2"/>
  <c r="AB998" i="2"/>
  <c r="AB1010" i="2"/>
  <c r="AB1022" i="2"/>
  <c r="AB1034" i="2"/>
  <c r="AB1046" i="2"/>
  <c r="AB1058" i="2"/>
  <c r="AB1070" i="2"/>
  <c r="AB87" i="2"/>
  <c r="AB99" i="2"/>
  <c r="AB111" i="2"/>
  <c r="AB123" i="2"/>
  <c r="AB135" i="2"/>
  <c r="AB147" i="2"/>
  <c r="AB159" i="2"/>
  <c r="AB171" i="2"/>
  <c r="AB183" i="2"/>
  <c r="AB195" i="2"/>
  <c r="AB207" i="2"/>
  <c r="AB219" i="2"/>
  <c r="AB231" i="2"/>
  <c r="AB243" i="2"/>
  <c r="AB255" i="2"/>
  <c r="AB267" i="2"/>
  <c r="AB279" i="2"/>
  <c r="AB291" i="2"/>
  <c r="AB303" i="2"/>
  <c r="AB315" i="2"/>
  <c r="AB327" i="2"/>
  <c r="AB339" i="2"/>
  <c r="AB351" i="2"/>
  <c r="AB363" i="2"/>
  <c r="AB375" i="2"/>
  <c r="AB387" i="2"/>
  <c r="AB399" i="2"/>
  <c r="AB411" i="2"/>
  <c r="AB423" i="2"/>
  <c r="AB435" i="2"/>
  <c r="AB447" i="2"/>
  <c r="AB459" i="2"/>
  <c r="AB471" i="2"/>
  <c r="AB483" i="2"/>
  <c r="AB495" i="2"/>
  <c r="AB507" i="2"/>
  <c r="AB519" i="2"/>
  <c r="AB531" i="2"/>
  <c r="AB543" i="2"/>
  <c r="AB555" i="2"/>
  <c r="AB567" i="2"/>
  <c r="AB579" i="2"/>
  <c r="AB591" i="2"/>
  <c r="AB603" i="2"/>
  <c r="AB615" i="2"/>
  <c r="AB627" i="2"/>
  <c r="AB639" i="2"/>
  <c r="AB651" i="2"/>
  <c r="AB663" i="2"/>
  <c r="AB675" i="2"/>
  <c r="AB687" i="2"/>
  <c r="AB699" i="2"/>
  <c r="AB711" i="2"/>
  <c r="AB723" i="2"/>
  <c r="AB735" i="2"/>
  <c r="AB747" i="2"/>
  <c r="AB759" i="2"/>
  <c r="AB771" i="2"/>
  <c r="AB783" i="2"/>
  <c r="AB795" i="2"/>
  <c r="AB807" i="2"/>
  <c r="AB819" i="2"/>
  <c r="AB831" i="2"/>
  <c r="AB843" i="2"/>
  <c r="AB855" i="2"/>
  <c r="AB867" i="2"/>
  <c r="AB879" i="2"/>
  <c r="AB891" i="2"/>
  <c r="AB903" i="2"/>
  <c r="AB915" i="2"/>
  <c r="AB927" i="2"/>
  <c r="AB939" i="2"/>
  <c r="AB951" i="2"/>
  <c r="AB963" i="2"/>
  <c r="AB975" i="2"/>
  <c r="AB987" i="2"/>
  <c r="AB999" i="2"/>
  <c r="AB1011" i="2"/>
  <c r="AB1023" i="2"/>
  <c r="AB1035" i="2"/>
  <c r="AB1047" i="2"/>
  <c r="AB1059" i="2"/>
  <c r="AB88" i="2"/>
  <c r="AB100" i="2"/>
  <c r="AB112" i="2"/>
  <c r="AB124" i="2"/>
  <c r="AB136" i="2"/>
  <c r="AB148" i="2"/>
  <c r="AB160" i="2"/>
  <c r="AB172" i="2"/>
  <c r="AB184" i="2"/>
  <c r="AB196" i="2"/>
  <c r="AB208" i="2"/>
  <c r="AB220" i="2"/>
  <c r="AB232" i="2"/>
  <c r="AB244" i="2"/>
  <c r="AB256" i="2"/>
  <c r="AB268" i="2"/>
  <c r="AB280" i="2"/>
  <c r="AB292" i="2"/>
  <c r="AB304" i="2"/>
  <c r="AB316" i="2"/>
  <c r="AB328" i="2"/>
  <c r="AB340" i="2"/>
  <c r="AB352" i="2"/>
  <c r="AB364" i="2"/>
  <c r="AB376" i="2"/>
  <c r="AB388" i="2"/>
  <c r="AB400" i="2"/>
  <c r="AB412" i="2"/>
  <c r="AB424" i="2"/>
  <c r="AB436" i="2"/>
  <c r="AB448" i="2"/>
  <c r="AB460" i="2"/>
  <c r="AB472" i="2"/>
  <c r="AB484" i="2"/>
  <c r="AB496" i="2"/>
  <c r="AB508" i="2"/>
  <c r="AB520" i="2"/>
  <c r="AB532" i="2"/>
  <c r="AB544" i="2"/>
  <c r="AB556" i="2"/>
  <c r="AB568" i="2"/>
  <c r="AB580" i="2"/>
  <c r="AB592" i="2"/>
  <c r="AB604" i="2"/>
  <c r="AB616" i="2"/>
  <c r="AB628" i="2"/>
  <c r="AB640" i="2"/>
  <c r="AB652" i="2"/>
  <c r="AB664" i="2"/>
  <c r="AB676" i="2"/>
  <c r="AB688" i="2"/>
  <c r="AB700" i="2"/>
  <c r="AB712" i="2"/>
  <c r="AB724" i="2"/>
  <c r="AB736" i="2"/>
  <c r="AB748" i="2"/>
  <c r="AB760" i="2"/>
  <c r="AB772" i="2"/>
  <c r="AB784" i="2"/>
  <c r="AB796" i="2"/>
  <c r="AB808" i="2"/>
  <c r="AB820" i="2"/>
  <c r="AB832" i="2"/>
  <c r="AB844" i="2"/>
  <c r="AB856" i="2"/>
  <c r="AB868" i="2"/>
  <c r="AB880" i="2"/>
  <c r="AB892" i="2"/>
  <c r="AB904" i="2"/>
  <c r="AB916" i="2"/>
  <c r="AB928" i="2"/>
  <c r="AB940" i="2"/>
  <c r="AB952" i="2"/>
  <c r="AB964" i="2"/>
  <c r="AB976" i="2"/>
  <c r="AB988" i="2"/>
  <c r="AB1000" i="2"/>
  <c r="AB1012" i="2"/>
  <c r="AB1024" i="2"/>
  <c r="AB1036" i="2"/>
  <c r="AB1048" i="2"/>
  <c r="AB1060" i="2"/>
  <c r="AB89" i="2"/>
  <c r="AB101" i="2"/>
  <c r="AB113" i="2"/>
  <c r="AB125" i="2"/>
  <c r="AB137" i="2"/>
  <c r="AB149" i="2"/>
  <c r="AB161" i="2"/>
  <c r="AB173" i="2"/>
  <c r="AB185" i="2"/>
  <c r="AB197" i="2"/>
  <c r="AB209" i="2"/>
  <c r="AB221" i="2"/>
  <c r="AB233" i="2"/>
  <c r="AB245" i="2"/>
  <c r="AB257" i="2"/>
  <c r="AB269" i="2"/>
  <c r="AB281" i="2"/>
  <c r="AB293" i="2"/>
  <c r="AB305" i="2"/>
  <c r="AB317" i="2"/>
  <c r="AB329" i="2"/>
  <c r="AB341" i="2"/>
  <c r="AB353" i="2"/>
  <c r="AB365" i="2"/>
  <c r="AB377" i="2"/>
  <c r="AB389" i="2"/>
  <c r="AB401" i="2"/>
  <c r="AB413" i="2"/>
  <c r="AB425" i="2"/>
  <c r="AB437" i="2"/>
  <c r="AB449" i="2"/>
  <c r="AB461" i="2"/>
  <c r="AB473" i="2"/>
  <c r="AB485" i="2"/>
  <c r="AB497" i="2"/>
  <c r="AB509" i="2"/>
  <c r="AB521" i="2"/>
  <c r="AB533" i="2"/>
  <c r="AB545" i="2"/>
  <c r="AB557" i="2"/>
  <c r="AB569" i="2"/>
  <c r="AB581" i="2"/>
  <c r="AB593" i="2"/>
  <c r="AB605" i="2"/>
  <c r="AB617" i="2"/>
  <c r="AB629" i="2"/>
  <c r="AB641" i="2"/>
  <c r="AB653" i="2"/>
  <c r="AB665" i="2"/>
  <c r="AB677" i="2"/>
  <c r="AB689" i="2"/>
  <c r="AB701" i="2"/>
  <c r="AB713" i="2"/>
  <c r="AB725" i="2"/>
  <c r="AB737" i="2"/>
  <c r="AB749" i="2"/>
  <c r="AB761" i="2"/>
  <c r="AB773" i="2"/>
  <c r="AB785" i="2"/>
  <c r="AB797" i="2"/>
  <c r="AB809" i="2"/>
  <c r="AB821" i="2"/>
  <c r="AB833" i="2"/>
  <c r="AB845" i="2"/>
  <c r="AB857" i="2"/>
  <c r="AB869" i="2"/>
  <c r="AB881" i="2"/>
  <c r="AB893" i="2"/>
  <c r="AB905" i="2"/>
  <c r="AB917" i="2"/>
  <c r="AB929" i="2"/>
  <c r="AB941" i="2"/>
  <c r="AB953" i="2"/>
  <c r="AB965" i="2"/>
  <c r="AB977" i="2"/>
  <c r="AB989" i="2"/>
  <c r="AB1001" i="2"/>
  <c r="AB1013" i="2"/>
  <c r="AB1025" i="2"/>
  <c r="AB1037" i="2"/>
  <c r="AB1049" i="2"/>
  <c r="AB1061" i="2"/>
  <c r="AB90" i="2"/>
  <c r="AB102" i="2"/>
  <c r="AB114" i="2"/>
  <c r="AB126" i="2"/>
  <c r="AB138" i="2"/>
  <c r="AB150" i="2"/>
  <c r="AB162" i="2"/>
  <c r="AB174" i="2"/>
  <c r="AB186" i="2"/>
  <c r="AB198" i="2"/>
  <c r="AB210" i="2"/>
  <c r="AB222" i="2"/>
  <c r="AB234" i="2"/>
  <c r="AB246" i="2"/>
  <c r="AB258" i="2"/>
  <c r="AB270" i="2"/>
  <c r="AB282" i="2"/>
  <c r="AB294" i="2"/>
  <c r="AB306" i="2"/>
  <c r="AB318" i="2"/>
  <c r="AB330" i="2"/>
  <c r="AB342" i="2"/>
  <c r="AB354" i="2"/>
  <c r="AB366" i="2"/>
  <c r="AB378" i="2"/>
  <c r="AB390" i="2"/>
  <c r="AB402" i="2"/>
  <c r="AB414" i="2"/>
  <c r="AB426" i="2"/>
  <c r="AB438" i="2"/>
  <c r="AB450" i="2"/>
  <c r="AB462" i="2"/>
  <c r="AB474" i="2"/>
  <c r="AB486" i="2"/>
  <c r="AB498" i="2"/>
  <c r="AB510" i="2"/>
  <c r="AB522" i="2"/>
  <c r="AB534" i="2"/>
  <c r="AB546" i="2"/>
  <c r="AB558" i="2"/>
  <c r="AB570" i="2"/>
  <c r="AB582" i="2"/>
  <c r="AB594" i="2"/>
  <c r="AB606" i="2"/>
  <c r="AB618" i="2"/>
  <c r="AB630" i="2"/>
  <c r="AB642" i="2"/>
  <c r="AB654" i="2"/>
  <c r="AB666" i="2"/>
  <c r="AB678" i="2"/>
  <c r="AB690" i="2"/>
  <c r="AB702" i="2"/>
  <c r="AB714" i="2"/>
  <c r="AB726" i="2"/>
  <c r="AB738" i="2"/>
  <c r="AB750" i="2"/>
  <c r="AB762" i="2"/>
  <c r="AB774" i="2"/>
  <c r="AB786" i="2"/>
  <c r="AB798" i="2"/>
  <c r="AB810" i="2"/>
  <c r="AB822" i="2"/>
  <c r="AB834" i="2"/>
  <c r="AB846" i="2"/>
  <c r="AB858" i="2"/>
  <c r="AB870" i="2"/>
  <c r="AB882" i="2"/>
  <c r="AB894" i="2"/>
  <c r="AB906" i="2"/>
  <c r="AB918" i="2"/>
  <c r="AB930" i="2"/>
  <c r="AB942" i="2"/>
  <c r="AB954" i="2"/>
  <c r="AB966" i="2"/>
  <c r="AB978" i="2"/>
  <c r="AB990" i="2"/>
  <c r="AB1002" i="2"/>
  <c r="AB1014" i="2"/>
  <c r="AB1026" i="2"/>
  <c r="AB1038" i="2"/>
  <c r="AB1050" i="2"/>
  <c r="AB1062" i="2"/>
  <c r="AB91" i="2"/>
  <c r="AB103" i="2"/>
  <c r="AB115" i="2"/>
  <c r="AB127" i="2"/>
  <c r="AB139" i="2"/>
  <c r="AB151" i="2"/>
  <c r="AB163" i="2"/>
  <c r="AB175" i="2"/>
  <c r="AB187" i="2"/>
  <c r="AB199" i="2"/>
  <c r="AB211" i="2"/>
  <c r="AB223" i="2"/>
  <c r="AB235" i="2"/>
  <c r="AB247" i="2"/>
  <c r="AB259" i="2"/>
  <c r="AB271" i="2"/>
  <c r="AB283" i="2"/>
  <c r="AB295" i="2"/>
  <c r="AB307" i="2"/>
  <c r="AB319" i="2"/>
  <c r="AB331" i="2"/>
  <c r="AB343" i="2"/>
  <c r="AB355" i="2"/>
  <c r="AB367" i="2"/>
  <c r="AB379" i="2"/>
  <c r="AB391" i="2"/>
  <c r="AB403" i="2"/>
  <c r="AB415" i="2"/>
  <c r="AB427" i="2"/>
  <c r="AB439" i="2"/>
  <c r="AB451" i="2"/>
  <c r="AB463" i="2"/>
  <c r="AB475" i="2"/>
  <c r="AB487" i="2"/>
  <c r="AB499" i="2"/>
  <c r="AB511" i="2"/>
  <c r="AB523" i="2"/>
  <c r="AB535" i="2"/>
  <c r="AB547" i="2"/>
  <c r="AB559" i="2"/>
  <c r="AB571" i="2"/>
  <c r="AB583" i="2"/>
  <c r="AB595" i="2"/>
  <c r="AB607" i="2"/>
  <c r="AB619" i="2"/>
  <c r="AB631" i="2"/>
  <c r="AB643" i="2"/>
  <c r="AB655" i="2"/>
  <c r="AB667" i="2"/>
  <c r="AB679" i="2"/>
  <c r="AB691" i="2"/>
  <c r="AB703" i="2"/>
  <c r="AB715" i="2"/>
  <c r="AB727" i="2"/>
  <c r="AB739" i="2"/>
  <c r="AB751" i="2"/>
  <c r="AB763" i="2"/>
  <c r="AB775" i="2"/>
  <c r="AB787" i="2"/>
  <c r="AB799" i="2"/>
  <c r="AB811" i="2"/>
  <c r="AB823" i="2"/>
  <c r="AB835" i="2"/>
  <c r="AB847" i="2"/>
  <c r="AB859" i="2"/>
  <c r="AB871" i="2"/>
  <c r="AB883" i="2"/>
  <c r="AB895" i="2"/>
  <c r="AB907" i="2"/>
  <c r="AB919" i="2"/>
  <c r="AB931" i="2"/>
  <c r="AB943" i="2"/>
  <c r="AB955" i="2"/>
  <c r="AB967" i="2"/>
  <c r="AB979" i="2"/>
  <c r="AB991" i="2"/>
  <c r="AB1003" i="2"/>
  <c r="AB1015" i="2"/>
  <c r="AB1027" i="2"/>
  <c r="AB1039" i="2"/>
  <c r="AB1051" i="2"/>
  <c r="AB1063" i="2"/>
  <c r="AB92" i="2"/>
  <c r="AB104" i="2"/>
  <c r="AB116" i="2"/>
  <c r="AB128" i="2"/>
  <c r="AB140" i="2"/>
  <c r="AB152" i="2"/>
  <c r="AB164" i="2"/>
  <c r="AB176" i="2"/>
  <c r="AB188" i="2"/>
  <c r="AB200" i="2"/>
  <c r="AB212" i="2"/>
  <c r="AB224" i="2"/>
  <c r="AB236" i="2"/>
  <c r="AB248" i="2"/>
  <c r="AB260" i="2"/>
  <c r="AB272" i="2"/>
  <c r="AB284" i="2"/>
  <c r="AB296" i="2"/>
  <c r="AB308" i="2"/>
  <c r="AB320" i="2"/>
  <c r="AB332" i="2"/>
  <c r="AB344" i="2"/>
  <c r="AB356" i="2"/>
  <c r="AB368" i="2"/>
  <c r="AB380" i="2"/>
  <c r="AB392" i="2"/>
  <c r="AB404" i="2"/>
  <c r="AB416" i="2"/>
  <c r="AB428" i="2"/>
  <c r="AB440" i="2"/>
  <c r="AB452" i="2"/>
  <c r="AB464" i="2"/>
  <c r="AB476" i="2"/>
  <c r="AB488" i="2"/>
  <c r="AB500" i="2"/>
  <c r="AB512" i="2"/>
  <c r="AB524" i="2"/>
  <c r="AB536" i="2"/>
  <c r="AB548" i="2"/>
  <c r="AB560" i="2"/>
  <c r="AB572" i="2"/>
  <c r="AB584" i="2"/>
  <c r="AB596" i="2"/>
  <c r="AB608" i="2"/>
  <c r="AB620" i="2"/>
  <c r="AB632" i="2"/>
  <c r="AB644" i="2"/>
  <c r="AB656" i="2"/>
  <c r="AB668" i="2"/>
  <c r="AB680" i="2"/>
  <c r="AB692" i="2"/>
  <c r="AB704" i="2"/>
  <c r="AB716" i="2"/>
  <c r="AB728" i="2"/>
  <c r="AB740" i="2"/>
  <c r="AB752" i="2"/>
  <c r="AB764" i="2"/>
  <c r="AB776" i="2"/>
  <c r="AB788" i="2"/>
  <c r="AB800" i="2"/>
  <c r="AB812" i="2"/>
  <c r="AB824" i="2"/>
  <c r="AB836" i="2"/>
  <c r="AB848" i="2"/>
  <c r="AB860" i="2"/>
  <c r="AB872" i="2"/>
  <c r="AB884" i="2"/>
  <c r="AB896" i="2"/>
  <c r="AB908" i="2"/>
  <c r="AB920" i="2"/>
  <c r="AB932" i="2"/>
  <c r="AB944" i="2"/>
  <c r="AB956" i="2"/>
  <c r="AB968" i="2"/>
  <c r="AB980" i="2"/>
  <c r="AB992" i="2"/>
  <c r="AB1004" i="2"/>
  <c r="AB1016" i="2"/>
  <c r="AB1028" i="2"/>
  <c r="AB1040" i="2"/>
  <c r="AB1052" i="2"/>
  <c r="AB1064" i="2"/>
  <c r="AB81" i="2"/>
  <c r="AB93" i="2"/>
  <c r="AB105" i="2"/>
  <c r="AB117" i="2"/>
  <c r="AB129" i="2"/>
  <c r="AB141" i="2"/>
  <c r="AB153" i="2"/>
  <c r="AB165" i="2"/>
  <c r="AB177" i="2"/>
  <c r="AB189" i="2"/>
  <c r="AB201" i="2"/>
  <c r="AB213" i="2"/>
  <c r="AB225" i="2"/>
  <c r="AB237" i="2"/>
  <c r="AB249" i="2"/>
  <c r="AB261" i="2"/>
  <c r="AB273" i="2"/>
  <c r="AB285" i="2"/>
  <c r="AB297" i="2"/>
  <c r="AB309" i="2"/>
  <c r="AB321" i="2"/>
  <c r="AB333" i="2"/>
  <c r="AB345" i="2"/>
  <c r="AB357" i="2"/>
  <c r="AB369" i="2"/>
  <c r="AB381" i="2"/>
  <c r="AB393" i="2"/>
  <c r="AB405" i="2"/>
  <c r="AB417" i="2"/>
  <c r="AB429" i="2"/>
  <c r="AB441" i="2"/>
  <c r="AB453" i="2"/>
  <c r="AB465" i="2"/>
  <c r="AB477" i="2"/>
  <c r="AB489" i="2"/>
  <c r="AB501" i="2"/>
  <c r="AB513" i="2"/>
  <c r="AB525" i="2"/>
  <c r="AB537" i="2"/>
  <c r="AB549" i="2"/>
  <c r="AB561" i="2"/>
  <c r="AB573" i="2"/>
  <c r="AB585" i="2"/>
  <c r="AB597" i="2"/>
  <c r="AB609" i="2"/>
  <c r="AB621" i="2"/>
  <c r="AB633" i="2"/>
  <c r="AB645" i="2"/>
  <c r="AB657" i="2"/>
  <c r="AB669" i="2"/>
  <c r="AB681" i="2"/>
  <c r="AB693" i="2"/>
  <c r="AB705" i="2"/>
  <c r="AB717" i="2"/>
  <c r="AB729" i="2"/>
  <c r="AB741" i="2"/>
  <c r="AB753" i="2"/>
  <c r="AB765" i="2"/>
  <c r="AB777" i="2"/>
  <c r="AB789" i="2"/>
  <c r="AB801" i="2"/>
  <c r="AB813" i="2"/>
  <c r="AB825" i="2"/>
  <c r="AB837" i="2"/>
  <c r="AB849" i="2"/>
  <c r="AB861" i="2"/>
  <c r="AB873" i="2"/>
  <c r="AB885" i="2"/>
  <c r="AB897" i="2"/>
  <c r="AB909" i="2"/>
  <c r="AB921" i="2"/>
  <c r="AB933" i="2"/>
  <c r="AB945" i="2"/>
  <c r="AB957" i="2"/>
  <c r="AB969" i="2"/>
  <c r="AB981" i="2"/>
  <c r="AB993" i="2"/>
  <c r="AB1005" i="2"/>
  <c r="AB1017" i="2"/>
  <c r="AB1029" i="2"/>
  <c r="AB1041" i="2"/>
  <c r="AB1053" i="2"/>
  <c r="AB1065" i="2"/>
  <c r="AB82" i="2"/>
  <c r="AB94" i="2"/>
  <c r="AB106" i="2"/>
  <c r="AB118" i="2"/>
  <c r="AB130" i="2"/>
  <c r="AB142" i="2"/>
  <c r="AB154" i="2"/>
  <c r="AB166" i="2"/>
  <c r="AB178" i="2"/>
  <c r="AB190" i="2"/>
  <c r="AB202" i="2"/>
  <c r="AB214" i="2"/>
  <c r="AB226" i="2"/>
  <c r="AB238" i="2"/>
  <c r="AB250" i="2"/>
  <c r="AB262" i="2"/>
  <c r="AB274" i="2"/>
  <c r="AB286" i="2"/>
  <c r="AB298" i="2"/>
  <c r="AB310" i="2"/>
  <c r="AB322" i="2"/>
  <c r="AB334" i="2"/>
  <c r="AB346" i="2"/>
  <c r="AB358" i="2"/>
  <c r="AB370" i="2"/>
  <c r="AB382" i="2"/>
  <c r="AB394" i="2"/>
  <c r="AB406" i="2"/>
  <c r="AB418" i="2"/>
  <c r="AB430" i="2"/>
  <c r="AB442" i="2"/>
  <c r="AB454" i="2"/>
  <c r="AB466" i="2"/>
  <c r="AB478" i="2"/>
  <c r="AB490" i="2"/>
  <c r="AB502" i="2"/>
  <c r="AB514" i="2"/>
  <c r="AB526" i="2"/>
  <c r="AB538" i="2"/>
  <c r="AB550" i="2"/>
  <c r="AB562" i="2"/>
  <c r="AB574" i="2"/>
  <c r="AB586" i="2"/>
  <c r="AB598" i="2"/>
  <c r="AB610" i="2"/>
  <c r="AB622" i="2"/>
  <c r="AB634" i="2"/>
  <c r="AB646" i="2"/>
  <c r="AB658" i="2"/>
  <c r="AB670" i="2"/>
  <c r="AB682" i="2"/>
  <c r="AB694" i="2"/>
  <c r="AB706" i="2"/>
  <c r="AB718" i="2"/>
  <c r="AB730" i="2"/>
  <c r="AB742" i="2"/>
  <c r="AB754" i="2"/>
  <c r="AB766" i="2"/>
  <c r="AB778" i="2"/>
  <c r="AB790" i="2"/>
  <c r="AB802" i="2"/>
  <c r="AB814" i="2"/>
  <c r="AB826" i="2"/>
  <c r="AB838" i="2"/>
  <c r="AB850" i="2"/>
  <c r="AB862" i="2"/>
  <c r="AB874" i="2"/>
  <c r="AB886" i="2"/>
  <c r="AB898" i="2"/>
  <c r="AB910" i="2"/>
  <c r="AB922" i="2"/>
  <c r="AB934" i="2"/>
  <c r="AB946" i="2"/>
  <c r="AB958" i="2"/>
  <c r="AB970" i="2"/>
  <c r="AB982" i="2"/>
  <c r="AB994" i="2"/>
  <c r="AB1006" i="2"/>
  <c r="AB1018" i="2"/>
  <c r="AB1030" i="2"/>
  <c r="AB1042" i="2"/>
  <c r="AB1054" i="2"/>
  <c r="AB1066" i="2"/>
  <c r="AB83" i="2"/>
  <c r="AB95" i="2"/>
  <c r="AB107" i="2"/>
  <c r="AB119" i="2"/>
  <c r="AB131" i="2"/>
  <c r="AB143" i="2"/>
  <c r="AB155" i="2"/>
  <c r="AB167" i="2"/>
  <c r="AB179" i="2"/>
  <c r="AB191" i="2"/>
  <c r="AB203" i="2"/>
  <c r="AB215" i="2"/>
  <c r="AB227" i="2"/>
  <c r="AB239" i="2"/>
  <c r="AB251" i="2"/>
  <c r="AB263" i="2"/>
  <c r="AB275" i="2"/>
  <c r="AB287" i="2"/>
  <c r="AB299" i="2"/>
  <c r="AB311" i="2"/>
  <c r="AB323" i="2"/>
  <c r="AB335" i="2"/>
  <c r="AB347" i="2"/>
  <c r="AB359" i="2"/>
  <c r="AB371" i="2"/>
  <c r="AB383" i="2"/>
  <c r="AB395" i="2"/>
  <c r="AB407" i="2"/>
  <c r="AB419" i="2"/>
  <c r="AB431" i="2"/>
  <c r="AB443" i="2"/>
  <c r="AB455" i="2"/>
  <c r="AB467" i="2"/>
  <c r="AB479" i="2"/>
  <c r="AB491" i="2"/>
  <c r="AB503" i="2"/>
  <c r="AB515" i="2"/>
  <c r="AB527" i="2"/>
  <c r="AB539" i="2"/>
  <c r="AB551" i="2"/>
  <c r="AB563" i="2"/>
  <c r="AB575" i="2"/>
  <c r="AB587" i="2"/>
  <c r="AB599" i="2"/>
  <c r="AB611" i="2"/>
  <c r="AB623" i="2"/>
  <c r="AB635" i="2"/>
  <c r="AB647" i="2"/>
  <c r="AB659" i="2"/>
  <c r="AB671" i="2"/>
  <c r="AB683" i="2"/>
  <c r="AB695" i="2"/>
  <c r="AB707" i="2"/>
  <c r="AB719" i="2"/>
  <c r="AB731" i="2"/>
  <c r="AB743" i="2"/>
  <c r="AB755" i="2"/>
  <c r="AB767" i="2"/>
  <c r="AB779" i="2"/>
  <c r="AB791" i="2"/>
  <c r="AB803" i="2"/>
  <c r="AB815" i="2"/>
  <c r="AB827" i="2"/>
  <c r="AB839" i="2"/>
  <c r="AB851" i="2"/>
  <c r="AB863" i="2"/>
  <c r="AB875" i="2"/>
  <c r="AB887" i="2"/>
  <c r="AB899" i="2"/>
  <c r="AB911" i="2"/>
  <c r="AB923" i="2"/>
  <c r="AB935" i="2"/>
  <c r="AB947" i="2"/>
  <c r="AB959" i="2"/>
  <c r="AB971" i="2"/>
  <c r="AB983" i="2"/>
  <c r="AB995" i="2"/>
  <c r="AB1007" i="2"/>
  <c r="AB1019" i="2"/>
  <c r="AB1031" i="2"/>
  <c r="AB1043" i="2"/>
  <c r="AB1055" i="2"/>
  <c r="AB1067" i="2"/>
  <c r="AB84" i="2"/>
  <c r="AB96" i="2"/>
  <c r="AB108" i="2"/>
  <c r="AB120" i="2"/>
  <c r="AB132" i="2"/>
  <c r="AB144" i="2"/>
  <c r="AB156" i="2"/>
  <c r="AB168" i="2"/>
  <c r="AB180" i="2"/>
  <c r="AB192" i="2"/>
  <c r="AB204" i="2"/>
  <c r="AB216" i="2"/>
  <c r="AB228" i="2"/>
  <c r="AB240" i="2"/>
  <c r="AB252" i="2"/>
  <c r="AB264" i="2"/>
  <c r="AB276" i="2"/>
  <c r="AB288" i="2"/>
  <c r="AB300" i="2"/>
  <c r="AB312" i="2"/>
  <c r="AB324" i="2"/>
  <c r="AB336" i="2"/>
  <c r="AB348" i="2"/>
  <c r="AB360" i="2"/>
  <c r="AB372" i="2"/>
  <c r="AB384" i="2"/>
  <c r="AB396" i="2"/>
  <c r="AB408" i="2"/>
  <c r="AB420" i="2"/>
  <c r="AB432" i="2"/>
  <c r="AB444" i="2"/>
  <c r="AB456" i="2"/>
  <c r="AB468" i="2"/>
  <c r="AB480" i="2"/>
  <c r="AB492" i="2"/>
  <c r="AB504" i="2"/>
  <c r="AB516" i="2"/>
  <c r="AB528" i="2"/>
  <c r="AB540" i="2"/>
  <c r="AB552" i="2"/>
  <c r="AB564" i="2"/>
  <c r="AB576" i="2"/>
  <c r="AB588" i="2"/>
  <c r="AB600" i="2"/>
  <c r="AB612" i="2"/>
  <c r="AB624" i="2"/>
  <c r="AB636" i="2"/>
  <c r="AB648" i="2"/>
  <c r="AB660" i="2"/>
  <c r="AB672" i="2"/>
  <c r="AB684" i="2"/>
  <c r="AB696" i="2"/>
  <c r="AB708" i="2"/>
  <c r="AB720" i="2"/>
  <c r="AB732" i="2"/>
  <c r="AB744" i="2"/>
  <c r="AB756" i="2"/>
  <c r="AB768" i="2"/>
  <c r="AB780" i="2"/>
  <c r="AB792" i="2"/>
  <c r="AB804" i="2"/>
  <c r="AB816" i="2"/>
  <c r="AB828" i="2"/>
  <c r="AB840" i="2"/>
  <c r="AB852" i="2"/>
  <c r="AB864" i="2"/>
  <c r="AB876" i="2"/>
  <c r="AB888" i="2"/>
  <c r="AB900" i="2"/>
  <c r="AB912" i="2"/>
  <c r="AB924" i="2"/>
  <c r="AB936" i="2"/>
  <c r="AB948" i="2"/>
  <c r="AB960" i="2"/>
  <c r="AB972" i="2"/>
  <c r="AB984" i="2"/>
  <c r="AB996" i="2"/>
  <c r="AB1008" i="2"/>
  <c r="AB1020" i="2"/>
  <c r="AB1032" i="2"/>
  <c r="AB1044" i="2"/>
  <c r="AB1056" i="2"/>
  <c r="AB1068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J894" i="5"/>
  <c r="J892" i="5"/>
  <c r="J895" i="5"/>
  <c r="B894" i="5"/>
  <c r="J883" i="5"/>
  <c r="J889" i="5"/>
  <c r="J886" i="5"/>
  <c r="J887" i="5"/>
  <c r="J888" i="5"/>
  <c r="C889" i="5"/>
  <c r="B889" i="5" s="1"/>
  <c r="B888" i="5"/>
  <c r="J881" i="5"/>
  <c r="J882" i="5"/>
  <c r="J880" i="5"/>
  <c r="B882" i="5"/>
  <c r="J874" i="5"/>
  <c r="J873" i="5" s="1"/>
  <c r="B876" i="5"/>
  <c r="J868" i="5"/>
  <c r="J867" i="5" s="1"/>
  <c r="J862" i="5"/>
  <c r="J861" i="5" s="1"/>
  <c r="B864" i="5"/>
  <c r="J856" i="5"/>
  <c r="J855" i="5" s="1"/>
  <c r="C859" i="5"/>
  <c r="B859" i="5" s="1"/>
  <c r="B858" i="5"/>
  <c r="J850" i="5"/>
  <c r="J849" i="5" s="1"/>
  <c r="B852" i="5"/>
  <c r="J844" i="5"/>
  <c r="J838" i="5"/>
  <c r="J837" i="5"/>
  <c r="J836" i="5"/>
  <c r="J835" i="5"/>
  <c r="J834" i="5"/>
  <c r="C837" i="5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J9" i="5"/>
  <c r="J13" i="5"/>
  <c r="J27" i="5"/>
  <c r="C115" i="5"/>
  <c r="C116" i="5" s="1"/>
  <c r="B114" i="5"/>
  <c r="G1" i="5"/>
  <c r="F1" i="5"/>
  <c r="J107" i="5" a="1"/>
  <c r="J90" i="5" a="1"/>
  <c r="J99" i="5" a="1"/>
  <c r="J109" i="5" a="1"/>
  <c r="J101" i="5" a="1"/>
  <c r="J86" i="5" a="1"/>
  <c r="J110" i="5" a="1"/>
  <c r="J85" i="5" a="1"/>
  <c r="J100" i="5" a="1"/>
  <c r="J87" i="5" a="1"/>
  <c r="J80" i="5" a="1"/>
  <c r="J88" i="5" a="1"/>
  <c r="J84" i="5" a="1"/>
  <c r="J89" i="5" a="1"/>
  <c r="J102" i="5" a="1"/>
  <c r="J108" i="5" a="1"/>
  <c r="J91" i="5" a="1"/>
  <c r="U3" i="4" l="1"/>
  <c r="V3" i="4" s="1"/>
  <c r="B805" i="5"/>
  <c r="B846" i="5"/>
  <c r="B837" i="5"/>
  <c r="C838" i="5"/>
  <c r="B870" i="5"/>
  <c r="J891" i="5"/>
  <c r="J885" i="5"/>
  <c r="J879" i="5"/>
  <c r="J843" i="5"/>
  <c r="J833" i="5"/>
  <c r="J827" i="5"/>
  <c r="J821" i="5"/>
  <c r="J815" i="5"/>
  <c r="J810" i="5"/>
  <c r="J801" i="5"/>
  <c r="C807" i="5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72" i="5" a="1"/>
  <c r="J61" i="5" a="1"/>
  <c r="J63" i="5" a="1"/>
  <c r="J12" i="5" a="1"/>
  <c r="J42" i="5" a="1"/>
  <c r="J31" i="5" a="1"/>
  <c r="J79" i="5" a="1"/>
  <c r="J60" i="5" a="1"/>
  <c r="J22" i="5" a="1"/>
  <c r="J35" i="5" a="1"/>
  <c r="J77" i="5" a="1"/>
  <c r="J70" i="5" a="1"/>
  <c r="J78" i="5" a="1"/>
  <c r="J69" i="5" a="1"/>
  <c r="J59" i="5" a="1"/>
  <c r="J71" i="5" a="1"/>
  <c r="J40" i="5" a="1"/>
  <c r="J19" i="5" a="1"/>
  <c r="J33" i="5" a="1"/>
  <c r="J26" i="5" a="1"/>
  <c r="J52" i="5" a="1"/>
  <c r="J51" i="5" a="1"/>
  <c r="B838" i="5" l="1"/>
  <c r="C839" i="5"/>
  <c r="B807" i="5"/>
  <c r="C808" i="5"/>
  <c r="B808" i="5" s="1"/>
  <c r="C799" i="5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C840" i="5" l="1"/>
  <c r="B839" i="5"/>
  <c r="B643" i="5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14" i="2"/>
  <c r="I13" i="2"/>
  <c r="N8" i="2" s="1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1" i="2"/>
  <c r="E10" i="2"/>
  <c r="D10" i="2" s="1"/>
  <c r="E6" i="2"/>
  <c r="D6" i="2" s="1"/>
  <c r="J6" i="5" a="1"/>
  <c r="J7" i="5" a="1"/>
  <c r="J8" i="5" a="1"/>
  <c r="J5" i="5" a="1"/>
  <c r="C841" i="5" l="1"/>
  <c r="B841" i="5" s="1"/>
  <c r="B840" i="5"/>
  <c r="C645" i="5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5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1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15" i="2"/>
  <c r="I12" i="2" s="1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<sst xmlns="http://schemas.openxmlformats.org/spreadsheetml/2006/main" count="11596" uniqueCount="2473">
  <si>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</si>
  <si>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</si>
  <si>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</si>
  <si>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</si>
  <si>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</si>
  <si>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</si>
  <si>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</si>
  <si>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</si>
  <si>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</si>
  <si>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</si>
  <si>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</si>
  <si>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</si>
  <si>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</si>
  <si>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</si>
  <si>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</si>
  <si>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</si>
  <si>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</si>
  <si>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</si>
  <si>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</si>
  <si>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</si>
  <si>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</si>
  <si>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</si>
  <si>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</si>
  <si>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</si>
  <si>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</si>
  <si>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</si>
  <si>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</si>
  <si>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</si>
  <si>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</si>
  <si>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</si>
  <si>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</si>
  <si>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</si>
  <si>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</si>
  <si>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</si>
  <si>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</si>
  <si>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</si>
  <si>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</si>
  <si>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</si>
  <si>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</si>
  <si>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</si>
  <si>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</si>
  <si>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</si>
  <si>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</si>
  <si>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</si>
  <si>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</si>
  <si>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</si>
  <si>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</si>
  <si>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</si>
  <si>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</si>
  <si>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</si>
  <si>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</si>
  <si>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</si>
  <si>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</si>
  <si>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</si>
  <si>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</si>
  <si>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</si>
  <si>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</si>
  <si>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</si>
  <si>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</si>
  <si>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</si>
  <si>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</si>
  <si>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</si>
  <si>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</si>
  <si>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</si>
  <si>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</si>
  <si>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</si>
  <si>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</si>
  <si>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</si>
  <si>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</si>
  <si>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</si>
  <si>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</si>
  <si>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</si>
  <si>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</si>
  <si>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</si>
  <si>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</si>
  <si>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</si>
  <si>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</si>
  <si>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</si>
  <si>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</si>
  <si>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</si>
  <si>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</si>
  <si>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</si>
  <si>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</si>
  <si>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</si>
  <si>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</si>
  <si>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</si>
  <si>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</si>
  <si>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</si>
  <si>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</si>
  <si>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</si>
  <si>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</si>
  <si>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</si>
  <si>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</si>
  <si>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</si>
  <si>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</si>
  <si>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</si>
  <si>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</si>
  <si>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</si>
  <si>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</si>
  <si>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</si>
  <si>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</si>
  <si>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</si>
  <si>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</si>
  <si>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</si>
  <si>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</si>
  <si>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</si>
  <si>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</si>
  <si>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</si>
  <si>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</si>
  <si>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</si>
  <si>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</si>
  <si>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</si>
  <si>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</si>
  <si>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</si>
  <si>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</si>
  <si>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</si>
  <si>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</si>
  <si>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</si>
  <si>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</si>
  <si>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</si>
  <si>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</si>
  <si>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</si>
  <si>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</si>
  <si>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</si>
  <si>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</si>
  <si>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</si>
  <si>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</si>
  <si>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</si>
  <si>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</si>
  <si>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</si>
  <si>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</si>
  <si>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</si>
  <si>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</si>
  <si>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</si>
  <si>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</si>
  <si>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</si>
  <si>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</si>
  <si>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</si>
  <si>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</si>
  <si>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</si>
  <si>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</si>
  <si>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</si>
  <si>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</si>
  <si>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</si>
  <si>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</si>
  <si>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</si>
  <si>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</si>
  <si>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</si>
  <si>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</si>
  <si>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</si>
  <si>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</si>
  <si>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</si>
  <si>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</si>
  <si>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</si>
  <si>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</si>
  <si>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</si>
  <si>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</si>
  <si>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</si>
  <si>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</si>
  <si>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</si>
  <si>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</si>
  <si>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</si>
  <si>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</si>
  <si>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</si>
  <si>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</si>
  <si>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</si>
  <si>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</si>
  <si>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</si>
  <si>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</si>
  <si>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</si>
  <si>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</si>
  <si>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</si>
  <si>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</si>
  <si>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</si>
  <si>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</si>
  <si>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</si>
  <si>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</si>
  <si>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</si>
  <si>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</si>
  <si>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</si>
  <si>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</si>
  <si>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</si>
  <si>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</si>
  <si>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</si>
  <si>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</si>
  <si>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</si>
  <si>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</si>
  <si>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</si>
  <si>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</si>
  <si>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</si>
  <si>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</si>
  <si>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</si>
  <si>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</si>
  <si>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</si>
  <si>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</si>
  <si>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</si>
  <si>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</si>
  <si>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</si>
  <si>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</si>
  <si>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</si>
  <si>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</si>
  <si>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</si>
  <si>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</si>
  <si>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</si>
  <si>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</si>
  <si>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</si>
  <si>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</si>
  <si>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</si>
  <si>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</si>
  <si>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</si>
  <si>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</si>
  <si>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</si>
  <si>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</si>
  <si>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</si>
  <si>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</si>
  <si>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</si>
  <si>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</si>
  <si>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</si>
  <si>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</si>
  <si>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</si>
  <si>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</si>
  <si>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</si>
  <si>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</si>
  <si>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</si>
  <si>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</si>
  <si>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</si>
  <si>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</si>
  <si>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</si>
  <si>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</si>
  <si>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</si>
  <si>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</si>
  <si>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</si>
  <si>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</si>
  <si>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</si>
  <si>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</si>
  <si>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</si>
  <si>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</si>
  <si>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</si>
  <si>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</si>
  <si>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</si>
  <si>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</si>
  <si>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</si>
  <si>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</si>
  <si>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</si>
  <si>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</si>
  <si>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</si>
  <si>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</si>
  <si>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</si>
  <si>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</si>
  <si>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</si>
  <si>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</si>
  <si>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</si>
  <si>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</si>
  <si>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</si>
  <si>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</si>
  <si>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</si>
  <si>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</si>
  <si>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</si>
  <si>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</si>
  <si>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</si>
  <si>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</si>
  <si>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</si>
  <si>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</si>
  <si>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</si>
  <si>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</si>
  <si>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</si>
  <si>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</si>
  <si>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</si>
  <si>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</si>
  <si>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</si>
  <si>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</si>
  <si>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</si>
  <si>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</si>
  <si>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</si>
  <si>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</si>
  <si>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</si>
  <si>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</si>
  <si>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</si>
  <si>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</si>
  <si>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</si>
  <si>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</si>
  <si>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</si>
  <si>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</si>
  <si>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</si>
  <si>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</si>
  <si>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</si>
  <si>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</si>
  <si>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</si>
  <si>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</si>
  <si>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</si>
  <si>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</si>
  <si>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</si>
  <si>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</si>
  <si>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</si>
  <si>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</si>
  <si>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</si>
  <si>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</si>
  <si>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</si>
  <si>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</si>
  <si>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</si>
  <si>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</si>
  <si>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</si>
  <si>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</si>
  <si>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</si>
  <si>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</si>
  <si>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</si>
  <si>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</si>
  <si>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</si>
  <si>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</si>
  <si>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</si>
  <si>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</si>
  <si>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</si>
  <si>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</si>
  <si>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</si>
  <si>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</si>
  <si>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</si>
  <si>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</si>
  <si>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</si>
  <si>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</si>
  <si>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</si>
  <si>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</si>
  <si>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</si>
  <si>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</si>
  <si>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</si>
  <si>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</si>
  <si>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</si>
  <si>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</si>
  <si>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</si>
  <si>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</si>
  <si>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</si>
  <si>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</si>
  <si>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</si>
  <si>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</si>
  <si>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</si>
  <si>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</si>
  <si>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</si>
  <si>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</si>
  <si>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</si>
  <si>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</si>
  <si>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</si>
  <si>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</si>
  <si>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</si>
  <si>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</si>
  <si>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</si>
  <si>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</si>
  <si>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</si>
  <si>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</si>
  <si>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</si>
  <si>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</si>
  <si>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</si>
  <si>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</si>
  <si>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</si>
  <si>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</si>
  <si>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</si>
  <si>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</si>
  <si>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</si>
  <si>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</si>
  <si>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</si>
  <si>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</si>
  <si>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</si>
  <si>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</si>
  <si>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</si>
  <si>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</si>
  <si>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</si>
  <si>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</si>
  <si>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</si>
  <si>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</si>
  <si>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</si>
  <si>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</si>
  <si>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</si>
  <si>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</si>
  <si>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</si>
  <si>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</si>
  <si>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</si>
  <si>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</si>
  <si>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</si>
  <si>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</si>
  <si>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</si>
  <si>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</si>
  <si>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</si>
  <si>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</si>
  <si>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</si>
  <si>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</si>
  <si>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</si>
  <si>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</si>
  <si>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</si>
  <si>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</si>
  <si>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</si>
  <si>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</si>
  <si>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</si>
  <si>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</si>
  <si>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</si>
  <si>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</si>
  <si>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</si>
  <si>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</si>
  <si>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</si>
  <si>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</si>
  <si>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</si>
  <si>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</si>
  <si>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</si>
  <si>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</si>
  <si>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</si>
  <si>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</si>
  <si>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</si>
  <si>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</si>
  <si>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</si>
  <si>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</si>
  <si>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</si>
  <si>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</si>
  <si>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</si>
  <si>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</si>
  <si>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</si>
  <si>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</si>
  <si>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</si>
  <si>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</si>
  <si>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</si>
  <si>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</si>
  <si>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</si>
  <si>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</si>
  <si>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</si>
  <si>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</si>
  <si>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</si>
  <si>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</si>
  <si>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</si>
  <si>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</si>
  <si>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</si>
  <si>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</si>
  <si>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</si>
  <si>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</si>
  <si>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</si>
  <si>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</si>
  <si>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</si>
  <si>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</si>
  <si>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</si>
  <si>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</si>
  <si>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</si>
  <si>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</si>
  <si>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</si>
  <si>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</si>
  <si>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</si>
  <si>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</si>
  <si>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</si>
  <si>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</si>
  <si>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</si>
  <si>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</si>
  <si>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</si>
  <si>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</si>
  <si>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</si>
  <si>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</si>
  <si>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</si>
  <si>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</si>
  <si>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</si>
  <si>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</si>
  <si>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</si>
  <si>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</si>
  <si>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</si>
  <si>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</si>
  <si>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</si>
  <si>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</si>
  <si>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</si>
  <si>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</si>
  <si>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</si>
  <si>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</si>
  <si>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</si>
  <si>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</si>
  <si>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</si>
  <si>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</si>
  <si>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</si>
  <si>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</si>
  <si>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</si>
  <si>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</si>
  <si>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</si>
  <si>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</si>
  <si>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</si>
  <si>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</si>
  <si>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</si>
  <si>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</si>
  <si>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</si>
  <si>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</si>
  <si>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</si>
  <si>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</si>
  <si>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</si>
  <si>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</si>
  <si>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</si>
  <si>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</si>
  <si>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</si>
  <si>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</si>
  <si>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</si>
  <si>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</si>
  <si>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</si>
  <si>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</si>
  <si>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</si>
  <si>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</si>
  <si>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</si>
  <si>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</si>
  <si>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</si>
  <si>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</si>
  <si>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</si>
  <si>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</si>
  <si>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</si>
  <si>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</si>
  <si>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</si>
  <si>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</si>
  <si>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</si>
  <si>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</si>
  <si>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</si>
  <si>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</si>
  <si>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</si>
  <si>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</si>
  <si>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</si>
  <si>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</si>
  <si>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</si>
  <si>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</si>
  <si>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</si>
  <si>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</si>
  <si>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</si>
  <si>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</si>
  <si>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</si>
  <si>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</si>
  <si>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</si>
  <si>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</si>
  <si>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</si>
  <si>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</si>
  <si>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</si>
  <si>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</si>
  <si>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</si>
  <si>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</si>
  <si>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</si>
  <si>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</si>
  <si>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</si>
  <si>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</si>
  <si>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</si>
  <si>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</si>
  <si>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</si>
  <si>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</si>
  <si>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</si>
  <si>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</si>
  <si>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</si>
  <si>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</si>
  <si>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</si>
  <si>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</si>
  <si>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</si>
  <si>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</si>
  <si>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</si>
  <si>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</si>
  <si>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</si>
  <si>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</si>
  <si>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</si>
  <si>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</si>
  <si>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</si>
  <si>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</si>
  <si>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</si>
  <si>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</si>
  <si>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</si>
  <si>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</si>
  <si>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</si>
  <si>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</si>
  <si>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</si>
  <si>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</si>
  <si>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</si>
  <si>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</si>
  <si>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</si>
  <si>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</si>
  <si>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</si>
  <si>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</si>
  <si>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</si>
  <si>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</si>
  <si>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</si>
  <si>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</si>
  <si>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</si>
  <si>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</si>
  <si>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</si>
  <si>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</si>
  <si>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</si>
  <si>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</si>
  <si>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</si>
  <si>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</si>
  <si>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</si>
  <si>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</si>
  <si>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</si>
  <si>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</si>
  <si>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</si>
  <si>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</si>
  <si>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</si>
  <si>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</si>
  <si>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</si>
  <si>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</si>
  <si>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</si>
  <si>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</si>
  <si>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</si>
  <si>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</si>
  <si>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</si>
  <si>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</si>
  <si>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</si>
  <si>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</si>
  <si>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</si>
  <si>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</si>
  <si>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</si>
  <si>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</si>
  <si>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</si>
  <si>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</si>
  <si>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</si>
  <si>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</si>
  <si>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</si>
  <si>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</si>
  <si>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</si>
  <si>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</si>
  <si>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</si>
  <si>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</si>
  <si>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</si>
  <si>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</si>
  <si>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</si>
  <si>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</si>
  <si>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</si>
  <si>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</si>
  <si>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</si>
  <si>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</si>
  <si>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</si>
  <si>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</si>
  <si>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</si>
  <si>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</si>
  <si>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</si>
  <si>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</si>
  <si>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</si>
  <si>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</si>
  <si>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</si>
  <si>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</si>
  <si>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</si>
  <si>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</si>
  <si>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</si>
  <si>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</si>
  <si>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</si>
  <si>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</si>
  <si>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</si>
  <si>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</si>
  <si>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</si>
  <si>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</si>
  <si>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</si>
  <si>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</si>
  <si>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</si>
  <si>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</si>
  <si>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</si>
  <si>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</si>
  <si>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</si>
  <si>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</si>
  <si>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</si>
  <si>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</si>
  <si>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</si>
  <si>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</si>
  <si>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</si>
  <si>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</si>
  <si>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</si>
  <si>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</si>
  <si>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</si>
  <si>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</si>
  <si>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</si>
  <si>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</si>
  <si>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</si>
  <si>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</si>
  <si>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</si>
  <si>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</si>
  <si>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</si>
  <si>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</si>
  <si>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</si>
  <si>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</si>
  <si>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</si>
  <si>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</si>
  <si>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</si>
  <si>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</si>
  <si>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</si>
  <si>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</si>
  <si>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</si>
  <si>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</si>
  <si>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</si>
  <si>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</si>
  <si>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</si>
  <si>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</si>
  <si>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</si>
  <si>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</si>
  <si>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</si>
  <si>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</si>
  <si>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</si>
  <si>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</si>
  <si>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</si>
  <si>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</si>
  <si>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</si>
  <si>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</si>
  <si>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</si>
  <si>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</si>
  <si>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</si>
  <si>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</si>
  <si>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</si>
  <si>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</si>
  <si>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</si>
  <si>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</si>
  <si>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</si>
  <si>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</si>
  <si>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</si>
  <si>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</si>
  <si>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</si>
  <si>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</si>
  <si>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</si>
  <si>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</si>
  <si>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</si>
  <si>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</si>
  <si>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</si>
  <si>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</si>
  <si>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</si>
  <si>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</si>
  <si>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</si>
  <si>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</si>
  <si>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</si>
  <si>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</si>
  <si>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</si>
  <si>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</si>
  <si>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</si>
  <si>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</si>
  <si>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</si>
  <si>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</si>
  <si>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</si>
  <si>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</si>
  <si>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</si>
  <si>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</si>
  <si>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</si>
  <si>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</si>
  <si>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</si>
  <si>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</si>
  <si>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</si>
  <si>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</si>
  <si>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</si>
  <si>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</si>
  <si>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</si>
  <si>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</si>
  <si>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</si>
  <si>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</si>
  <si>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</si>
  <si>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</si>
  <si>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</si>
  <si>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</si>
  <si>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</si>
  <si>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</si>
  <si>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</si>
  <si>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</si>
  <si>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</si>
  <si>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</si>
  <si>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</si>
  <si>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</si>
  <si>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</si>
  <si>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</si>
  <si>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</si>
  <si>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</si>
  <si>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</si>
  <si>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</si>
  <si>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</si>
  <si>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</si>
  <si>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</si>
  <si>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</si>
  <si>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</si>
  <si>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</si>
  <si>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</si>
  <si>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</si>
  <si>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</si>
  <si>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</si>
  <si>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</si>
  <si>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</si>
  <si>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</si>
  <si>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</si>
  <si>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</si>
  <si>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</si>
  <si>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</si>
  <si>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</si>
  <si>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</si>
  <si>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</si>
  <si>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</si>
  <si>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</si>
  <si>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</si>
  <si>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</si>
  <si>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</si>
  <si>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</si>
  <si>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</si>
  <si>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</si>
  <si>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</si>
  <si>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</si>
  <si>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</si>
  <si>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</si>
  <si>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</si>
  <si>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</si>
  <si>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</si>
  <si>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</si>
  <si>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</si>
  <si>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</si>
  <si>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</si>
  <si>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</si>
  <si>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</si>
  <si>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</si>
  <si>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</si>
  <si>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</si>
  <si>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</si>
  <si>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</si>
  <si>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</si>
  <si>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</si>
  <si>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</si>
  <si>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</si>
  <si>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</si>
  <si>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</si>
  <si>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</si>
  <si>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</si>
  <si>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</si>
  <si>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</si>
  <si>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</si>
  <si>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</si>
  <si>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</si>
  <si>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</si>
  <si>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</si>
  <si>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</si>
  <si>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</si>
  <si>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</si>
  <si>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</si>
  <si>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</si>
  <si>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</si>
  <si>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</si>
  <si>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</si>
  <si>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</si>
  <si>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</si>
  <si>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</si>
  <si>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</si>
  <si>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</si>
  <si>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</si>
  <si>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</si>
  <si>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</si>
  <si>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</si>
  <si>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</si>
  <si>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</si>
  <si>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</si>
  <si>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</si>
  <si>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</si>
  <si>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</si>
  <si>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</si>
  <si>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</si>
  <si>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</si>
  <si>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</si>
  <si>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</si>
  <si>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</si>
  <si>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</si>
  <si>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</si>
  <si>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</si>
  <si>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</si>
  <si>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</si>
  <si>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</si>
  <si>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</si>
  <si>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</si>
  <si>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</si>
  <si>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</si>
  <si>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</si>
  <si>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</si>
  <si>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</si>
  <si>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</si>
  <si>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</si>
  <si>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</si>
  <si>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</si>
  <si>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</si>
  <si>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</si>
  <si>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</si>
  <si>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</si>
  <si>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</si>
  <si>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</si>
  <si>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</si>
  <si>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</si>
  <si>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</si>
  <si>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</si>
  <si>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</si>
  <si>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</si>
  <si>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</si>
  <si>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</si>
  <si>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</si>
  <si>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</si>
  <si>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</si>
  <si>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</si>
  <si>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</si>
  <si>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</si>
  <si>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</si>
  <si>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</si>
  <si>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</si>
  <si>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</si>
  <si>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</si>
  <si>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</si>
  <si>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</si>
  <si>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</si>
  <si>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</si>
  <si>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</si>
  <si>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</si>
  <si>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</si>
  <si>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</si>
  <si>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</si>
  <si>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</si>
  <si>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</si>
  <si>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</si>
  <si>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</si>
  <si>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</si>
  <si>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</si>
  <si>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</si>
  <si>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</si>
  <si>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</si>
  <si>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</si>
  <si>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</si>
  <si>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</si>
  <si>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</si>
  <si>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</si>
  <si>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</si>
  <si>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</si>
  <si>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</si>
  <si>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</si>
  <si>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</si>
  <si>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</si>
  <si>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</si>
  <si>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</si>
  <si>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</si>
  <si>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</si>
  <si>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</si>
  <si>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</si>
  <si>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</si>
  <si>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</si>
  <si>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</si>
  <si>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</si>
  <si>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</si>
  <si>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</si>
  <si>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</si>
  <si>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</si>
  <si>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</si>
  <si>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</si>
  <si>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</si>
  <si>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</si>
  <si>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</si>
  <si>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</si>
  <si>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</si>
  <si>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</si>
  <si>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</si>
  <si>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</si>
  <si>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</si>
  <si>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</si>
  <si>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</si>
  <si>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</si>
  <si>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</si>
  <si>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</si>
  <si>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</si>
  <si>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</si>
  <si>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</si>
  <si>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</si>
  <si>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</si>
  <si>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</si>
  <si>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</si>
  <si>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</si>
  <si>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</si>
  <si>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</si>
  <si>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</si>
  <si>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</si>
  <si>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</si>
  <si>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</si>
  <si>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</si>
  <si>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</si>
  <si>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</si>
  <si>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</si>
  <si>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</si>
  <si>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</si>
  <si>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</si>
  <si>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</si>
  <si>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</si>
  <si>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</si>
  <si>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</si>
  <si>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</si>
  <si>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</si>
  <si>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</si>
  <si>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</si>
  <si>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</si>
  <si>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</si>
  <si>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</si>
  <si>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</si>
  <si>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</si>
  <si>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</si>
  <si>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</si>
  <si>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</si>
  <si>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</si>
  <si>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</si>
  <si>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</si>
  <si>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</si>
  <si>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</si>
  <si>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</si>
  <si>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</si>
  <si>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</si>
  <si>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</si>
  <si>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</si>
  <si>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</si>
  <si>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</si>
  <si>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</si>
  <si>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</si>
  <si>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</si>
  <si>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</si>
  <si>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</si>
  <si>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</si>
  <si>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</si>
  <si>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</si>
  <si>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</si>
  <si>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</si>
  <si>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</si>
  <si>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</si>
  <si>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</si>
  <si>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</si>
  <si>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</si>
  <si>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</si>
  <si>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</si>
  <si>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</si>
  <si>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</si>
  <si>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</si>
  <si>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</si>
  <si>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</si>
  <si>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</si>
  <si>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</si>
  <si>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</si>
  <si>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</si>
  <si>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</si>
  <si>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</si>
  <si>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</si>
  <si>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</si>
  <si>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</si>
  <si>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</si>
  <si>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</si>
  <si>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</si>
  <si>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</si>
  <si>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</si>
  <si>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</si>
  <si>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</si>
  <si>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</si>
  <si>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</si>
  <si>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</si>
  <si>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</si>
  <si>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</si>
  <si>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</si>
  <si>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</si>
  <si>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</si>
  <si>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</si>
  <si>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</si>
  <si>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</si>
  <si>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</si>
  <si>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</si>
  <si>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</si>
  <si>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</si>
  <si>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</si>
  <si>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</si>
  <si>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</si>
  <si>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</si>
  <si>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</si>
  <si>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</si>
  <si>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</si>
  <si>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</si>
  <si>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</si>
  <si>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</si>
  <si>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</si>
  <si>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</si>
  <si>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</si>
  <si>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</si>
  <si>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</si>
  <si>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</si>
  <si>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</si>
  <si>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</si>
  <si>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</si>
  <si>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</si>
  <si>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</si>
  <si>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</si>
  <si>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</si>
  <si>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</si>
  <si>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</si>
  <si>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</si>
  <si>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</si>
  <si>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</si>
  <si>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</si>
  <si>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</si>
  <si>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</si>
  <si>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</si>
  <si>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</si>
  <si>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</si>
  <si>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</si>
  <si>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</si>
  <si>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</si>
  <si>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</si>
  <si>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</si>
  <si>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</si>
  <si>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</si>
  <si>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</si>
  <si>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</si>
  <si>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</si>
  <si>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</si>
  <si>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</si>
  <si>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</si>
  <si>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</si>
  <si>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</si>
  <si>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</si>
  <si>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</si>
  <si>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</si>
  <si>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</si>
  <si>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</si>
  <si>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</si>
  <si>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</si>
  <si>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</si>
  <si>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</si>
  <si>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</si>
  <si>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</si>
  <si>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</si>
  <si>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</si>
  <si>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</si>
  <si>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</si>
  <si>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</si>
  <si>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</si>
  <si>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</si>
  <si>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</si>
  <si>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</si>
  <si>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</si>
  <si>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</si>
  <si>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</si>
  <si>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</si>
  <si>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</si>
  <si>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SkipBreaks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</si>
  <si>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</si>
  <si>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</si>
  <si>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</si>
  <si>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</si>
  <si>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</si>
  <si>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</si>
  <si>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</si>
  <si>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</si>
  <si>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</si>
  <si>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</si>
  <si>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</si>
  <si>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</si>
  <si>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</si>
  <si>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</si>
  <si>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</si>
  <si>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</si>
  <si>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</si>
  <si>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</si>
  <si>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</si>
  <si>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</si>
  <si>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</si>
  <si>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</si>
  <si>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</si>
  <si>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</si>
  <si>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</si>
  <si>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</si>
  <si>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</si>
  <si>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</si>
  <si>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</si>
  <si>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</si>
  <si>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</si>
  <si>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</si>
  <si>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</si>
  <si>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</si>
  <si>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</si>
  <si>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</si>
  <si>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</si>
  <si>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</si>
  <si>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</si>
  <si>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</si>
  <si>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</si>
  <si>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</si>
  <si>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</si>
  <si>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</si>
  <si>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</si>
  <si>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</si>
  <si>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</si>
  <si>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</si>
  <si>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</si>
  <si>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</si>
  <si>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</si>
  <si>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</si>
  <si>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Claude ANA Helper</t>
  </si>
  <si>
    <t>Claude ANI Helper</t>
  </si>
  <si>
    <t>Claude ORA Helper</t>
  </si>
  <si>
    <t>Claude ORI Helper</t>
  </si>
  <si>
    <t>Claude XRA Helper</t>
  </si>
  <si>
    <t>Claude XRI Helper</t>
  </si>
  <si>
    <t>Claude CMP Not Equal Helper</t>
  </si>
  <si>
    <t>Claude CMP Equal Helper</t>
  </si>
  <si>
    <t>Unit_T097</t>
  </si>
  <si>
    <t>Unit_T099</t>
  </si>
  <si>
    <t>Unit_T098</t>
  </si>
  <si>
    <t>Unit_T100</t>
  </si>
  <si>
    <t>Unit_T101</t>
  </si>
  <si>
    <t>Unit_T102</t>
  </si>
  <si>
    <t>Unit_T103</t>
  </si>
  <si>
    <t>Unit_T104</t>
  </si>
  <si>
    <t>Unit_T105</t>
  </si>
  <si>
    <t>Unit_T106</t>
  </si>
  <si>
    <t>Unit_T107</t>
  </si>
  <si>
    <t>Unit_T108</t>
  </si>
  <si>
    <t>Unit_T109</t>
  </si>
  <si>
    <t>Unit_T110</t>
  </si>
  <si>
    <t>Claude CPI Helper</t>
  </si>
  <si>
    <t>Unit_VBA</t>
  </si>
  <si>
    <t>VBA Based</t>
  </si>
  <si>
    <t>Date</t>
  </si>
  <si>
    <t>File</t>
  </si>
  <si>
    <t>C:\Users\jschaal\source\repos\Assembler 8080\Assembler 8080\Source\Base Model Current_2026-03-09_0956_v2.00.txt</t>
  </si>
  <si>
    <t>C:\Users\jschaal\source\repos\Assembler 8080\Assembler 8080\Source\Base Model Current_2026-03-09_0956_v2.00.xlsm</t>
  </si>
  <si>
    <t>C:\Users\jschaal\OneDrive - Distribuidora La Florida S.A\Dev\asm\snapshots\Base Model Current_2026-03-09_0956_v2.00.txt</t>
  </si>
  <si>
    <t>C:\Users\jschaal\OneDrive - Distribuidora La Florida S.A\Dev\asm\snapshots\Base Model Current_2026-03-09_0956_v2.00.xlsm</t>
  </si>
  <si>
    <t>C:\Users\jschaal\OneDrive - Distribuidora La Florida S.A\Dev\asm\snapshots\cpuBase\Base Model Current_2026-03-09_1249_v2.01.txt</t>
  </si>
  <si>
    <t>C:\Users\jschaal\OneDrive - Distribuidora La Florida S.A\Dev\asm\snapshots\cpuBase\Base Model Current_2026-03-09_1249_v2.01.xlsm</t>
  </si>
  <si>
    <t>Prefix</t>
  </si>
  <si>
    <t>Base_Opcode</t>
  </si>
  <si>
    <t>Basic</t>
  </si>
  <si>
    <t>Register_Pair</t>
  </si>
  <si>
    <t>(BC)</t>
  </si>
  <si>
    <t>Indirect</t>
  </si>
  <si>
    <t>INC</t>
  </si>
  <si>
    <t>16bit</t>
  </si>
  <si>
    <t>8bit</t>
  </si>
  <si>
    <t>DEC</t>
  </si>
  <si>
    <t>Load immediate to B</t>
  </si>
  <si>
    <t>Immediate</t>
  </si>
  <si>
    <t>RLCA</t>
  </si>
  <si>
    <t>Exchange AF with shadow AF'</t>
  </si>
  <si>
    <t>Shadow</t>
  </si>
  <si>
    <t>HL</t>
  </si>
  <si>
    <t>Load A from (BC)</t>
  </si>
  <si>
    <t>Load immediate to C</t>
  </si>
  <si>
    <t>RRCA</t>
  </si>
  <si>
    <t>DJNZ</t>
  </si>
  <si>
    <t>Decrement B and jump if non-zero</t>
  </si>
  <si>
    <t>Jump</t>
  </si>
  <si>
    <t>(DE)</t>
  </si>
  <si>
    <t>Load immediate to D</t>
  </si>
  <si>
    <t>RLA</t>
  </si>
  <si>
    <t>JR</t>
  </si>
  <si>
    <t>Jump relative unconditional</t>
  </si>
  <si>
    <t>Load A from (DE)</t>
  </si>
  <si>
    <t>Load immediate to E</t>
  </si>
  <si>
    <t>RRA</t>
  </si>
  <si>
    <t>NZ</t>
  </si>
  <si>
    <t>Jump relative if not zero</t>
  </si>
  <si>
    <t>(HL)</t>
  </si>
  <si>
    <t>Store HL at address</t>
  </si>
  <si>
    <t>Load immediate to H</t>
  </si>
  <si>
    <t>Jump relative if zero</t>
  </si>
  <si>
    <t>Load immediate to L</t>
  </si>
  <si>
    <t>CPL</t>
  </si>
  <si>
    <t>NC</t>
  </si>
  <si>
    <t>Jump relative if not carry</t>
  </si>
  <si>
    <t>4</t>
  </si>
  <si>
    <t>Load IX register immediate</t>
  </si>
  <si>
    <t>Increment at (HL)</t>
  </si>
  <si>
    <t>Decrement at (HL)</t>
  </si>
  <si>
    <t>Load immediate at (HL)</t>
  </si>
  <si>
    <t>SCF</t>
  </si>
  <si>
    <t>Jump relative if carry</t>
  </si>
  <si>
    <t>Load A from address</t>
  </si>
  <si>
    <t>Load immediate to A</t>
  </si>
  <si>
    <t>CCF</t>
  </si>
  <si>
    <t>Store B at (HL)</t>
  </si>
  <si>
    <t>Store C at (HL)</t>
  </si>
  <si>
    <t>Store D at (HL)</t>
  </si>
  <si>
    <t>Store E at (HL)</t>
  </si>
  <si>
    <t>Store H at (HL)</t>
  </si>
  <si>
    <t>Store L at (HL)</t>
  </si>
  <si>
    <t>HALT</t>
  </si>
  <si>
    <t>Store A at (HL)</t>
  </si>
  <si>
    <t>Add (HL) to A</t>
  </si>
  <si>
    <t>Add (HL) to A with carry</t>
  </si>
  <si>
    <t>Subtract (HL) from A</t>
  </si>
  <si>
    <t>SBC</t>
  </si>
  <si>
    <t>Subtract B from A with carry</t>
  </si>
  <si>
    <t>Subtract C from A with carry</t>
  </si>
  <si>
    <t>Subtract D from A with carry</t>
  </si>
  <si>
    <t>Subtract E from A with carry</t>
  </si>
  <si>
    <t>Subtract H from A with carry</t>
  </si>
  <si>
    <t>Subtract L from A with carry</t>
  </si>
  <si>
    <t>Subtract (HL) from A with carry</t>
  </si>
  <si>
    <t>Subtract A from A with carry</t>
  </si>
  <si>
    <t>AND</t>
  </si>
  <si>
    <t>Logical AND B with A</t>
  </si>
  <si>
    <t>Logical AND C with A</t>
  </si>
  <si>
    <t>Logical AND D with A</t>
  </si>
  <si>
    <t>Logical AND E with A</t>
  </si>
  <si>
    <t>Logical AND H with A</t>
  </si>
  <si>
    <t>Logical AND L with A</t>
  </si>
  <si>
    <t>Logical AND (HL) with A</t>
  </si>
  <si>
    <t>Logical AND A with A</t>
  </si>
  <si>
    <t>XOR</t>
  </si>
  <si>
    <t>Logical XOR B with A</t>
  </si>
  <si>
    <t>Logical XOR C with A</t>
  </si>
  <si>
    <t>Logical XOR D with A</t>
  </si>
  <si>
    <t>Logical XOR E with A</t>
  </si>
  <si>
    <t>Logical XOR H with A</t>
  </si>
  <si>
    <t>Logical XOR L with A</t>
  </si>
  <si>
    <t>Logical XOR (HL) with A</t>
  </si>
  <si>
    <t>Logical XOR A with A</t>
  </si>
  <si>
    <t>OR</t>
  </si>
  <si>
    <t>Logical OR B with A</t>
  </si>
  <si>
    <t>Logical OR C with A</t>
  </si>
  <si>
    <t>Logical OR D with A</t>
  </si>
  <si>
    <t>Logical OR E with A</t>
  </si>
  <si>
    <t>Logical OR H with A</t>
  </si>
  <si>
    <t>Logical OR L with A</t>
  </si>
  <si>
    <t>Logical OR (HL) with A</t>
  </si>
  <si>
    <t>Logical OR A with A</t>
  </si>
  <si>
    <t>Compare</t>
  </si>
  <si>
    <t>Compare (HL) with A</t>
  </si>
  <si>
    <t>Pop BC from stack</t>
  </si>
  <si>
    <t>Jump unconditional</t>
  </si>
  <si>
    <t>Push BC to stack</t>
  </si>
  <si>
    <t>PREFIX</t>
  </si>
  <si>
    <t>CB prefix for bit operations</t>
  </si>
  <si>
    <t>Call unconditional</t>
  </si>
  <si>
    <t>Return if not carry</t>
  </si>
  <si>
    <t>Pop DE from stack</t>
  </si>
  <si>
    <t>Jump if not carry</t>
  </si>
  <si>
    <t>I_O</t>
  </si>
  <si>
    <t>Call if not carry</t>
  </si>
  <si>
    <t>Push DE to stack</t>
  </si>
  <si>
    <t>DD prefix for IX operations</t>
  </si>
  <si>
    <t>Subtract immediate from A with carry</t>
  </si>
  <si>
    <t>PO</t>
  </si>
  <si>
    <t>Pop HL from stack</t>
  </si>
  <si>
    <t>(SP)</t>
  </si>
  <si>
    <t>Exchange (SP) with HL</t>
  </si>
  <si>
    <t>Push HL to stack</t>
  </si>
  <si>
    <t>Logical AND immediate with A</t>
  </si>
  <si>
    <t>PE</t>
  </si>
  <si>
    <t>Jump indirect via HL</t>
  </si>
  <si>
    <t>ED prefix for extended operations</t>
  </si>
  <si>
    <t>Logical XOR immediate with A</t>
  </si>
  <si>
    <t>Return if positive</t>
  </si>
  <si>
    <t>Pop AF from stack</t>
  </si>
  <si>
    <t>Jump if positive</t>
  </si>
  <si>
    <t>Call if positive</t>
  </si>
  <si>
    <t>Push AF to stack</t>
  </si>
  <si>
    <t>Logical OR immediate with A</t>
  </si>
  <si>
    <t>6</t>
  </si>
  <si>
    <t>F7</t>
  </si>
  <si>
    <t>Return if minus</t>
  </si>
  <si>
    <t>Load SP from HL</t>
  </si>
  <si>
    <t>Call if minus</t>
  </si>
  <si>
    <t>FD prefix for IY operations</t>
  </si>
  <si>
    <t>Compare immediate with A</t>
  </si>
  <si>
    <t>7</t>
  </si>
  <si>
    <t>Test bit 0 at (HL)</t>
  </si>
  <si>
    <t>Test bit 1 at (HL)</t>
  </si>
  <si>
    <t>Test bit 2 at (HL)</t>
  </si>
  <si>
    <t>Test bit 3 at (HL)</t>
  </si>
  <si>
    <t>Test bit 4 at (HL)</t>
  </si>
  <si>
    <t>Test bit 5 at (HL)</t>
  </si>
  <si>
    <t>Test bit 6 at (HL)</t>
  </si>
  <si>
    <t>Test bit 7 at (HL)</t>
  </si>
  <si>
    <t>Test bit 0 in A</t>
  </si>
  <si>
    <t>Test bit 1 in A</t>
  </si>
  <si>
    <t>Test bit 2 in A</t>
  </si>
  <si>
    <t>Test bit 3 in A</t>
  </si>
  <si>
    <t>Test bit 4 in A</t>
  </si>
  <si>
    <t>Test bit 5 in A</t>
  </si>
  <si>
    <t>Test bit 6 in A</t>
  </si>
  <si>
    <t>Test bit 7 in A</t>
  </si>
  <si>
    <t>RES</t>
  </si>
  <si>
    <t>Reset bit 0 in A</t>
  </si>
  <si>
    <t>Reset bit 1 in A</t>
  </si>
  <si>
    <t>Reset bit 2 in A</t>
  </si>
  <si>
    <t>Reset bit 3 in A</t>
  </si>
  <si>
    <t>Reset bit 4 in A</t>
  </si>
  <si>
    <t>Reset bit 5 in A</t>
  </si>
  <si>
    <t>Reset bit 6 in A</t>
  </si>
  <si>
    <t>Reset bit 7 in A</t>
  </si>
  <si>
    <t>SET</t>
  </si>
  <si>
    <t>Set bit 0 in A</t>
  </si>
  <si>
    <t>Set bit 1 in A</t>
  </si>
  <si>
    <t>Set bit 2 in A</t>
  </si>
  <si>
    <t>Set bit 3 in A</t>
  </si>
  <si>
    <t>Set bit 4 in A</t>
  </si>
  <si>
    <t>Set bit 5 in A</t>
  </si>
  <si>
    <t>Set bit 6 in A</t>
  </si>
  <si>
    <t>Set bit 7 in A</t>
  </si>
  <si>
    <t>(IX+OFFSET)</t>
  </si>
  <si>
    <t>DD 77</t>
  </si>
  <si>
    <t>DD 7E</t>
  </si>
  <si>
    <t>(IY+OFFSET)</t>
  </si>
  <si>
    <t>FD 77</t>
  </si>
  <si>
    <t>FD 7E</t>
  </si>
  <si>
    <t>DD 86</t>
  </si>
  <si>
    <t>LDIR</t>
  </si>
  <si>
    <t>ED B0</t>
  </si>
  <si>
    <t>Load and increment repeat</t>
  </si>
  <si>
    <t>Block</t>
  </si>
  <si>
    <t>LDDR</t>
  </si>
  <si>
    <t>ED B8</t>
  </si>
  <si>
    <t>Load and decrement repeat</t>
  </si>
  <si>
    <t>CPIR</t>
  </si>
  <si>
    <t>ED B1</t>
  </si>
  <si>
    <t>Compare and increment repeat</t>
  </si>
  <si>
    <t>CPDR</t>
  </si>
  <si>
    <t>ED B9</t>
  </si>
  <si>
    <t>Compare and decrement repeat</t>
  </si>
  <si>
    <t>CPU</t>
  </si>
  <si>
    <t>C:\Users\jschaal\OneDrive - Distribuidora La Florida S.A\Dev\asm\snapshots\cpuBase\Base Model Current_2026-03-09_1858_v2.02.txt</t>
  </si>
  <si>
    <t>C:\Users\jschaal\OneDrive - Distribuidora La Florida S.A\Dev\asm\snapshots\cpuBase\Base Model Current_2026-03-09_1858_v2.02.xlsm</t>
  </si>
  <si>
    <t>IY</t>
  </si>
  <si>
    <t>FD 21</t>
  </si>
  <si>
    <t>Store A at (BC)</t>
  </si>
  <si>
    <t>Store A at (DE)</t>
  </si>
  <si>
    <t>Load HL from address</t>
  </si>
  <si>
    <t>Store A at address</t>
  </si>
  <si>
    <t>Load B from (HL)</t>
  </si>
  <si>
    <t>Load C from (HL)</t>
  </si>
  <si>
    <t>Load D from (HL)</t>
  </si>
  <si>
    <t>Load E from (HL)</t>
  </si>
  <si>
    <t>Load H from (HL)</t>
  </si>
  <si>
    <t>Load L from (HL)</t>
  </si>
  <si>
    <t>Load A from (HL)</t>
  </si>
  <si>
    <t>DD 21</t>
  </si>
  <si>
    <t>Load IY register immediate</t>
  </si>
  <si>
    <t>Store A at (IX+offset)</t>
  </si>
  <si>
    <t>Load A from (IX+offset)</t>
  </si>
  <si>
    <t>Store A at (IY+offset)</t>
  </si>
  <si>
    <t>Load A from (IY+offset)</t>
  </si>
  <si>
    <t>Add (IX+offset) to A</t>
  </si>
  <si>
    <t>FD 86</t>
  </si>
  <si>
    <t>Add (IY+offset) to A</t>
  </si>
  <si>
    <t>DD A6</t>
  </si>
  <si>
    <t>AND (IX+offset) with A</t>
  </si>
  <si>
    <t>FD A6</t>
  </si>
  <si>
    <t>AND (IY+offset) with A</t>
  </si>
  <si>
    <t>DD B6</t>
  </si>
  <si>
    <t>OR (IX+offset) with A</t>
  </si>
  <si>
    <t>FD B6</t>
  </si>
  <si>
    <t>OR (IY+offset) with A</t>
  </si>
  <si>
    <t>DD AE</t>
  </si>
  <si>
    <t>XOR (IX+offset) with A</t>
  </si>
  <si>
    <t>FD AE</t>
  </si>
  <si>
    <t>XOR (IY+offset) with A</t>
  </si>
  <si>
    <t>DD 96</t>
  </si>
  <si>
    <t>Subtract (IX+offset) from A</t>
  </si>
  <si>
    <t>FD 96</t>
  </si>
  <si>
    <t>Subtract (IY+offset) from A</t>
  </si>
  <si>
    <t>DD BE</t>
  </si>
  <si>
    <t>Compare (IX+offset) with A</t>
  </si>
  <si>
    <t>FD BE</t>
  </si>
  <si>
    <t>Compare (IY+offset) with A</t>
  </si>
  <si>
    <t>DD 34</t>
  </si>
  <si>
    <t>Increment at (IX+offset)</t>
  </si>
  <si>
    <t>FD 34</t>
  </si>
  <si>
    <t>Increment at (IY+offset)</t>
  </si>
  <si>
    <t>DD 35</t>
  </si>
  <si>
    <t>Decrement at (IX+offset)</t>
  </si>
  <si>
    <t>FD 35</t>
  </si>
  <si>
    <t>Decrement at (IY+offset)</t>
  </si>
  <si>
    <t>C:\Users\jschaal\OneDrive - Distribuidora La Florida S.A\Dev\asm\snapshots\cpuBase\Base Model Current_2026-03-11_1009_v2.03.txt</t>
  </si>
  <si>
    <t>C:\Users\jschaal\OneDrive - Distribuidora La Florida S.A\Dev\asm\snapshots\cpuBase\Base Model Current_2026-03-11_1009_v2.03.xlsm</t>
  </si>
  <si>
    <t>BYTE</t>
  </si>
  <si>
    <t>WORD</t>
  </si>
  <si>
    <t xml:space="preserve">Print null delimited string at WORD M </t>
  </si>
  <si>
    <t>DD 8E</t>
  </si>
  <si>
    <t>Add (IX+offset) to A with carry</t>
  </si>
  <si>
    <t>FD 8E</t>
  </si>
  <si>
    <t>Add (IY+offset) to A with carry</t>
  </si>
  <si>
    <t>ED 4A</t>
  </si>
  <si>
    <t>Add BC to HL with carry</t>
  </si>
  <si>
    <t>ED 5A</t>
  </si>
  <si>
    <t>Add DE to HL with carry</t>
  </si>
  <si>
    <t>ED 6A</t>
  </si>
  <si>
    <t>Add HL to HL with carry</t>
  </si>
  <si>
    <t>ED 7A</t>
  </si>
  <si>
    <t>Add SP to HL with carry</t>
  </si>
  <si>
    <t>DD 09</t>
  </si>
  <si>
    <t>Add BC to IX</t>
  </si>
  <si>
    <t>DD 19</t>
  </si>
  <si>
    <t>Add DE to IX</t>
  </si>
  <si>
    <t>DD 29</t>
  </si>
  <si>
    <t>Add IX to IX</t>
  </si>
  <si>
    <t>DD 39</t>
  </si>
  <si>
    <t>Add SP to IX</t>
  </si>
  <si>
    <t>FD 09</t>
  </si>
  <si>
    <t>Add BC to IY</t>
  </si>
  <si>
    <t>FD 19</t>
  </si>
  <si>
    <t>Add DE to IY</t>
  </si>
  <si>
    <t>FD 29</t>
  </si>
  <si>
    <t>Add IY to IY</t>
  </si>
  <si>
    <t>FD 39</t>
  </si>
  <si>
    <t>Add SP to IY</t>
  </si>
  <si>
    <t>CB 46</t>
  </si>
  <si>
    <t>CB 47</t>
  </si>
  <si>
    <t>CB 40</t>
  </si>
  <si>
    <t>Test bit 0 in B</t>
  </si>
  <si>
    <t>CB 41</t>
  </si>
  <si>
    <t>Test bit 0 in C</t>
  </si>
  <si>
    <t>CB 42</t>
  </si>
  <si>
    <t>Test bit 0 in D</t>
  </si>
  <si>
    <t>CB 43</t>
  </si>
  <si>
    <t>Test bit 0 in E</t>
  </si>
  <si>
    <t>CB 44</t>
  </si>
  <si>
    <t>Test bit 0 in H</t>
  </si>
  <si>
    <t>CB 45</t>
  </si>
  <si>
    <t>Test bit 0 in L</t>
  </si>
  <si>
    <t>CB 4E</t>
  </si>
  <si>
    <t>CB 4F</t>
  </si>
  <si>
    <t>CB 48</t>
  </si>
  <si>
    <t>Test bit 1 in B</t>
  </si>
  <si>
    <t>CB 49</t>
  </si>
  <si>
    <t>Test bit 1 in C</t>
  </si>
  <si>
    <t>CB 4A</t>
  </si>
  <si>
    <t>Test bit 1 in D</t>
  </si>
  <si>
    <t>CB 4B</t>
  </si>
  <si>
    <t>Test bit 1 in E</t>
  </si>
  <si>
    <t>CB 4C</t>
  </si>
  <si>
    <t>Test bit 1 in H</t>
  </si>
  <si>
    <t>CB 4D</t>
  </si>
  <si>
    <t>Test bit 1 in L</t>
  </si>
  <si>
    <t>CB 56</t>
  </si>
  <si>
    <t>CB 57</t>
  </si>
  <si>
    <t>CB 50</t>
  </si>
  <si>
    <t>Test bit 2 in B</t>
  </si>
  <si>
    <t>CB 51</t>
  </si>
  <si>
    <t>Test bit 2 in C</t>
  </si>
  <si>
    <t>CB 52</t>
  </si>
  <si>
    <t>Test bit 2 in D</t>
  </si>
  <si>
    <t>CB 53</t>
  </si>
  <si>
    <t>Test bit 2 in E</t>
  </si>
  <si>
    <t>CB 54</t>
  </si>
  <si>
    <t>Test bit 2 in H</t>
  </si>
  <si>
    <t>CB 55</t>
  </si>
  <si>
    <t>Test bit 2 in L</t>
  </si>
  <si>
    <t>CB 5E</t>
  </si>
  <si>
    <t>CB 5F</t>
  </si>
  <si>
    <t>CB 58</t>
  </si>
  <si>
    <t>Test bit 3 in B</t>
  </si>
  <si>
    <t>CB 59</t>
  </si>
  <si>
    <t>Test bit 3 in C</t>
  </si>
  <si>
    <t>CB 5A</t>
  </si>
  <si>
    <t>Test bit 3 in D</t>
  </si>
  <si>
    <t>CB 5B</t>
  </si>
  <si>
    <t>Test bit 3 in E</t>
  </si>
  <si>
    <t>CB 5C</t>
  </si>
  <si>
    <t>Test bit 3 in H</t>
  </si>
  <si>
    <t>CB 5D</t>
  </si>
  <si>
    <t>Test bit 3 in L</t>
  </si>
  <si>
    <t>CB 66</t>
  </si>
  <si>
    <t>CB 67</t>
  </si>
  <si>
    <t>CB 60</t>
  </si>
  <si>
    <t>Test bit 4 in B</t>
  </si>
  <si>
    <t>CB 61</t>
  </si>
  <si>
    <t>Test bit 4 in C</t>
  </si>
  <si>
    <t>CB 62</t>
  </si>
  <si>
    <t>Test bit 4 in D</t>
  </si>
  <si>
    <t>CB 63</t>
  </si>
  <si>
    <t>Test bit 4 in E</t>
  </si>
  <si>
    <t>CB 64</t>
  </si>
  <si>
    <t>Test bit 4 in H</t>
  </si>
  <si>
    <t>CB 65</t>
  </si>
  <si>
    <t>Test bit 4 in L</t>
  </si>
  <si>
    <t>CB 6E</t>
  </si>
  <si>
    <t>CB 6F</t>
  </si>
  <si>
    <t>CB 68</t>
  </si>
  <si>
    <t>Test bit 5 in B</t>
  </si>
  <si>
    <t>CB 69</t>
  </si>
  <si>
    <t>Test bit 5 in C</t>
  </si>
  <si>
    <t>CB 6A</t>
  </si>
  <si>
    <t>Test bit 5 in D</t>
  </si>
  <si>
    <t>CB 6B</t>
  </si>
  <si>
    <t>Test bit 5 in E</t>
  </si>
  <si>
    <t>CB 6C</t>
  </si>
  <si>
    <t>Test bit 5 in H</t>
  </si>
  <si>
    <t>CB 6D</t>
  </si>
  <si>
    <t>Test bit 5 in L</t>
  </si>
  <si>
    <t>CB 76</t>
  </si>
  <si>
    <t>CB 77</t>
  </si>
  <si>
    <t>CB 70</t>
  </si>
  <si>
    <t>Test bit 6 in B</t>
  </si>
  <si>
    <t>CB 71</t>
  </si>
  <si>
    <t>Test bit 6 in C</t>
  </si>
  <si>
    <t>CB 72</t>
  </si>
  <si>
    <t>Test bit 6 in D</t>
  </si>
  <si>
    <t>CB 73</t>
  </si>
  <si>
    <t>Test bit 6 in E</t>
  </si>
  <si>
    <t>CB 74</t>
  </si>
  <si>
    <t>Test bit 6 in H</t>
  </si>
  <si>
    <t>CB 75</t>
  </si>
  <si>
    <t>Test bit 6 in L</t>
  </si>
  <si>
    <t>CB 7E</t>
  </si>
  <si>
    <t>CB 7F</t>
  </si>
  <si>
    <t>CB 78</t>
  </si>
  <si>
    <t>Test bit 7 in B</t>
  </si>
  <si>
    <t>CB 79</t>
  </si>
  <si>
    <t>Test bit 7 in C</t>
  </si>
  <si>
    <t>CB 7A</t>
  </si>
  <si>
    <t>Test bit 7 in D</t>
  </si>
  <si>
    <t>CB 7B</t>
  </si>
  <si>
    <t>Test bit 7 in E</t>
  </si>
  <si>
    <t>CB 7C</t>
  </si>
  <si>
    <t>Test bit 7 in H</t>
  </si>
  <si>
    <t>CB 7D</t>
  </si>
  <si>
    <t>Test bit 7 in L</t>
  </si>
  <si>
    <t>Complement carry flag</t>
  </si>
  <si>
    <t>CPD</t>
  </si>
  <si>
    <t>ED A9</t>
  </si>
  <si>
    <t>Compare and decrement</t>
  </si>
  <si>
    <t>ED A1</t>
  </si>
  <si>
    <t>Compare and increment</t>
  </si>
  <si>
    <t>Decrement register A</t>
  </si>
  <si>
    <t>DD 2B</t>
  </si>
  <si>
    <t>Decrement IX</t>
  </si>
  <si>
    <t>FD 2B</t>
  </si>
  <si>
    <t>Decrement IY</t>
  </si>
  <si>
    <t>Enable interrupts</t>
  </si>
  <si>
    <t>Exchange BC DE HL with shadow registers</t>
  </si>
  <si>
    <t>Halt processor</t>
  </si>
  <si>
    <t>IM</t>
  </si>
  <si>
    <t>ED 46</t>
  </si>
  <si>
    <t>Set interrupt mode 0</t>
  </si>
  <si>
    <t>ED 56</t>
  </si>
  <si>
    <t>Set interrupt mode 1</t>
  </si>
  <si>
    <t>ED 5E</t>
  </si>
  <si>
    <t>Set interrupt mode 2</t>
  </si>
  <si>
    <t>(BYTE)</t>
  </si>
  <si>
    <t>(C)</t>
  </si>
  <si>
    <t>ED 78</t>
  </si>
  <si>
    <t>Input from port C to A</t>
  </si>
  <si>
    <t>ED 40</t>
  </si>
  <si>
    <t>Input from port C to B</t>
  </si>
  <si>
    <t>ED 48</t>
  </si>
  <si>
    <t>Input from port C to C</t>
  </si>
  <si>
    <t>ED 50</t>
  </si>
  <si>
    <t>Input from port C to D</t>
  </si>
  <si>
    <t>ED 58</t>
  </si>
  <si>
    <t>Input from port C to E</t>
  </si>
  <si>
    <t>ED 60</t>
  </si>
  <si>
    <t>Input from port C to H</t>
  </si>
  <si>
    <t>ED 68</t>
  </si>
  <si>
    <t>Input from port C to L</t>
  </si>
  <si>
    <t>Increment register A</t>
  </si>
  <si>
    <t>DD 23</t>
  </si>
  <si>
    <t>Increment IX</t>
  </si>
  <si>
    <t>FD 23</t>
  </si>
  <si>
    <t>Increment IY</t>
  </si>
  <si>
    <t>IND</t>
  </si>
  <si>
    <t>ED AA</t>
  </si>
  <si>
    <t>Input and decrement</t>
  </si>
  <si>
    <t>INDR</t>
  </si>
  <si>
    <t>ED BA</t>
  </si>
  <si>
    <t>Input decrement repeat</t>
  </si>
  <si>
    <t>INI</t>
  </si>
  <si>
    <t>ED A2</t>
  </si>
  <si>
    <t>Input and increment</t>
  </si>
  <si>
    <t>INIR</t>
  </si>
  <si>
    <t>ED B2</t>
  </si>
  <si>
    <t>Input increment repeat</t>
  </si>
  <si>
    <t>(IX)</t>
  </si>
  <si>
    <t>DD E9</t>
  </si>
  <si>
    <t>Jump indirect via IX</t>
  </si>
  <si>
    <t>(IY)</t>
  </si>
  <si>
    <t>FD E9</t>
  </si>
  <si>
    <t>Jump indirect via IY</t>
  </si>
  <si>
    <t>I</t>
  </si>
  <si>
    <t>ED 57</t>
  </si>
  <si>
    <t>Load A from I register</t>
  </si>
  <si>
    <t>R</t>
  </si>
  <si>
    <t>ED 5F</t>
  </si>
  <si>
    <t>Load A from R register</t>
  </si>
  <si>
    <t>ED 47</t>
  </si>
  <si>
    <t>Load I register from A</t>
  </si>
  <si>
    <t>ED 4F</t>
  </si>
  <si>
    <t>Load R register from A</t>
  </si>
  <si>
    <t>DD F9</t>
  </si>
  <si>
    <t>Load SP from IX</t>
  </si>
  <si>
    <t>FD F9</t>
  </si>
  <si>
    <t>Load SP from IY</t>
  </si>
  <si>
    <t>Load BC register pair immediate</t>
  </si>
  <si>
    <t>Load DE register pair immediate</t>
  </si>
  <si>
    <t>Load HL register pair immediate</t>
  </si>
  <si>
    <t>Load SP register pair immediate</t>
  </si>
  <si>
    <t>DD 46</t>
  </si>
  <si>
    <t>Load B from (IX+offset)</t>
  </si>
  <si>
    <t>FD 46</t>
  </si>
  <si>
    <t>Load B from (IY+offset)</t>
  </si>
  <si>
    <t>DD 4E</t>
  </si>
  <si>
    <t>Load C from (IX+offset)</t>
  </si>
  <si>
    <t>FD 4E</t>
  </si>
  <si>
    <t>Load C from (IY+offset)</t>
  </si>
  <si>
    <t>DD 56</t>
  </si>
  <si>
    <t>Load D from (IX+offset)</t>
  </si>
  <si>
    <t>FD 56</t>
  </si>
  <si>
    <t>Load D from (IY+offset)</t>
  </si>
  <si>
    <t>DD 5E</t>
  </si>
  <si>
    <t>Load E from (IX+offset)</t>
  </si>
  <si>
    <t>FD 5E</t>
  </si>
  <si>
    <t>Load E from (IY+offset)</t>
  </si>
  <si>
    <t>DD 66</t>
  </si>
  <si>
    <t>Load H from (IX+offset)</t>
  </si>
  <si>
    <t>FD 66</t>
  </si>
  <si>
    <t>Load H from (IY+offset)</t>
  </si>
  <si>
    <t>DD 6E</t>
  </si>
  <si>
    <t>Load L from (IX+offset)</t>
  </si>
  <si>
    <t>FD 6E</t>
  </si>
  <si>
    <t>Load L from (IY+offset)</t>
  </si>
  <si>
    <t>DD 70</t>
  </si>
  <si>
    <t>Store B at (IX+offset)</t>
  </si>
  <si>
    <t>DD 71</t>
  </si>
  <si>
    <t>Store C at (IX+offset)</t>
  </si>
  <si>
    <t>DD 72</t>
  </si>
  <si>
    <t>Store D at (IX+offset)</t>
  </si>
  <si>
    <t>DD 73</t>
  </si>
  <si>
    <t>Store E at (IX+offset)</t>
  </si>
  <si>
    <t>DD 74</t>
  </si>
  <si>
    <t>Store H at (IX+offset)</t>
  </si>
  <si>
    <t>DD 75</t>
  </si>
  <si>
    <t>Store L at (IX+offset)</t>
  </si>
  <si>
    <t>DD 36</t>
  </si>
  <si>
    <t>Store immediate at (IX+offset)</t>
  </si>
  <si>
    <t>FD 70</t>
  </si>
  <si>
    <t>Store B at (IY+offset)</t>
  </si>
  <si>
    <t>FD 71</t>
  </si>
  <si>
    <t>Store C at (IY+offset)</t>
  </si>
  <si>
    <t>FD 72</t>
  </si>
  <si>
    <t>Store D at (IY+offset)</t>
  </si>
  <si>
    <t>FD 73</t>
  </si>
  <si>
    <t>Store E at (IY+offset)</t>
  </si>
  <si>
    <t>FD 74</t>
  </si>
  <si>
    <t>Store H at (IY+offset)</t>
  </si>
  <si>
    <t>FD 75</t>
  </si>
  <si>
    <t>Store L at (IY+offset)</t>
  </si>
  <si>
    <t>FD 36</t>
  </si>
  <si>
    <t>Store immediate at (IY+offset)</t>
  </si>
  <si>
    <t>ED 4B</t>
  </si>
  <si>
    <t>Load BC from address</t>
  </si>
  <si>
    <t>ED 5B</t>
  </si>
  <si>
    <t>Load DE from address</t>
  </si>
  <si>
    <t>ED 7B</t>
  </si>
  <si>
    <t>Load SP from address</t>
  </si>
  <si>
    <t>DD 2A</t>
  </si>
  <si>
    <t>Load IX from address</t>
  </si>
  <si>
    <t>FD 2A</t>
  </si>
  <si>
    <t>Load IY from address</t>
  </si>
  <si>
    <t>ED 43</t>
  </si>
  <si>
    <t>Store BC at address</t>
  </si>
  <si>
    <t>ED 53</t>
  </si>
  <si>
    <t>Store DE at address</t>
  </si>
  <si>
    <t>ED 73</t>
  </si>
  <si>
    <t>Store SP at address</t>
  </si>
  <si>
    <t>DD 22</t>
  </si>
  <si>
    <t>Store IX at address</t>
  </si>
  <si>
    <t>FD 22</t>
  </si>
  <si>
    <t>Store IY at address</t>
  </si>
  <si>
    <t>LDD</t>
  </si>
  <si>
    <t>ED A8</t>
  </si>
  <si>
    <t>Load and decrement</t>
  </si>
  <si>
    <t>LDI</t>
  </si>
  <si>
    <t>ED A0</t>
  </si>
  <si>
    <t>Load and increment</t>
  </si>
  <si>
    <t>ED 44</t>
  </si>
  <si>
    <t>Negate accumulator</t>
  </si>
  <si>
    <t>OTDR</t>
  </si>
  <si>
    <t>ED BB</t>
  </si>
  <si>
    <t>Output decrement repeat</t>
  </si>
  <si>
    <t>OTIR</t>
  </si>
  <si>
    <t>ED B3</t>
  </si>
  <si>
    <t>Output increment repeat</t>
  </si>
  <si>
    <t>Output A to port n</t>
  </si>
  <si>
    <t>ED 79</t>
  </si>
  <si>
    <t>Output A to port C</t>
  </si>
  <si>
    <t>ED 41</t>
  </si>
  <si>
    <t>Output B to port C</t>
  </si>
  <si>
    <t>ED 49</t>
  </si>
  <si>
    <t>Output C to port C</t>
  </si>
  <si>
    <t>ED 51</t>
  </si>
  <si>
    <t>Output D to port C</t>
  </si>
  <si>
    <t>ED 59</t>
  </si>
  <si>
    <t>Output E to port C</t>
  </si>
  <si>
    <t>ED 61</t>
  </si>
  <si>
    <t>Output H to port C</t>
  </si>
  <si>
    <t>ED 69</t>
  </si>
  <si>
    <t>Output L to port C</t>
  </si>
  <si>
    <t>OUTD</t>
  </si>
  <si>
    <t>ED AB</t>
  </si>
  <si>
    <t>Output and decrement</t>
  </si>
  <si>
    <t>OUTI</t>
  </si>
  <si>
    <t>ED A3</t>
  </si>
  <si>
    <t>Output and increment</t>
  </si>
  <si>
    <t>DD E1</t>
  </si>
  <si>
    <t>Pop IX from stack</t>
  </si>
  <si>
    <t>FD E1</t>
  </si>
  <si>
    <t>Pop IY from stack</t>
  </si>
  <si>
    <t>DD E5</t>
  </si>
  <si>
    <t>Push IX to stack</t>
  </si>
  <si>
    <t>FD E5</t>
  </si>
  <si>
    <t>Push IY to stack</t>
  </si>
  <si>
    <t>CB 86</t>
  </si>
  <si>
    <t>Reset bit 0 at (HL)</t>
  </si>
  <si>
    <t>CB 87</t>
  </si>
  <si>
    <t>CB 80</t>
  </si>
  <si>
    <t>Reset bit 0 in B</t>
  </si>
  <si>
    <t>CB 81</t>
  </si>
  <si>
    <t>Reset bit 0 in C</t>
  </si>
  <si>
    <t>CB 82</t>
  </si>
  <si>
    <t>Reset bit 0 in D</t>
  </si>
  <si>
    <t>CB 83</t>
  </si>
  <si>
    <t>Reset bit 0 in E</t>
  </si>
  <si>
    <t>CB 84</t>
  </si>
  <si>
    <t>Reset bit 0 in H</t>
  </si>
  <si>
    <t>CB 85</t>
  </si>
  <si>
    <t>Reset bit 0 in L</t>
  </si>
  <si>
    <t>CB 8E</t>
  </si>
  <si>
    <t>Reset bit 1 at (HL)</t>
  </si>
  <si>
    <t>CB 8F</t>
  </si>
  <si>
    <t>CB 88</t>
  </si>
  <si>
    <t>Reset bit 1 in B</t>
  </si>
  <si>
    <t>CB 89</t>
  </si>
  <si>
    <t>Reset bit 1 in C</t>
  </si>
  <si>
    <t>CB 8A</t>
  </si>
  <si>
    <t>Reset bit 1 in D</t>
  </si>
  <si>
    <t>CB 8B</t>
  </si>
  <si>
    <t>Reset bit 1 in E</t>
  </si>
  <si>
    <t>CB 8C</t>
  </si>
  <si>
    <t>Reset bit 1 in H</t>
  </si>
  <si>
    <t>CB 8D</t>
  </si>
  <si>
    <t>Reset bit 1 in L</t>
  </si>
  <si>
    <t>CB 96</t>
  </si>
  <si>
    <t>Reset bit 2 at (HL)</t>
  </si>
  <si>
    <t>CB 97</t>
  </si>
  <si>
    <t>CB 90</t>
  </si>
  <si>
    <t>Reset bit 2 in B</t>
  </si>
  <si>
    <t>CB 91</t>
  </si>
  <si>
    <t>Reset bit 2 in C</t>
  </si>
  <si>
    <t>CB 92</t>
  </si>
  <si>
    <t>Reset bit 2 in D</t>
  </si>
  <si>
    <t>CB 93</t>
  </si>
  <si>
    <t>Reset bit 2 in E</t>
  </si>
  <si>
    <t>CB 94</t>
  </si>
  <si>
    <t>Reset bit 2 in H</t>
  </si>
  <si>
    <t>CB 95</t>
  </si>
  <si>
    <t>Reset bit 2 in L</t>
  </si>
  <si>
    <t>CB 9E</t>
  </si>
  <si>
    <t>Reset bit 3 at (HL)</t>
  </si>
  <si>
    <t>CB 9F</t>
  </si>
  <si>
    <t>CB 98</t>
  </si>
  <si>
    <t>Reset bit 3 in B</t>
  </si>
  <si>
    <t>CB 99</t>
  </si>
  <si>
    <t>Reset bit 3 in C</t>
  </si>
  <si>
    <t>CB 9A</t>
  </si>
  <si>
    <t>Reset bit 3 in D</t>
  </si>
  <si>
    <t>CB 9B</t>
  </si>
  <si>
    <t>Reset bit 3 in E</t>
  </si>
  <si>
    <t>CB 9C</t>
  </si>
  <si>
    <t>Reset bit 3 in H</t>
  </si>
  <si>
    <t>CB 9D</t>
  </si>
  <si>
    <t>Reset bit 3 in L</t>
  </si>
  <si>
    <t>CB A6</t>
  </si>
  <si>
    <t>Reset bit 4 at (HL)</t>
  </si>
  <si>
    <t>CB A7</t>
  </si>
  <si>
    <t>CB A0</t>
  </si>
  <si>
    <t>Reset bit 4 in B</t>
  </si>
  <si>
    <t>CB A1</t>
  </si>
  <si>
    <t>Reset bit 4 in C</t>
  </si>
  <si>
    <t>CB A2</t>
  </si>
  <si>
    <t>Reset bit 4 in D</t>
  </si>
  <si>
    <t>CB A3</t>
  </si>
  <si>
    <t>Reset bit 4 in E</t>
  </si>
  <si>
    <t>CB A4</t>
  </si>
  <si>
    <t>Reset bit 4 in H</t>
  </si>
  <si>
    <t>CB A5</t>
  </si>
  <si>
    <t>Reset bit 4 in L</t>
  </si>
  <si>
    <t>CB AE</t>
  </si>
  <si>
    <t>Reset bit 5 at (HL)</t>
  </si>
  <si>
    <t>CB AF</t>
  </si>
  <si>
    <t>CB A8</t>
  </si>
  <si>
    <t>Reset bit 5 in B</t>
  </si>
  <si>
    <t>CB A9</t>
  </si>
  <si>
    <t>Reset bit 5 in C</t>
  </si>
  <si>
    <t>CB AA</t>
  </si>
  <si>
    <t>Reset bit 5 in D</t>
  </si>
  <si>
    <t>CB AB</t>
  </si>
  <si>
    <t>Reset bit 5 in E</t>
  </si>
  <si>
    <t>CB AC</t>
  </si>
  <si>
    <t>Reset bit 5 in H</t>
  </si>
  <si>
    <t>CB AD</t>
  </si>
  <si>
    <t>Reset bit 5 in L</t>
  </si>
  <si>
    <t>CB B6</t>
  </si>
  <si>
    <t>Reset bit 6 at (HL)</t>
  </si>
  <si>
    <t>CB B7</t>
  </si>
  <si>
    <t>CB B0</t>
  </si>
  <si>
    <t>Reset bit 6 in B</t>
  </si>
  <si>
    <t>CB B1</t>
  </si>
  <si>
    <t>Reset bit 6 in C</t>
  </si>
  <si>
    <t>CB B2</t>
  </si>
  <si>
    <t>Reset bit 6 in D</t>
  </si>
  <si>
    <t>CB B3</t>
  </si>
  <si>
    <t>Reset bit 6 in E</t>
  </si>
  <si>
    <t>CB B4</t>
  </si>
  <si>
    <t>Reset bit 6 in H</t>
  </si>
  <si>
    <t>CB B5</t>
  </si>
  <si>
    <t>Reset bit 6 in L</t>
  </si>
  <si>
    <t>CB BE</t>
  </si>
  <si>
    <t>Reset bit 7 at (HL)</t>
  </si>
  <si>
    <t>CB BF</t>
  </si>
  <si>
    <t>CB B8</t>
  </si>
  <si>
    <t>Reset bit 7 in B</t>
  </si>
  <si>
    <t>CB B9</t>
  </si>
  <si>
    <t>Reset bit 7 in C</t>
  </si>
  <si>
    <t>CB BA</t>
  </si>
  <si>
    <t>Reset bit 7 in D</t>
  </si>
  <si>
    <t>CB BB</t>
  </si>
  <si>
    <t>Reset bit 7 in E</t>
  </si>
  <si>
    <t>CB BC</t>
  </si>
  <si>
    <t>Reset bit 7 in H</t>
  </si>
  <si>
    <t>CB BD</t>
  </si>
  <si>
    <t>Reset bit 7 in L</t>
  </si>
  <si>
    <t>Return unconditional</t>
  </si>
  <si>
    <t>RETI</t>
  </si>
  <si>
    <t>ED 4D</t>
  </si>
  <si>
    <t>Return from interrupt</t>
  </si>
  <si>
    <t>RETN</t>
  </si>
  <si>
    <t>ED 45</t>
  </si>
  <si>
    <t>Return from non-maskable interrupt</t>
  </si>
  <si>
    <t>RL</t>
  </si>
  <si>
    <t>CB 16</t>
  </si>
  <si>
    <t>Rotate left through carry (HL)</t>
  </si>
  <si>
    <t>CB 17</t>
  </si>
  <si>
    <t>Rotate left through carry A</t>
  </si>
  <si>
    <t>CB 10</t>
  </si>
  <si>
    <t>Rotate left through carry B</t>
  </si>
  <si>
    <t>CB 11</t>
  </si>
  <si>
    <t>Rotate left through carry C</t>
  </si>
  <si>
    <t>CB 12</t>
  </si>
  <si>
    <t>Rotate left through carry D</t>
  </si>
  <si>
    <t>CB 13</t>
  </si>
  <si>
    <t>Rotate left through carry E</t>
  </si>
  <si>
    <t>CB 14</t>
  </si>
  <si>
    <t>Rotate left through carry H</t>
  </si>
  <si>
    <t>CB 15</t>
  </si>
  <si>
    <t>Rotate left through carry L</t>
  </si>
  <si>
    <t>Rotate A left through carry</t>
  </si>
  <si>
    <t>CB 06</t>
  </si>
  <si>
    <t>Rotate left circular (HL)</t>
  </si>
  <si>
    <t>CB 07</t>
  </si>
  <si>
    <t>Rotate left circular A</t>
  </si>
  <si>
    <t>CB 00</t>
  </si>
  <si>
    <t>Rotate left circular B</t>
  </si>
  <si>
    <t>CB 01</t>
  </si>
  <si>
    <t>Rotate left circular C</t>
  </si>
  <si>
    <t>CB 02</t>
  </si>
  <si>
    <t>Rotate left circular D</t>
  </si>
  <si>
    <t>CB 03</t>
  </si>
  <si>
    <t>Rotate left circular E</t>
  </si>
  <si>
    <t>CB 04</t>
  </si>
  <si>
    <t>Rotate left circular H</t>
  </si>
  <si>
    <t>CB 05</t>
  </si>
  <si>
    <t>Rotate left circular L</t>
  </si>
  <si>
    <t>Rotate A left circular</t>
  </si>
  <si>
    <t>RLD</t>
  </si>
  <si>
    <t>ED 6F</t>
  </si>
  <si>
    <t>Rotate left BCD digit</t>
  </si>
  <si>
    <t>RR</t>
  </si>
  <si>
    <t>CB 1E</t>
  </si>
  <si>
    <t>Rotate right through carry (HL)</t>
  </si>
  <si>
    <t>CB 1F</t>
  </si>
  <si>
    <t>Rotate right through carry A</t>
  </si>
  <si>
    <t>CB 18</t>
  </si>
  <si>
    <t>Rotate right through carry B</t>
  </si>
  <si>
    <t>CB 19</t>
  </si>
  <si>
    <t>Rotate right through carry C</t>
  </si>
  <si>
    <t>CB 1A</t>
  </si>
  <si>
    <t>Rotate right through carry D</t>
  </si>
  <si>
    <t>CB 1B</t>
  </si>
  <si>
    <t>Rotate right through carry E</t>
  </si>
  <si>
    <t>CB 1C</t>
  </si>
  <si>
    <t>Rotate right through carry H</t>
  </si>
  <si>
    <t>CB 1D</t>
  </si>
  <si>
    <t>Rotate right through carry L</t>
  </si>
  <si>
    <t>Rotate A right through carry</t>
  </si>
  <si>
    <t>CB 0E</t>
  </si>
  <si>
    <t>Rotate right circular (HL)</t>
  </si>
  <si>
    <t>CB 0F</t>
  </si>
  <si>
    <t>Rotate right circular A</t>
  </si>
  <si>
    <t>CB 08</t>
  </si>
  <si>
    <t>Rotate right circular B</t>
  </si>
  <si>
    <t>CB 09</t>
  </si>
  <si>
    <t>Rotate right circular C</t>
  </si>
  <si>
    <t>CB 0A</t>
  </si>
  <si>
    <t>Rotate right circular D</t>
  </si>
  <si>
    <t>CB 0B</t>
  </si>
  <si>
    <t>Rotate right circular E</t>
  </si>
  <si>
    <t>CB 0C</t>
  </si>
  <si>
    <t>Rotate right circular H</t>
  </si>
  <si>
    <t>CB 0D</t>
  </si>
  <si>
    <t>Rotate right circular L</t>
  </si>
  <si>
    <t>Rotate A right circular</t>
  </si>
  <si>
    <t>RRD</t>
  </si>
  <si>
    <t>ED 67</t>
  </si>
  <si>
    <t>Rotate right BCD digit</t>
  </si>
  <si>
    <t>00H</t>
  </si>
  <si>
    <t>Restart at 00H</t>
  </si>
  <si>
    <t>08H</t>
  </si>
  <si>
    <t>Restart at 08H</t>
  </si>
  <si>
    <t>10H</t>
  </si>
  <si>
    <t>Restart at 10H</t>
  </si>
  <si>
    <t>18H</t>
  </si>
  <si>
    <t>Restart at 18H</t>
  </si>
  <si>
    <t>20H</t>
  </si>
  <si>
    <t>Restart at 20H</t>
  </si>
  <si>
    <t>28H</t>
  </si>
  <si>
    <t>Restart at 28H</t>
  </si>
  <si>
    <t>30H</t>
  </si>
  <si>
    <t>Restart at 30H</t>
  </si>
  <si>
    <t>38H</t>
  </si>
  <si>
    <t>Restart at 38H</t>
  </si>
  <si>
    <t>DD 9E</t>
  </si>
  <si>
    <t>Subtract (IX+offset) from A with carry</t>
  </si>
  <si>
    <t>FD 9E</t>
  </si>
  <si>
    <t>Subtract (IY+offset) from A with carry</t>
  </si>
  <si>
    <t>ED 42</t>
  </si>
  <si>
    <t>Subtract BC from HL with carry</t>
  </si>
  <si>
    <t>ED 52</t>
  </si>
  <si>
    <t>Subtract DE from HL with carry</t>
  </si>
  <si>
    <t>ED 62</t>
  </si>
  <si>
    <t>Subtract HL from HL with carry</t>
  </si>
  <si>
    <t>ED 72</t>
  </si>
  <si>
    <t>Subtract SP from HL with carry</t>
  </si>
  <si>
    <t>Set carry flag</t>
  </si>
  <si>
    <t>CB C6</t>
  </si>
  <si>
    <t>Set bit 0 at (HL)</t>
  </si>
  <si>
    <t>CB C7</t>
  </si>
  <si>
    <t>CB C0</t>
  </si>
  <si>
    <t>Set bit 0 in B</t>
  </si>
  <si>
    <t>CB C1</t>
  </si>
  <si>
    <t>Set bit 0 in C</t>
  </si>
  <si>
    <t>CB C2</t>
  </si>
  <si>
    <t>Set bit 0 in D</t>
  </si>
  <si>
    <t>CB C3</t>
  </si>
  <si>
    <t>Set bit 0 in E</t>
  </si>
  <si>
    <t>CB C4</t>
  </si>
  <si>
    <t>Set bit 0 in H</t>
  </si>
  <si>
    <t>CB C5</t>
  </si>
  <si>
    <t>Set bit 0 in L</t>
  </si>
  <si>
    <t>CB CE</t>
  </si>
  <si>
    <t>Set bit 1 at (HL)</t>
  </si>
  <si>
    <t>CB CF</t>
  </si>
  <si>
    <t>CB C8</t>
  </si>
  <si>
    <t>Set bit 1 in B</t>
  </si>
  <si>
    <t>CB C9</t>
  </si>
  <si>
    <t>Set bit 1 in C</t>
  </si>
  <si>
    <t>CB CA</t>
  </si>
  <si>
    <t>Set bit 1 in D</t>
  </si>
  <si>
    <t>CB CB</t>
  </si>
  <si>
    <t>Set bit 1 in E</t>
  </si>
  <si>
    <t>CB CC</t>
  </si>
  <si>
    <t>Set bit 1 in H</t>
  </si>
  <si>
    <t>CB CD</t>
  </si>
  <si>
    <t>Set bit 1 in L</t>
  </si>
  <si>
    <t>CB D6</t>
  </si>
  <si>
    <t>Set bit 2 at (HL)</t>
  </si>
  <si>
    <t>CB D7</t>
  </si>
  <si>
    <t>CB D0</t>
  </si>
  <si>
    <t>Set bit 2 in B</t>
  </si>
  <si>
    <t>CB D1</t>
  </si>
  <si>
    <t>Set bit 2 in C</t>
  </si>
  <si>
    <t>CB D2</t>
  </si>
  <si>
    <t>Set bit 2 in D</t>
  </si>
  <si>
    <t>CB D3</t>
  </si>
  <si>
    <t>Set bit 2 in E</t>
  </si>
  <si>
    <t>CB D4</t>
  </si>
  <si>
    <t>Set bit 2 in H</t>
  </si>
  <si>
    <t>CB D5</t>
  </si>
  <si>
    <t>Set bit 2 in L</t>
  </si>
  <si>
    <t>CB DE</t>
  </si>
  <si>
    <t>Set bit 3 at (HL)</t>
  </si>
  <si>
    <t>CB DF</t>
  </si>
  <si>
    <t>CB D8</t>
  </si>
  <si>
    <t>Set bit 3 in B</t>
  </si>
  <si>
    <t>CB D9</t>
  </si>
  <si>
    <t>Set bit 3 in C</t>
  </si>
  <si>
    <t>CB DA</t>
  </si>
  <si>
    <t>Set bit 3 in D</t>
  </si>
  <si>
    <t>CB DB</t>
  </si>
  <si>
    <t>Set bit 3 in E</t>
  </si>
  <si>
    <t>CB DC</t>
  </si>
  <si>
    <t>Set bit 3 in H</t>
  </si>
  <si>
    <t>CB DD</t>
  </si>
  <si>
    <t>Set bit 3 in L</t>
  </si>
  <si>
    <t>CB E6</t>
  </si>
  <si>
    <t>Set bit 4 at (HL)</t>
  </si>
  <si>
    <t>CB E7</t>
  </si>
  <si>
    <t>CB E0</t>
  </si>
  <si>
    <t>Set bit 4 in B</t>
  </si>
  <si>
    <t>CB E1</t>
  </si>
  <si>
    <t>Set bit 4 in C</t>
  </si>
  <si>
    <t>CB E2</t>
  </si>
  <si>
    <t>Set bit 4 in D</t>
  </si>
  <si>
    <t>CB E3</t>
  </si>
  <si>
    <t>Set bit 4 in E</t>
  </si>
  <si>
    <t>CB E4</t>
  </si>
  <si>
    <t>Set bit 4 in H</t>
  </si>
  <si>
    <t>CB E5</t>
  </si>
  <si>
    <t>Set bit 4 in L</t>
  </si>
  <si>
    <t>CB EE</t>
  </si>
  <si>
    <t>Set bit 5 at (HL)</t>
  </si>
  <si>
    <t>CB EF</t>
  </si>
  <si>
    <t>CB E8</t>
  </si>
  <si>
    <t>Set bit 5 in B</t>
  </si>
  <si>
    <t>CB E9</t>
  </si>
  <si>
    <t>Set bit 5 in C</t>
  </si>
  <si>
    <t>CB EA</t>
  </si>
  <si>
    <t>Set bit 5 in D</t>
  </si>
  <si>
    <t>CB EB</t>
  </si>
  <si>
    <t>Set bit 5 in E</t>
  </si>
  <si>
    <t>CB EC</t>
  </si>
  <si>
    <t>Set bit 5 in H</t>
  </si>
  <si>
    <t>CB ED</t>
  </si>
  <si>
    <t>Set bit 5 in L</t>
  </si>
  <si>
    <t>CB F6</t>
  </si>
  <si>
    <t>Set bit 6 at (HL)</t>
  </si>
  <si>
    <t>CB F7</t>
  </si>
  <si>
    <t>CB F0</t>
  </si>
  <si>
    <t>Set bit 6 in B</t>
  </si>
  <si>
    <t>CB F1</t>
  </si>
  <si>
    <t>Set bit 6 in C</t>
  </si>
  <si>
    <t>CB F2</t>
  </si>
  <si>
    <t>Set bit 6 in D</t>
  </si>
  <si>
    <t>CB F3</t>
  </si>
  <si>
    <t>Set bit 6 in E</t>
  </si>
  <si>
    <t>CB F4</t>
  </si>
  <si>
    <t>Set bit 6 in H</t>
  </si>
  <si>
    <t>CB F5</t>
  </si>
  <si>
    <t>Set bit 6 in L</t>
  </si>
  <si>
    <t>CB FE</t>
  </si>
  <si>
    <t>Set bit 7 at (HL)</t>
  </si>
  <si>
    <t>CB FF</t>
  </si>
  <si>
    <t>CB F8</t>
  </si>
  <si>
    <t>Set bit 7 in B</t>
  </si>
  <si>
    <t>CB F9</t>
  </si>
  <si>
    <t>Set bit 7 in C</t>
  </si>
  <si>
    <t>CB FA</t>
  </si>
  <si>
    <t>Set bit 7 in D</t>
  </si>
  <si>
    <t>CB FB</t>
  </si>
  <si>
    <t>Set bit 7 in E</t>
  </si>
  <si>
    <t>CB FC</t>
  </si>
  <si>
    <t>Set bit 7 in H</t>
  </si>
  <si>
    <t>CB FD</t>
  </si>
  <si>
    <t>Set bit 7 in L</t>
  </si>
  <si>
    <t>SLA</t>
  </si>
  <si>
    <t>CB 26</t>
  </si>
  <si>
    <t>Shift left arithmetic (HL)</t>
  </si>
  <si>
    <t>Shift</t>
  </si>
  <si>
    <t>CB 27</t>
  </si>
  <si>
    <t>Shift left arithmetic A</t>
  </si>
  <si>
    <t>CB 20</t>
  </si>
  <si>
    <t>Shift left arithmetic B</t>
  </si>
  <si>
    <t>CB 21</t>
  </si>
  <si>
    <t>Shift left arithmetic C</t>
  </si>
  <si>
    <t>CB 22</t>
  </si>
  <si>
    <t>Shift left arithmetic D</t>
  </si>
  <si>
    <t>CB 23</t>
  </si>
  <si>
    <t>Shift left arithmetic E</t>
  </si>
  <si>
    <t>CB 24</t>
  </si>
  <si>
    <t>Shift left arithmetic H</t>
  </si>
  <si>
    <t>CB 25</t>
  </si>
  <si>
    <t>Shift left arithmetic L</t>
  </si>
  <si>
    <t>SRA</t>
  </si>
  <si>
    <t>CB 2E</t>
  </si>
  <si>
    <t>Shift right arithmetic (HL)</t>
  </si>
  <si>
    <t>CB 2F</t>
  </si>
  <si>
    <t>Shift right arithmetic A</t>
  </si>
  <si>
    <t>CB 28</t>
  </si>
  <si>
    <t>Shift right arithmetic B</t>
  </si>
  <si>
    <t>CB 29</t>
  </si>
  <si>
    <t>Shift right arithmetic C</t>
  </si>
  <si>
    <t>CB 2A</t>
  </si>
  <si>
    <t>Shift right arithmetic D</t>
  </si>
  <si>
    <t>CB 2B</t>
  </si>
  <si>
    <t>Shift right arithmetic E</t>
  </si>
  <si>
    <t>CB 2C</t>
  </si>
  <si>
    <t>Shift right arithmetic H</t>
  </si>
  <si>
    <t>CB 2D</t>
  </si>
  <si>
    <t>Shift right arithmetic L</t>
  </si>
  <si>
    <t>CB 3E</t>
  </si>
  <si>
    <t>Shift right logical (HL)</t>
  </si>
  <si>
    <t>CB 3F</t>
  </si>
  <si>
    <t>Shift right logical A</t>
  </si>
  <si>
    <t>CB 38</t>
  </si>
  <si>
    <t>Shift right logical B</t>
  </si>
  <si>
    <t>CB 39</t>
  </si>
  <si>
    <t>Shift right logical C</t>
  </si>
  <si>
    <t>CB 3A</t>
  </si>
  <si>
    <t>Shift right logical D</t>
  </si>
  <si>
    <t>CB 3B</t>
  </si>
  <si>
    <t>Shift right logical E</t>
  </si>
  <si>
    <t>CB 3C</t>
  </si>
  <si>
    <t>Shift right logical H</t>
  </si>
  <si>
    <t>CB 3D</t>
  </si>
  <si>
    <t>Shift right logical L</t>
  </si>
  <si>
    <t>C:\Users\jschaal\OneDrive - Distribuidora La Florida S.A\Dev\asm\snapshots\cpuBase\Base Model Current_2026-03-11_1527_v2.04.txt</t>
  </si>
  <si>
    <t>C:\Users\jschaal\OneDrive - Distribuidora La Florida S.A\Dev\asm\snapshots\cpuBase\Base Model Current_2026-03-11_1527_v2.04.xlsm</t>
  </si>
  <si>
    <t>(WORD)</t>
  </si>
  <si>
    <t>C:\Users\jschaal\OneDrive - Distribuidora La Florida S.A\Dev\asm\snapshots\cpuBase\Base Model Current_2026-03-12_1508_v2.05.txt</t>
  </si>
  <si>
    <t>C:\Users\jschaal\OneDrive - Distribuidora La Florida S.A\Dev\asm\snapshots\cpuBase\Base Model Current_2026-03-12_1508_v2.05.xlsm</t>
  </si>
  <si>
    <t>14F</t>
  </si>
  <si>
    <t>C:\Users\joe\OneDrive\Documents\GitHub\8080_snapshots\cpuBase\Base Model Current_2026-03-12_1950_v2.06.txt</t>
  </si>
  <si>
    <t>C:\Users\joe\OneDrive\Documents\GitHub\8080_snapshots\cpuBase\Base Model Current_2026-03-12_1950_v2.06.xlsm</t>
  </si>
  <si>
    <t>C:\Users\joe\OneDrive\Documents\GitHub\8080_snapshots\cpuBase\Base Model Current_2026-03-12_1958_v2.07.txt</t>
  </si>
  <si>
    <t>C:\Users\joe\OneDrive\Documents\GitHub\8080_snapshots\cpuBase\Base Model Current_2026-03-12_1958_v2.07.xlsm</t>
  </si>
  <si>
    <t>C:\Users\joe\OneDrive\Documents\GitHub\8080_snapshots\cpu6510\</t>
  </si>
  <si>
    <t>R_X</t>
  </si>
  <si>
    <t>R_Y</t>
  </si>
  <si>
    <t>SR</t>
  </si>
  <si>
    <t>.</t>
  </si>
  <si>
    <t>Overflow</t>
  </si>
  <si>
    <t>Break</t>
  </si>
  <si>
    <t>Interrupt</t>
  </si>
  <si>
    <t>C:\Users\joe\OneDrive\Documents\GitHub\8080_snapshots\cpu6510\6510 Model Current_2026-03-22_2042_v2.08.txt</t>
  </si>
  <si>
    <t>C:\Users\joe\OneDrive\Documents\GitHub\8080_snapshots\cpu6510\6510 Model Current_2026-03-22_2042_v2.08.xlsm</t>
  </si>
  <si>
    <t>OP1 Spec</t>
  </si>
  <si>
    <t>OP2 Spec</t>
  </si>
  <si>
    <t>Mode</t>
  </si>
  <si>
    <t>Add with Carry</t>
  </si>
  <si>
    <t>ZP</t>
  </si>
  <si>
    <t>Zero Page</t>
  </si>
  <si>
    <t>ZP_X</t>
  </si>
  <si>
    <t>Zero Page,X</t>
  </si>
  <si>
    <t>ADDRESS</t>
  </si>
  <si>
    <t>Absolute</t>
  </si>
  <si>
    <t>ABS_X</t>
  </si>
  <si>
    <t>Absolute,X</t>
  </si>
  <si>
    <t>ABS_Y</t>
  </si>
  <si>
    <t>Absolute,Y</t>
  </si>
  <si>
    <t>IND_X</t>
  </si>
  <si>
    <t>(Indirect,X)</t>
  </si>
  <si>
    <t>IND_Y</t>
  </si>
  <si>
    <t>(Indirect),Y</t>
  </si>
  <si>
    <t>AND with Accumulator</t>
  </si>
  <si>
    <t>ASL</t>
  </si>
  <si>
    <t>Arithmetic Shift Left</t>
  </si>
  <si>
    <t>ACC</t>
  </si>
  <si>
    <t>Accumulator</t>
  </si>
  <si>
    <t>BCC</t>
  </si>
  <si>
    <t>Branch if Carry Clear</t>
  </si>
  <si>
    <t>Relative</t>
  </si>
  <si>
    <t>BCS</t>
  </si>
  <si>
    <t>Branch if Carry Set</t>
  </si>
  <si>
    <t>BEQ</t>
  </si>
  <si>
    <t>Branch if Equal (Z=1)</t>
  </si>
  <si>
    <t>BMI</t>
  </si>
  <si>
    <t>Branch if Minus (N=1)</t>
  </si>
  <si>
    <t>BNE</t>
  </si>
  <si>
    <t>Branch if Not Equal (Z=0)</t>
  </si>
  <si>
    <t>BPL</t>
  </si>
  <si>
    <t>Branch if Plus (N=0)</t>
  </si>
  <si>
    <t>BVC</t>
  </si>
  <si>
    <t>Branch if Overflow Clear</t>
  </si>
  <si>
    <t>BVS</t>
  </si>
  <si>
    <t>Branch if Overflow Set</t>
  </si>
  <si>
    <t>Bit Test</t>
  </si>
  <si>
    <t>BRK</t>
  </si>
  <si>
    <t>Force Break</t>
  </si>
  <si>
    <t>IMP</t>
  </si>
  <si>
    <t>Implied</t>
  </si>
  <si>
    <t>CLC</t>
  </si>
  <si>
    <t>Clear Carry Flag</t>
  </si>
  <si>
    <t>CLD</t>
  </si>
  <si>
    <t>Clear Decimal Mode</t>
  </si>
  <si>
    <t>CLI</t>
  </si>
  <si>
    <t>Clear Interrupt Disable</t>
  </si>
  <si>
    <t>CLV</t>
  </si>
  <si>
    <t>Clear Overflow Flag</t>
  </si>
  <si>
    <t>Compare Accumulator</t>
  </si>
  <si>
    <t>CPX</t>
  </si>
  <si>
    <t>Compare X Register</t>
  </si>
  <si>
    <t>CPY</t>
  </si>
  <si>
    <t>Compare Y Register</t>
  </si>
  <si>
    <t>Decrement Memory</t>
  </si>
  <si>
    <t>DEX</t>
  </si>
  <si>
    <t>Decrement X Register</t>
  </si>
  <si>
    <t>DEY</t>
  </si>
  <si>
    <t>Decrement Y Register</t>
  </si>
  <si>
    <t>EOR</t>
  </si>
  <si>
    <t>Exclusive OR</t>
  </si>
  <si>
    <t>Increment Memory</t>
  </si>
  <si>
    <t>Increment X Register</t>
  </si>
  <si>
    <t>INY</t>
  </si>
  <si>
    <t>Increment Y Register</t>
  </si>
  <si>
    <t>Jump Indirect</t>
  </si>
  <si>
    <t>JSR</t>
  </si>
  <si>
    <t>Jump to Subroutine</t>
  </si>
  <si>
    <t>Load Accumulator</t>
  </si>
  <si>
    <t>LDX</t>
  </si>
  <si>
    <t>Load X Register</t>
  </si>
  <si>
    <t>ZP_Y</t>
  </si>
  <si>
    <t>Zero Page,Y</t>
  </si>
  <si>
    <t>LDY</t>
  </si>
  <si>
    <t>Load Y Register</t>
  </si>
  <si>
    <t>LSR</t>
  </si>
  <si>
    <t>Logical Shift Right</t>
  </si>
  <si>
    <t>No Operation</t>
  </si>
  <si>
    <t>OR with Accumulator</t>
  </si>
  <si>
    <t>PHA</t>
  </si>
  <si>
    <t>Push Accumulator</t>
  </si>
  <si>
    <t>PHP</t>
  </si>
  <si>
    <t>Push Processor Status</t>
  </si>
  <si>
    <t>PLA</t>
  </si>
  <si>
    <t>Pull Accumulator</t>
  </si>
  <si>
    <t>PLP</t>
  </si>
  <si>
    <t>Pull Processor Status</t>
  </si>
  <si>
    <t>ROL</t>
  </si>
  <si>
    <t>Rotate Left</t>
  </si>
  <si>
    <t>ROR</t>
  </si>
  <si>
    <t>Rotate Right</t>
  </si>
  <si>
    <t>RTI</t>
  </si>
  <si>
    <t>Return from Interrupt</t>
  </si>
  <si>
    <t>RTS</t>
  </si>
  <si>
    <t>Return from Subroutine</t>
  </si>
  <si>
    <t>Subtract with Carry</t>
  </si>
  <si>
    <t>SEC</t>
  </si>
  <si>
    <t>Set Carry Flag</t>
  </si>
  <si>
    <t>SED</t>
  </si>
  <si>
    <t>Set Decimal Flag</t>
  </si>
  <si>
    <t>SEI</t>
  </si>
  <si>
    <t>Set Interrupt Disable</t>
  </si>
  <si>
    <t>Store Accumulator</t>
  </si>
  <si>
    <t>STX</t>
  </si>
  <si>
    <t>Store X Register</t>
  </si>
  <si>
    <t>STY</t>
  </si>
  <si>
    <t>Store Y Register</t>
  </si>
  <si>
    <t>TAX</t>
  </si>
  <si>
    <t>Transfer A to X</t>
  </si>
  <si>
    <t>TAY</t>
  </si>
  <si>
    <t>Transfer A to Y</t>
  </si>
  <si>
    <t>TSX</t>
  </si>
  <si>
    <t>Transfer SP to X</t>
  </si>
  <si>
    <t>TXA</t>
  </si>
  <si>
    <t>Transfer X to A</t>
  </si>
  <si>
    <t>TXS</t>
  </si>
  <si>
    <t>Transfer X to SP</t>
  </si>
  <si>
    <t>TYA</t>
  </si>
  <si>
    <t>Transfer Y to A</t>
  </si>
  <si>
    <t>#AA</t>
  </si>
  <si>
    <t>#01</t>
  </si>
  <si>
    <t>C:\Users\joe\OneDrive\Documents\GitHub\8080_snapshots\cpu6510\6510 Model Current_2026-03-22_2106_v2.09.txt</t>
  </si>
  <si>
    <t>C:\Users\joe\OneDrive\Documents\GitHub\8080_snapshots\cpu6510\6510 Model Current_2026-03-22_2106_v2.09.xlsm</t>
  </si>
  <si>
    <t>C:\Users\joe\OneDrive\Documents\GitHub\8080_snapshots\cpu6510\6510 Model Current_2026-03-22_2120_v2.10.txt</t>
  </si>
  <si>
    <t>C:\Users\joe\OneDrive\Documents\GitHub\8080_snapshots\cpu6510\6510 Model Current_2026-03-22_2120_v2.10.xlsm</t>
  </si>
  <si>
    <t>C:\Users\joe\OneDrive\Documents\GitHub\8080_snapshots\cpu6510\6510 Model Current_2026-03-22_2138_v2.11.txt</t>
  </si>
  <si>
    <t>C:\Users\joe\OneDrive\Documents\GitHub\8080_snapshots\cpu6510\6510 Model Current_2026-03-22_2138_v2.11.xlsm</t>
  </si>
  <si>
    <t>C:\Users\joe\OneDrive\Documents\GitHub\8080_snapshots\cpu6510\6510 Model Current_2026-03-22_2213_v2.12.txt</t>
  </si>
  <si>
    <t>C:\Users\joe\OneDrive\Documents\GitHub\8080_snapshots\cpu6510\6510 Model Current_2026-03-22_2213_v2.12.xlsm</t>
  </si>
  <si>
    <t>6510 LDA/LDX/LDY immediate + flags</t>
  </si>
  <si>
    <t>#00</t>
  </si>
  <si>
    <t>X</t>
  </si>
  <si>
    <t>Y</t>
  </si>
  <si>
    <t>C:\Users\joe\OneDrive\Documents\GitHub\8080_snapshots\cpu6510\6510 Model Current_2026-03-22_2303_v2.13.txt</t>
  </si>
  <si>
    <t>C:\Users\joe\OneDrive\Documents\GitHub\8080_snapshots\cpu6510\6510 Model Current_2026-03-22_2303_v2.13.xlsm</t>
  </si>
  <si>
    <t>C:\Users\jschaal\OneDrive - Distribuidora La Florida S.A\Dev\asm\snapshots\cpu6510\</t>
  </si>
  <si>
    <t>C:\Users\jschaal\OneDrive - Distribuidora La Florida S.A\Dev\asm\snapshots\cpu6510\6510 Model Current_2026-03-23_1341_v2.14.txt</t>
  </si>
  <si>
    <t>C:\Users\jschaal\OneDrive - Distribuidora La Florida S.A\Dev\asm\snapshots\cpu6510\6510 Model Current_2026-03-23_1341_v2.14.xlsm</t>
  </si>
  <si>
    <t>PASS</t>
  </si>
  <si>
    <t>C:\Users\jschaal\OneDrive - Distribuidora La Florida S.A\Dev\asm\snapshots\cpu6510\6510 Model Current_2026-03-23_1405_v2.15.txt</t>
  </si>
  <si>
    <t>C:\Users\jschaal\OneDrive - Distribuidora La Florida S.A\Dev\asm\snapshots\cpu6510\6510 Model Current_2026-03-23_1405_v2.15.xlsm</t>
  </si>
  <si>
    <t>6510 TAX/TAY/TXA/TYA transfers</t>
  </si>
  <si>
    <t>#42</t>
  </si>
  <si>
    <t>#80</t>
  </si>
  <si>
    <t>#33</t>
  </si>
  <si>
    <t>#77</t>
  </si>
  <si>
    <t>6510 ADC no carry / carry out / overflow</t>
  </si>
  <si>
    <t>#10</t>
  </si>
  <si>
    <t>#20</t>
  </si>
  <si>
    <t>#FF</t>
  </si>
  <si>
    <t>#50</t>
  </si>
  <si>
    <t>6510 SBC basic (SEC before SBC)</t>
  </si>
  <si>
    <t>6510 INX/INY/DEX/DEY wrap and flags</t>
  </si>
  <si>
    <t>#7F</t>
  </si>
  <si>
    <t>6510 AND/ORA/EOR logic</t>
  </si>
  <si>
    <t>#0F</t>
  </si>
  <si>
    <t>#F0</t>
  </si>
  <si>
    <t>6510 ASL/LSR carry and flags</t>
  </si>
  <si>
    <t>#81</t>
  </si>
  <si>
    <t>6510 ROL/ROR through carry</t>
  </si>
  <si>
    <t>6510 CMP flags without changing A</t>
  </si>
  <si>
    <t>#60</t>
  </si>
  <si>
    <t>6510 PHA/PLA stack round-trip</t>
  </si>
  <si>
    <t>#11</t>
  </si>
  <si>
    <t>#22</t>
  </si>
  <si>
    <t>6510 JSR/RTS subroutine call</t>
  </si>
  <si>
    <t>MYSUB</t>
  </si>
  <si>
    <t>6510 BEQ/BNE branches taken and not taken</t>
  </si>
  <si>
    <t>SKIP1</t>
  </si>
  <si>
    <t>SKIP2</t>
  </si>
  <si>
    <t>#02</t>
  </si>
  <si>
    <t>6510 BCC/BCS carry branches</t>
  </si>
  <si>
    <t>NOCARRY</t>
  </si>
  <si>
    <t>HASCARRY</t>
  </si>
  <si>
    <t>#BB</t>
  </si>
  <si>
    <t>Negative</t>
  </si>
  <si>
    <t>At End</t>
  </si>
  <si>
    <t>C:\Users\jschaal\OneDrive - Distribuidora La Florida S.A\Dev\asm\snapshots\cpu6510\6510 Model Current_2026-03-24_0959_v2.16.txt</t>
  </si>
  <si>
    <t>C:\Users\jschaal\OneDrive - Distribuidora La Florida S.A\Dev\asm\snapshots\cpu6510\6510 Model Current_2026-03-24_0959_v2.16.xlsm</t>
  </si>
  <si>
    <t>C:\Users\jschaal\OneDrive - Distribuidora La Florida S.A\Dev\asm\snapshots\cpu6510\6510 Model Current_2026-03-24_1027_v2.17.txt</t>
  </si>
  <si>
    <t>C:\Users\jschaal\OneDrive - Distribuidora La Florida S.A\Dev\asm\snapshots\cpu6510\6510 Model Current_2026-03-24_1027_v2.17.xlsm</t>
  </si>
  <si>
    <t>C:\Users\jschaal\OneDrive - Distribuidora La Florida S.A\Dev\asm\snapshots\cpu6510\6510 Model Current_2026-03-24_1116_v2.18.txt</t>
  </si>
  <si>
    <t>C:\Users\jschaal\OneDrive - Distribuidora La Florida S.A\Dev\asm\snapshots\cpu6510\6510 Model Current_2026-03-24_1116_v2.18.xlsm</t>
  </si>
  <si>
    <t>C:\Users\jschaal\OneDrive - Distribuidora La Florida S.A\Dev\asm\snapshots\cpu6510\6510 Model Current_2026-03-24_1122_v2.19.txt</t>
  </si>
  <si>
    <t>C:\Users\jschaal\OneDrive - Distribuidora La Florida S.A\Dev\asm\snapshots\cpu6510\6510 Model Current_2026-03-24_1122_v2.19.xlsm</t>
  </si>
  <si>
    <t>C:\Users\jschaal\OneDrive - Distribuidora La Florida S.A\Dev\asm\snapshots\cpu6510\6510 Model Current_2026-03-24_1730_v2.20.txt</t>
  </si>
  <si>
    <t>C:\Users\jschaal\OneDrive - Distribuidora La Florida S.A\Dev\asm\snapshots\cpu6510\6510 Model Current_2026-03-24_1730_v2.20.xlsm</t>
  </si>
  <si>
    <t>C:\Users\joe\OneDrive\Documents\GitHub\8080_snapshots\cpu6510\6510 Model Current_2026-03-30_0725_v2.21.txt</t>
  </si>
  <si>
    <t>C:\Users\joe\OneDrive\Documents\GitHub\8080_snapshots\cpu6510\6510 Model Current_2026-03-30_0725_v2.21.xlsm</t>
  </si>
  <si>
    <t>C:\Users\jschaal\OneDrive - Distribuidora La Florida S.A\Dev\asm\snapshots\cpu6510\6510 Model Current_Performance_2026-03-30_1752_v2.22.txt</t>
  </si>
  <si>
    <t>C:\Users\jschaal\OneDrive - Distribuidora La Florida S.A\Dev\asm\snapshots\cpu6510\6510 Model Current_Performance_2026-03-30_1752_v2.22.xlsm</t>
  </si>
  <si>
    <t>C:\Users\jschaal\OneDrive - Distribuidora La Florida S.A\Dev\asm\snapshots\cpu6510\6510 Model Current_Performance_2026-03-31_1311_v2.23.txt</t>
  </si>
  <si>
    <t>C:\Users\jschaal\OneDrive - Distribuidora La Florida S.A\Dev\asm\snapshots\cpu6510\6510 Model Current_Performance_2026-03-31_1311_v2.23.xlsm</t>
  </si>
  <si>
    <t>C:\Users\jschaal\OneDrive - Distribuidora La Florida S.A\Dev\asm\snapshots\cpu6510\6510 Model Current_Performance_2026-03-31_1319_v2.24.txt</t>
  </si>
  <si>
    <t>C:\Users\jschaal\OneDrive - Distribuidora La Florida S.A\Dev\asm\snapshots\cpu6510\6510 Model Current_Performance_2026-03-31_1319_v2.24.xlsm</t>
  </si>
  <si>
    <t>C:\Users\jschaal\OneDrive - Distribuidora La Florida S.A\Dev\asm\snapshots\cpu6510\6510 Model Current_Performance_2026-03-31_1323_v2.25.txt</t>
  </si>
  <si>
    <t>C:\Users\jschaal\OneDrive - Distribuidora La Florida S.A\Dev\asm\snapshots\cpu6510\6510 Model Current_Performance_2026-03-31_1323_v2.25.xlsm</t>
  </si>
  <si>
    <t>C:\Users\jschaal\OneDrive - Distribuidora La Florida S.A\Dev\asm\snapshots\cpu6510\6510 Model Current_Performance_2026-03-31_1329_v2.26.txt</t>
  </si>
  <si>
    <t>C:\Users\jschaal\OneDrive - Distribuidora La Florida S.A\Dev\asm\snapshots\cpu6510\6510 Model Current_Performance_2026-03-31_1329_v2.26.xlsm</t>
  </si>
  <si>
    <t>C:\Users\jschaal\OneDrive - Distribuidora La Florida S.A\Dev\asm\snapshots\cpu6510\6510 Model Current_Performance_2026-03-31_1352_v2.27.txt</t>
  </si>
  <si>
    <t>C:\Users\jschaal\OneDrive - Distribuidora La Florida S.A\Dev\asm\snapshots\cpu6510\6510 Model Current_Performance_2026-03-31_1352_v2.27.xlsm</t>
  </si>
  <si>
    <t>C:\Users\jschaal\OneDrive - Distribuidora La Florida S.A\Dev\asm\snapshots\cpu6510\6510 Model Current_2026-04-01_0840_v2.28.txt</t>
  </si>
  <si>
    <t>C:\Users\jschaal\OneDrive - Distribuidora La Florida S.A\Dev\asm\snapshots\cpu6510\6510 Model Current_2026-04-01_0840_v2.28.xlsm</t>
  </si>
  <si>
    <t>$0300</t>
  </si>
  <si>
    <t>#$48</t>
  </si>
  <si>
    <t>$FFD2</t>
  </si>
  <si>
    <t>#$49</t>
  </si>
  <si>
    <t>#$0D</t>
  </si>
  <si>
    <t>STP</t>
  </si>
  <si>
    <t>C:\Users\jschaal\OneDrive - Distribuidora La Florida S.A\Dev\asm\snapshots\cpu6510\6510 Model Current_2026-04-01_0851_v2.29.txt</t>
  </si>
  <si>
    <t>C:\Users\jschaal\OneDrive - Distribuidora La Florida S.A\Dev\asm\snapshots\cpu6510\6510 Model Current_2026-04-01_0851_v2.29.xlsm</t>
  </si>
  <si>
    <t>C:\Users\jschaal\OneDrive - Distribuidora La Florida S.A\Dev\asm\snapshots\cpu6510\6510 Model Current_2026-04-01_0957_v2.30.txt</t>
  </si>
  <si>
    <t>C:\Users\jschaal\OneDrive - Distribuidora La Florida S.A\Dev\asm\snapshots\cpu6510\6510 Model Current_2026-04-01_0957_v2.30.xlsm</t>
  </si>
  <si>
    <t>$033C</t>
  </si>
  <si>
    <t>C:\Users\jschaal\OneDrive - Distribuidora La Florida S.A\Dev\asm\snapshots\cpu6510\6510 Model Current_2026-04-01_1612_v2.31.txt</t>
  </si>
  <si>
    <t>C:\Users\jschaal\OneDrive - Distribuidora La Florida S.A\Dev\asm\snapshots\cpu6510\6510 Model Current_2026-04-01_1612_v2.31.xlsm</t>
  </si>
  <si>
    <t>#41</t>
  </si>
  <si>
    <t>$0381</t>
  </si>
  <si>
    <t>01FC</t>
  </si>
  <si>
    <t>$0380</t>
  </si>
  <si>
    <t>Unit_T111</t>
  </si>
  <si>
    <t>6510 Memory Swap</t>
  </si>
  <si>
    <t>Unit_T112</t>
  </si>
  <si>
    <t>Unit_T113</t>
  </si>
  <si>
    <t>Unit_T114</t>
  </si>
  <si>
    <t>Unit_T115</t>
  </si>
  <si>
    <t>Unit_T116</t>
  </si>
  <si>
    <t>Unit_T117</t>
  </si>
  <si>
    <t>Unit_T118</t>
  </si>
  <si>
    <t>Unit_T119</t>
  </si>
  <si>
    <t>$0801</t>
  </si>
  <si>
    <t>$0900</t>
  </si>
  <si>
    <t>$0901</t>
  </si>
  <si>
    <t>Execution Complete</t>
  </si>
  <si>
    <t>#43</t>
  </si>
  <si>
    <t>$0903</t>
  </si>
  <si>
    <t>#44</t>
  </si>
  <si>
    <t>#45</t>
  </si>
  <si>
    <t>$0904</t>
  </si>
  <si>
    <t>$0902</t>
  </si>
  <si>
    <t>6510: number swap no loop</t>
  </si>
  <si>
    <t>$0910</t>
  </si>
  <si>
    <t>#$04</t>
  </si>
  <si>
    <t>#$00</t>
  </si>
  <si>
    <t>#$41</t>
  </si>
  <si>
    <t>#$42</t>
  </si>
  <si>
    <t>#$43</t>
  </si>
  <si>
    <t>#$44</t>
  </si>
  <si>
    <t>#$45</t>
  </si>
  <si>
    <t>6510: number swap with loop</t>
  </si>
  <si>
    <t>6510 Memory Swap Loop</t>
  </si>
  <si>
    <t>0839</t>
  </si>
  <si>
    <t>C:\Users\jschaal\OneDrive - Distribuidora La Florida S.A\Dev\asm\snapshots\cpu6510\6510 Model Current_2026-04-02_1012_v2.32.txt</t>
  </si>
  <si>
    <t>C:\Users\jschaal\OneDrive - Distribuidora La Florida S.A\Dev\asm\snapshots\cpu6510\6510 Model Current_2026-04-02_1012_v2.32.xlsm</t>
  </si>
  <si>
    <t>C:\Users\jschaal\OneDrive - Distribuidora La Florida S.A\Dev\asm\snapshots\cpu6510\6510 Model Current_2026-04-02_1119_v2.33.txt</t>
  </si>
  <si>
    <t>C:\Users\jschaal\OneDrive - Distribuidora La Florida S.A\Dev\asm\snapshots\cpu6510\6510 Model Current_2026-04-02_1119_v2.33.xlsm</t>
  </si>
  <si>
    <t>V</t>
  </si>
  <si>
    <t>Unused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</si>
</sst>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43" formatCode="_(* #,##0.00_);_(* \(#,##0.00\);_(* &quot;-&quot;??_);_(@_)"/>
    <numFmt numFmtId="164" formatCode="[$-409]m/d/yy\ h:mm\ AM/PM;@"/>
  </numFmts>
  <fonts count="24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  <font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  <font>
      <b/>
      <sz val="10"/>
      <color rgb="FFFFFFFF"/>
      <name val="Arial"/>
      <family val="2"/>
    </font>
    <font>
      <sz val="10"/>
      <name val="Courier New"/>
      <family val="3"/>
    </font>
    <font>
      <sz val="10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1F4E78"/>
        <bgColor rgb="FF1F4E78"/>
      </patternFill>
    </fill>
    <fill>
      <patternFill patternType="solid">
        <fgColor rgb="FF1F4E79"/>
      </patternFill>
    </fill>
    <fill>
      <patternFill patternType="solid">
        <fgColor rgb="FFFFF2CC"/>
      </patternFill>
    </fill>
    <fill>
      <patternFill patternType="solid">
        <fgColor rgb="FFE2EFDA"/>
      </patternFill>
    </fill>
    <fill>
      <patternFill patternType="solid">
        <fgColor rgb="FFFCE4D6"/>
      </patternFill>
    </fill>
    <fill>
      <patternFill patternType="solid">
        <fgColor rgb="FFDDEBF7"/>
      </patternFill>
    </fill>
    <fill>
      <patternFill patternType="solid">
        <fgColor rgb="FFF4CCCC"/>
      </patternFill>
    </fill>
    <fill>
      <patternFill patternType="solid">
        <fgColor rgb="FFEAD1DC"/>
      </patternFill>
    </fill>
    <fill>
      <patternFill patternType="solid">
        <fgColor rgb="FFD9EAD3"/>
      </patternFill>
    </fill>
    <fill>
      <patternFill patternType="solid">
        <fgColor rgb="FFF3F3F3"/>
      </patternFill>
    </fill>
    <fill>
      <patternFill patternType="solid">
        <fgColor rgb="FF00FF00"/>
        <bgColor indexed="64"/>
      </patternFill>
    </fill>
  </fills>
  <borders count="5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43" fontId="19" fillId="0" borderId="0" applyFont="0" applyFill="0" applyBorder="0" applyAlignment="0" applyProtection="0"/>
  </cellStyleXfs>
  <cellXfs count="252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7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38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0" xfId="0" applyFill="1" applyBorder="1" applyAlignment="1">
      <alignment horizontal="center"/>
    </xf>
    <xf numFmtId="0" fontId="0" fillId="3" borderId="1" xfId="0" applyFill="1" applyBorder="1"/>
    <xf numFmtId="0" fontId="0" fillId="3" borderId="42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4" borderId="10" xfId="0" applyFill="1" applyBorder="1"/>
    <xf numFmtId="0" fontId="0" fillId="14" borderId="16" xfId="0" applyFill="1" applyBorder="1"/>
    <xf numFmtId="0" fontId="0" fillId="14" borderId="11" xfId="0" applyFill="1" applyBorder="1"/>
    <xf numFmtId="0" fontId="0" fillId="0" borderId="15" xfId="0" applyBorder="1"/>
    <xf numFmtId="0" fontId="0" fillId="3" borderId="43" xfId="0" applyFill="1" applyBorder="1"/>
    <xf numFmtId="0" fontId="0" fillId="3" borderId="44" xfId="0" applyFill="1" applyBorder="1"/>
    <xf numFmtId="0" fontId="0" fillId="3" borderId="45" xfId="0" applyFill="1" applyBorder="1"/>
    <xf numFmtId="0" fontId="0" fillId="3" borderId="46" xfId="0" applyFill="1" applyBorder="1"/>
    <xf numFmtId="0" fontId="0" fillId="14" borderId="19" xfId="0" applyFill="1" applyBorder="1"/>
    <xf numFmtId="0" fontId="0" fillId="14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1" xfId="0" quotePrefix="1" applyFill="1" applyBorder="1" applyAlignment="1">
      <alignment horizontal="center"/>
    </xf>
    <xf numFmtId="0" fontId="0" fillId="15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7" xfId="0" applyBorder="1"/>
    <xf numFmtId="0" fontId="0" fillId="0" borderId="45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4" borderId="48" xfId="0" applyFill="1" applyBorder="1"/>
    <xf numFmtId="1" fontId="0" fillId="6" borderId="48" xfId="0" applyNumberFormat="1" applyFill="1" applyBorder="1"/>
    <xf numFmtId="0" fontId="0" fillId="2" borderId="49" xfId="0" applyFill="1" applyBorder="1"/>
    <xf numFmtId="49" fontId="0" fillId="16" borderId="38" xfId="0" applyNumberFormat="1" applyFill="1" applyBorder="1"/>
    <xf numFmtId="49" fontId="0" fillId="16" borderId="30" xfId="0" applyNumberFormat="1" applyFill="1" applyBorder="1"/>
    <xf numFmtId="49" fontId="0" fillId="16" borderId="9" xfId="0" applyNumberFormat="1" applyFill="1" applyBorder="1"/>
    <xf numFmtId="49" fontId="0" fillId="16" borderId="22" xfId="0" applyNumberFormat="1" applyFill="1" applyBorder="1"/>
    <xf numFmtId="49" fontId="0" fillId="16" borderId="1" xfId="0" applyNumberFormat="1" applyFill="1" applyBorder="1"/>
    <xf numFmtId="49" fontId="0" fillId="16" borderId="5" xfId="0" applyNumberFormat="1" applyFill="1" applyBorder="1"/>
    <xf numFmtId="49" fontId="0" fillId="16" borderId="23" xfId="0" applyNumberFormat="1" applyFill="1" applyBorder="1"/>
    <xf numFmtId="49" fontId="0" fillId="16" borderId="20" xfId="0" applyNumberFormat="1" applyFill="1" applyBorder="1"/>
    <xf numFmtId="49" fontId="0" fillId="16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0" xfId="0" quotePrefix="1" applyNumberFormat="1" applyFill="1" applyBorder="1" applyAlignment="1">
      <alignment horizontal="center"/>
    </xf>
    <xf numFmtId="49" fontId="0" fillId="2" borderId="51" xfId="0" quotePrefix="1" applyNumberFormat="1" applyFill="1" applyBorder="1" applyAlignment="1">
      <alignment horizontal="center"/>
    </xf>
    <xf numFmtId="0" fontId="1" fillId="0" borderId="52" xfId="0" applyFont="1" applyBorder="1" applyAlignment="1">
      <alignment horizontal="center"/>
    </xf>
    <xf numFmtId="0" fontId="0" fillId="13" borderId="53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7" borderId="30" xfId="0" applyFill="1" applyBorder="1" applyAlignment="1">
      <alignment horizontal="center"/>
    </xf>
    <xf numFmtId="0" fontId="1" fillId="0" borderId="39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0" borderId="52" xfId="0" applyBorder="1"/>
    <xf numFmtId="0" fontId="0" fillId="2" borderId="1" xfId="0" quotePrefix="1" applyFill="1" applyBorder="1" applyAlignment="1">
      <alignment horizontal="center"/>
    </xf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8" borderId="54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0" fillId="0" borderId="37" xfId="0" applyBorder="1" applyAlignment="1">
      <alignment horizontal="left"/>
    </xf>
    <xf numFmtId="0" fontId="0" fillId="0" borderId="32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43" fontId="0" fillId="0" borderId="0" xfId="1" applyFont="1"/>
    <xf numFmtId="43" fontId="0" fillId="0" borderId="1" xfId="1" applyFont="1" applyBorder="1"/>
    <xf numFmtId="43" fontId="0" fillId="0" borderId="10" xfId="1" applyFont="1" applyBorder="1"/>
    <xf numFmtId="164" fontId="0" fillId="0" borderId="16" xfId="0" applyNumberFormat="1" applyBorder="1"/>
    <xf numFmtId="164" fontId="0" fillId="0" borderId="1" xfId="0" applyNumberFormat="1" applyBorder="1"/>
    <xf numFmtId="164" fontId="0" fillId="0" borderId="0" xfId="0" applyNumberFormat="1"/>
    <xf numFmtId="0" fontId="20" fillId="1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9" fontId="20" fillId="19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1" fontId="20" fillId="19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20" fillId="19" borderId="42" xfId="0" applyFont="1" applyFill="1" applyBorder="1" applyAlignment="1">
      <alignment horizontal="center" vertical="center"/>
    </xf>
    <xf numFmtId="49" fontId="0" fillId="4" borderId="1" xfId="0" applyNumberFormat="1" applyFill="1" applyBorder="1" applyAlignment="1">
      <alignment horizontal="center"/>
    </xf>
    <xf numFmtId="0" fontId="0" fillId="3" borderId="20" xfId="0" applyFill="1" applyBorder="1"/>
    <xf numFmtId="49" fontId="0" fillId="4" borderId="20" xfId="0" applyNumberFormat="1" applyFill="1" applyBorder="1" applyAlignment="1">
      <alignment horizontal="center"/>
    </xf>
    <xf numFmtId="0" fontId="0" fillId="2" borderId="11" xfId="0" applyFill="1" applyBorder="1"/>
    <xf numFmtId="0" fontId="1" fillId="0" borderId="55" xfId="0" applyFont="1" applyBorder="1"/>
    <xf numFmtId="0" fontId="0" fillId="0" borderId="50" xfId="0" applyBorder="1"/>
    <xf numFmtId="0" fontId="1" fillId="2" borderId="12" xfId="0" applyFont="1" applyFill="1" applyBorder="1"/>
    <xf numFmtId="0" fontId="0" fillId="2" borderId="29" xfId="0" quotePrefix="1" applyFill="1" applyBorder="1"/>
    <xf numFmtId="0" fontId="0" fillId="2" borderId="24" xfId="0" quotePrefix="1" applyFill="1" applyBorder="1"/>
    <xf numFmtId="0" fontId="21" fillId="20" borderId="56" xfId="0" applyFont="1" applyFill="1" applyBorder="1" applyAlignment="1">
      <alignment horizontal="center" vertical="center"/>
    </xf>
    <xf numFmtId="0" fontId="22" fillId="21" borderId="56" xfId="0" applyFont="1" applyFill="1" applyBorder="1" applyAlignment="1">
      <alignment horizontal="center" vertical="center"/>
    </xf>
    <xf numFmtId="0" fontId="23" fillId="21" borderId="56" xfId="0" applyFont="1" applyFill="1" applyBorder="1" applyAlignment="1">
      <alignment horizontal="left" vertical="center"/>
    </xf>
    <xf numFmtId="0" fontId="23" fillId="21" borderId="56" xfId="0" applyFont="1" applyFill="1" applyBorder="1" applyAlignment="1">
      <alignment horizontal="center" vertical="center"/>
    </xf>
    <xf numFmtId="0" fontId="22" fillId="22" borderId="56" xfId="0" applyFont="1" applyFill="1" applyBorder="1" applyAlignment="1">
      <alignment horizontal="center" vertical="center"/>
    </xf>
    <xf numFmtId="0" fontId="23" fillId="22" borderId="56" xfId="0" applyFont="1" applyFill="1" applyBorder="1" applyAlignment="1">
      <alignment horizontal="left" vertical="center"/>
    </xf>
    <xf numFmtId="0" fontId="23" fillId="22" borderId="56" xfId="0" applyFont="1" applyFill="1" applyBorder="1" applyAlignment="1">
      <alignment horizontal="center" vertical="center"/>
    </xf>
    <xf numFmtId="0" fontId="22" fillId="23" borderId="56" xfId="0" applyFont="1" applyFill="1" applyBorder="1" applyAlignment="1">
      <alignment horizontal="center" vertical="center"/>
    </xf>
    <xf numFmtId="0" fontId="23" fillId="23" borderId="56" xfId="0" applyFont="1" applyFill="1" applyBorder="1" applyAlignment="1">
      <alignment horizontal="left" vertical="center"/>
    </xf>
    <xf numFmtId="0" fontId="23" fillId="23" borderId="56" xfId="0" applyFont="1" applyFill="1" applyBorder="1" applyAlignment="1">
      <alignment horizontal="center" vertical="center"/>
    </xf>
    <xf numFmtId="0" fontId="22" fillId="24" borderId="56" xfId="0" applyFont="1" applyFill="1" applyBorder="1" applyAlignment="1">
      <alignment horizontal="center" vertical="center"/>
    </xf>
    <xf numFmtId="0" fontId="23" fillId="24" borderId="56" xfId="0" applyFont="1" applyFill="1" applyBorder="1" applyAlignment="1">
      <alignment horizontal="left" vertical="center"/>
    </xf>
    <xf numFmtId="0" fontId="23" fillId="24" borderId="56" xfId="0" applyFont="1" applyFill="1" applyBorder="1" applyAlignment="1">
      <alignment horizontal="center" vertical="center"/>
    </xf>
    <xf numFmtId="0" fontId="22" fillId="25" borderId="56" xfId="0" applyFont="1" applyFill="1" applyBorder="1" applyAlignment="1">
      <alignment horizontal="center" vertical="center"/>
    </xf>
    <xf numFmtId="0" fontId="23" fillId="25" borderId="56" xfId="0" applyFont="1" applyFill="1" applyBorder="1" applyAlignment="1">
      <alignment horizontal="left" vertical="center"/>
    </xf>
    <xf numFmtId="0" fontId="23" fillId="25" borderId="56" xfId="0" applyFont="1" applyFill="1" applyBorder="1" applyAlignment="1">
      <alignment horizontal="center" vertical="center"/>
    </xf>
    <xf numFmtId="0" fontId="22" fillId="26" borderId="56" xfId="0" applyFont="1" applyFill="1" applyBorder="1" applyAlignment="1">
      <alignment horizontal="center" vertical="center"/>
    </xf>
    <xf numFmtId="0" fontId="23" fillId="26" borderId="56" xfId="0" applyFont="1" applyFill="1" applyBorder="1" applyAlignment="1">
      <alignment horizontal="left" vertical="center"/>
    </xf>
    <xf numFmtId="0" fontId="23" fillId="26" borderId="56" xfId="0" applyFont="1" applyFill="1" applyBorder="1" applyAlignment="1">
      <alignment horizontal="center" vertical="center"/>
    </xf>
    <xf numFmtId="0" fontId="22" fillId="27" borderId="56" xfId="0" applyFont="1" applyFill="1" applyBorder="1" applyAlignment="1">
      <alignment horizontal="center" vertical="center"/>
    </xf>
    <xf numFmtId="0" fontId="23" fillId="27" borderId="56" xfId="0" applyFont="1" applyFill="1" applyBorder="1" applyAlignment="1">
      <alignment horizontal="left" vertical="center"/>
    </xf>
    <xf numFmtId="0" fontId="23" fillId="27" borderId="56" xfId="0" applyFont="1" applyFill="1" applyBorder="1" applyAlignment="1">
      <alignment horizontal="center" vertical="center"/>
    </xf>
    <xf numFmtId="0" fontId="22" fillId="28" borderId="56" xfId="0" applyFont="1" applyFill="1" applyBorder="1" applyAlignment="1">
      <alignment horizontal="center" vertical="center"/>
    </xf>
    <xf numFmtId="0" fontId="23" fillId="28" borderId="56" xfId="0" applyFont="1" applyFill="1" applyBorder="1" applyAlignment="1">
      <alignment horizontal="left" vertical="center"/>
    </xf>
    <xf numFmtId="0" fontId="23" fillId="28" borderId="56" xfId="0" applyFont="1" applyFill="1" applyBorder="1" applyAlignment="1">
      <alignment horizontal="center" vertical="center"/>
    </xf>
    <xf numFmtId="0" fontId="0" fillId="0" borderId="10" xfId="0" applyBorder="1" applyAlignment="1">
      <alignment horizontal="left"/>
    </xf>
    <xf numFmtId="0" fontId="0" fillId="3" borderId="11" xfId="0" applyFill="1" applyBorder="1" applyAlignment="1">
      <alignment horizontal="center"/>
    </xf>
    <xf numFmtId="0" fontId="0" fillId="29" borderId="31" xfId="0" applyFill="1" applyBorder="1" applyAlignment="1">
      <alignment horizontal="center"/>
    </xf>
    <xf numFmtId="6" fontId="0" fillId="2" borderId="30" xfId="0" quotePrefix="1" applyNumberFormat="1" applyFill="1" applyBorder="1" applyAlignment="1">
      <alignment horizontal="center"/>
    </xf>
    <xf numFmtId="0" fontId="0" fillId="2" borderId="30" xfId="0" quotePrefix="1" applyFill="1" applyBorder="1"/>
    <xf numFmtId="0" fontId="0" fillId="29" borderId="16" xfId="0" applyFill="1" applyBorder="1" applyAlignment="1">
      <alignment horizontal="center"/>
    </xf>
    <xf numFmtId="49" fontId="0" fillId="2" borderId="30" xfId="0" applyNumberFormat="1" applyFill="1" applyBorder="1"/>
    <xf numFmtId="49" fontId="0" fillId="2" borderId="30" xfId="0" applyNumberFormat="1" applyFill="1" applyBorder="1" applyAlignment="1">
      <alignment horizontal="center"/>
    </xf>
    <xf numFmtId="49" fontId="0" fillId="2" borderId="48" xfId="0" applyNumberFormat="1" applyFill="1" applyBorder="1"/>
    <xf numFmtId="49" fontId="0" fillId="2" borderId="48" xfId="0" applyNumberFormat="1" applyFill="1" applyBorder="1" applyAlignment="1">
      <alignment horizontal="center"/>
    </xf>
    <xf numFmtId="49" fontId="0" fillId="2" borderId="1" xfId="0" applyNumberFormat="1" applyFill="1" applyBorder="1"/>
    <xf numFmtId="49" fontId="1" fillId="0" borderId="16" xfId="0" applyNumberFormat="1" applyFont="1" applyBorder="1" applyAlignment="1">
      <alignment horizontal="center"/>
    </xf>
    <xf numFmtId="49" fontId="1" fillId="0" borderId="16" xfId="0" applyNumberFormat="1" applyFont="1" applyBorder="1"/>
    <xf numFmtId="49" fontId="0" fillId="2" borderId="38" xfId="0" applyNumberFormat="1" applyFill="1" applyBorder="1"/>
    <xf numFmtId="49" fontId="1" fillId="0" borderId="31" xfId="0" applyNumberFormat="1" applyFont="1" applyBorder="1" applyAlignment="1">
      <alignment horizontal="center"/>
    </xf>
    <xf numFmtId="49" fontId="1" fillId="0" borderId="31" xfId="0" applyNumberFormat="1" applyFont="1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39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  <xf numFmtId="0" fontId="0" fillId="0" borderId="37" xfId="0" applyBorder="1"/>
    <xf numFmtId="0" fontId="0" fillId="3" borderId="3" xfId="0" applyFill="1" applyBorder="1"/>
    <xf numFmtId="0" fontId="0" fillId="3" borderId="6" xfId="0" quotePrefix="1" applyFill="1" applyBorder="1"/>
    <xf numFmtId="0" fontId="1" fillId="0" borderId="12" xfId="0" quotePrefix="1" applyFont="1" applyBorder="1" applyAlignment="1">
      <alignment horizontal="center"/>
    </xf>
    <xf numFmtId="0" fontId="1" fillId="0" borderId="29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25" xfId="0" applyFont="1" applyBorder="1" applyAlignment="1">
      <alignment horizontal="center"/>
    </xf>
  </cellXfs>
  <cellStyles count="2">
    <cellStyle name="Comma" xfId="1" builtinId="3"/>
    <cellStyle name="Normal" xfId="0" builtinId="0"/>
  </cellStyles>
  <dxfs count="705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  <color rgb="FFFF7171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180975</xdr:colOff>
          <xdr:row>10</xdr:row>
          <xdr:rowOff>180975</xdr:rowOff>
        </xdr:from>
        <xdr:to>
          <xdr:col>26</xdr:col>
          <xdr:colOff>485775</xdr:colOff>
          <xdr:row>12</xdr:row>
          <xdr:rowOff>133350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Memory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323850</xdr:colOff>
          <xdr:row>0</xdr:row>
          <xdr:rowOff>38100</xdr:rowOff>
        </xdr:from>
        <xdr:to>
          <xdr:col>24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21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A29" sqref="A29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8" width="5.7109375" bestFit="1" customWidth="1"/>
    <col min="9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45" bestFit="1" customWidth="1"/>
    <col min="18" max="18" width="10.28515625" style="45" bestFit="1" customWidth="1"/>
    <col min="19" max="19" width="5.42578125" bestFit="1" customWidth="1"/>
    <col min="20" max="20" width="8.140625" bestFit="1" customWidth="1"/>
    <col min="22" max="23" width="8.85546875" bestFit="1" customWidth="1"/>
    <col min="24" max="24" width="5" style="45" bestFit="1" customWidth="1"/>
    <col min="25" max="25" width="8.5703125" style="45" bestFit="1" customWidth="1"/>
    <col min="41" max="41" width="10.28515625" bestFit="1" customWidth="1"/>
    <col min="42" max="42" width="79.85546875" bestFit="1" customWidth="1"/>
  </cols>
  <sheetData>
    <row r="1" spans="1:43" ht="15.75" thickBot="1">
      <c r="A1" s="7" t="s">
        <v>127</v>
      </c>
      <c r="B1" s="12">
        <v>0</v>
      </c>
      <c r="D1" s="24" t="s">
        <v>135</v>
      </c>
      <c r="E1" s="10">
        <v>0</v>
      </c>
      <c r="F1" s="233" t="s">
        <v>2448</v>
      </c>
      <c r="G1" s="234"/>
      <c r="H1" s="234"/>
      <c r="I1" s="234"/>
      <c r="J1" s="234"/>
      <c r="K1" s="234"/>
      <c r="L1" s="234"/>
      <c r="M1" s="234"/>
      <c r="N1" s="234"/>
      <c r="O1" s="234"/>
      <c r="P1" s="234"/>
      <c r="Q1" s="234"/>
      <c r="R1" s="234"/>
      <c r="S1" s="234"/>
      <c r="T1" s="234"/>
      <c r="U1" s="234"/>
      <c r="V1" s="234"/>
      <c r="W1" s="235"/>
      <c r="AO1" s="59" t="s">
        <v>407</v>
      </c>
      <c r="AP1" s="59" t="s">
        <v>405</v>
      </c>
      <c r="AQ1" s="6"/>
    </row>
    <row r="2" spans="1:43" ht="15.75" thickBot="1">
      <c r="A2" s="14" t="s">
        <v>129</v>
      </c>
      <c r="B2" s="15">
        <v>0</v>
      </c>
      <c r="AO2" s="96">
        <v>0</v>
      </c>
      <c r="AP2" s="96" t="s">
        <v>406</v>
      </c>
      <c r="AQ2" s="6"/>
    </row>
    <row r="3" spans="1:43" ht="15.75" thickBot="1">
      <c r="A3" s="8" t="s">
        <v>128</v>
      </c>
      <c r="B3" s="13">
        <f>Line0</f>
        <v>256</v>
      </c>
      <c r="AD3" s="101">
        <v>7</v>
      </c>
      <c r="AE3" s="102">
        <v>6</v>
      </c>
      <c r="AF3" s="102">
        <v>5</v>
      </c>
      <c r="AG3" s="102">
        <v>4</v>
      </c>
      <c r="AH3" s="102">
        <v>3</v>
      </c>
      <c r="AI3" s="102">
        <v>2</v>
      </c>
      <c r="AJ3" s="102">
        <v>1</v>
      </c>
      <c r="AK3" s="103">
        <v>0</v>
      </c>
      <c r="AO3" s="96">
        <v>1</v>
      </c>
      <c r="AP3" s="96" t="s">
        <v>2350</v>
      </c>
      <c r="AQ3" s="6"/>
    </row>
    <row r="4" spans="1:43" ht="15.75" thickBot="1">
      <c r="AB4" s="7" t="s">
        <v>398</v>
      </c>
      <c r="AC4" s="92">
        <f>HEX2DEC(AC5)</f>
        <v>335</v>
      </c>
      <c r="AD4" s="100">
        <f t="shared" ref="AD4:AK4" si="0">AC4-AD5*AD6</f>
        <v>207</v>
      </c>
      <c r="AE4" s="94">
        <f t="shared" si="0"/>
        <v>143</v>
      </c>
      <c r="AF4" s="94">
        <f t="shared" si="0"/>
        <v>111</v>
      </c>
      <c r="AG4" s="94">
        <f t="shared" si="0"/>
        <v>95</v>
      </c>
      <c r="AH4" s="94">
        <f t="shared" si="0"/>
        <v>87</v>
      </c>
      <c r="AI4" s="94">
        <f t="shared" si="0"/>
        <v>83</v>
      </c>
      <c r="AJ4" s="94">
        <f t="shared" si="0"/>
        <v>81</v>
      </c>
      <c r="AK4" s="105">
        <f t="shared" si="0"/>
        <v>80</v>
      </c>
      <c r="AL4" s="77" t="s">
        <v>399</v>
      </c>
      <c r="AM4" s="104" t="s">
        <v>116</v>
      </c>
      <c r="AO4" s="96">
        <v>0</v>
      </c>
      <c r="AP4" s="96" t="s">
        <v>2201</v>
      </c>
      <c r="AQ4" s="6"/>
    </row>
    <row r="5" spans="1:43" ht="15.75" thickBot="1">
      <c r="A5" s="246">
        <v>6510</v>
      </c>
      <c r="B5" s="21" t="s">
        <v>113</v>
      </c>
      <c r="C5" s="25" t="s">
        <v>132</v>
      </c>
      <c r="D5" s="26" t="s">
        <v>133</v>
      </c>
      <c r="E5" s="27" t="s">
        <v>134</v>
      </c>
      <c r="G5" s="157" t="s">
        <v>408</v>
      </c>
      <c r="H5" s="158">
        <v>0</v>
      </c>
      <c r="K5" s="77">
        <v>-3</v>
      </c>
      <c r="L5" s="9">
        <v>-2</v>
      </c>
      <c r="M5" s="11">
        <v>-1</v>
      </c>
      <c r="N5" s="11" t="s">
        <v>126</v>
      </c>
      <c r="O5" s="11">
        <v>1</v>
      </c>
      <c r="P5" s="11">
        <v>2</v>
      </c>
      <c r="Q5" s="46">
        <v>3</v>
      </c>
      <c r="R5" s="46">
        <v>4</v>
      </c>
      <c r="W5" s="20" t="s">
        <v>130</v>
      </c>
      <c r="AB5" s="8" t="s">
        <v>132</v>
      </c>
      <c r="AC5" s="115" t="s">
        <v>2196</v>
      </c>
      <c r="AD5" s="93">
        <f>IF(AC4&gt;=AD6,1,0)</f>
        <v>1</v>
      </c>
      <c r="AE5" s="93">
        <f t="shared" ref="AE5:AK5" si="1">IF(AD4&gt;=AE6,1,0)</f>
        <v>1</v>
      </c>
      <c r="AF5" s="93">
        <f t="shared" si="1"/>
        <v>1</v>
      </c>
      <c r="AG5" s="93">
        <f t="shared" si="1"/>
        <v>1</v>
      </c>
      <c r="AH5" s="93">
        <f t="shared" si="1"/>
        <v>1</v>
      </c>
      <c r="AI5" s="93">
        <f t="shared" si="1"/>
        <v>1</v>
      </c>
      <c r="AJ5" s="93">
        <f t="shared" si="1"/>
        <v>1</v>
      </c>
      <c r="AK5" s="106">
        <f t="shared" si="1"/>
        <v>1</v>
      </c>
      <c r="AL5" s="107">
        <f>SUM(AD5:AK5)</f>
        <v>8</v>
      </c>
      <c r="AM5" s="108">
        <f>IF(AL5/2=INT(AL5/2),1,0)</f>
        <v>1</v>
      </c>
    </row>
    <row r="6" spans="1:43" ht="15.75" thickBot="1">
      <c r="A6" s="247">
        <v>0</v>
      </c>
      <c r="B6" s="22" t="s">
        <v>121</v>
      </c>
      <c r="C6" s="38" t="s">
        <v>908</v>
      </c>
      <c r="D6" s="28" t="str">
        <f>IF(AND(E6&gt;=32,E6&lt;=126),CHAR(E6),".")</f>
        <v>A</v>
      </c>
      <c r="E6" s="29">
        <f>HEX2DEC(C6)</f>
        <v>65</v>
      </c>
      <c r="G6" s="159" t="s">
        <v>1118</v>
      </c>
      <c r="H6" s="160">
        <v>0</v>
      </c>
      <c r="AD6" s="93">
        <f>2^AD3</f>
        <v>128</v>
      </c>
      <c r="AE6" s="93">
        <f t="shared" ref="AE6:AK6" si="2">2^AE3</f>
        <v>64</v>
      </c>
      <c r="AF6" s="93">
        <f t="shared" si="2"/>
        <v>32</v>
      </c>
      <c r="AG6" s="93">
        <f t="shared" si="2"/>
        <v>16</v>
      </c>
      <c r="AH6" s="93">
        <f t="shared" si="2"/>
        <v>8</v>
      </c>
      <c r="AI6" s="93">
        <f t="shared" si="2"/>
        <v>4</v>
      </c>
      <c r="AJ6" s="93">
        <f t="shared" si="2"/>
        <v>2</v>
      </c>
      <c r="AK6" s="93">
        <f t="shared" si="2"/>
        <v>1</v>
      </c>
    </row>
    <row r="7" spans="1:43" ht="15.75" thickBot="1">
      <c r="A7" s="248">
        <v>1</v>
      </c>
      <c r="B7" s="93" t="s">
        <v>2202</v>
      </c>
      <c r="C7" s="183" t="s">
        <v>482</v>
      </c>
      <c r="D7" s="28" t="str">
        <f>IF(AND(E7&gt;=32,E7&lt;=126),CHAR(E7),".")</f>
        <v>B</v>
      </c>
      <c r="E7" s="29">
        <f>HEX2DEC(C7)</f>
        <v>66</v>
      </c>
      <c r="G7" s="159" t="s">
        <v>1119</v>
      </c>
      <c r="H7" s="160">
        <v>0</v>
      </c>
      <c r="K7" s="61" t="s">
        <v>138</v>
      </c>
      <c r="L7" s="46" t="s">
        <v>237</v>
      </c>
      <c r="M7" s="34" t="s">
        <v>136</v>
      </c>
      <c r="N7" s="34" t="s">
        <v>137</v>
      </c>
      <c r="O7" s="47" t="s">
        <v>125</v>
      </c>
      <c r="P7" s="35" t="s">
        <v>142</v>
      </c>
      <c r="Q7" s="47" t="s">
        <v>123</v>
      </c>
      <c r="R7" s="62" t="s">
        <v>124</v>
      </c>
      <c r="S7" s="137" t="s">
        <v>496</v>
      </c>
      <c r="T7" s="134"/>
      <c r="U7" s="36"/>
      <c r="V7" s="37" t="s">
        <v>136</v>
      </c>
      <c r="W7" s="40" t="s">
        <v>137</v>
      </c>
      <c r="X7" s="50" t="s">
        <v>131</v>
      </c>
      <c r="Y7" s="50" t="s">
        <v>145</v>
      </c>
      <c r="AC7" s="92">
        <f>SUM(AD7:AK7)</f>
        <v>255</v>
      </c>
      <c r="AD7" s="93">
        <f t="shared" ref="AD7" si="3">AD6*AD5</f>
        <v>128</v>
      </c>
      <c r="AE7" s="93">
        <f t="shared" ref="AE7" si="4">AE6*AE5</f>
        <v>64</v>
      </c>
      <c r="AF7" s="93">
        <f t="shared" ref="AF7" si="5">AF6*AF5</f>
        <v>32</v>
      </c>
      <c r="AG7" s="93">
        <f t="shared" ref="AG7" si="6">AG6*AG5</f>
        <v>16</v>
      </c>
      <c r="AH7" s="93">
        <f t="shared" ref="AH7" si="7">AH6*AH5</f>
        <v>8</v>
      </c>
      <c r="AI7" s="93">
        <f t="shared" ref="AI7" si="8">AI6*AI5</f>
        <v>4</v>
      </c>
      <c r="AJ7" s="93">
        <f t="shared" ref="AJ7:AK7" si="9">AJ6*AJ5</f>
        <v>2</v>
      </c>
      <c r="AK7" s="93">
        <f t="shared" si="9"/>
        <v>1</v>
      </c>
      <c r="AO7" s="59" t="s">
        <v>238</v>
      </c>
      <c r="AP7" s="59" t="s">
        <v>3</v>
      </c>
    </row>
    <row r="8" spans="1:43" ht="15.75" thickBot="1">
      <c r="A8" s="248">
        <v>2</v>
      </c>
      <c r="B8" s="93" t="s">
        <v>2203</v>
      </c>
      <c r="C8" s="183" t="s">
        <v>909</v>
      </c>
      <c r="D8" s="28" t="str">
        <f>IF(AND(E8&gt;=32,E8&lt;=126),CHAR(E8),".")</f>
        <v>C</v>
      </c>
      <c r="E8" s="29">
        <f>HEX2DEC(C8)</f>
        <v>67</v>
      </c>
      <c r="G8" s="159" t="s">
        <v>1121</v>
      </c>
      <c r="H8" s="160">
        <v>0</v>
      </c>
      <c r="K8" s="76"/>
      <c r="L8" s="48" t="str">
        <f>IF(UPPER(P8)="EQU","E",IF(P8="DB","D",IF(O8&lt;&gt;"","L",IF(N8="","F",""))))</f>
        <v/>
      </c>
      <c r="M8" s="32" t="str">
        <f t="shared" ref="M8:M27" si="10">IFERROR(RIGHT("0000"&amp;DEC2HEX(N8),4),"")</f>
        <v>0100</v>
      </c>
      <c r="N8" s="63">
        <f>I13</f>
        <v>256</v>
      </c>
      <c r="O8" s="230"/>
      <c r="P8" s="223" t="s">
        <v>1015</v>
      </c>
      <c r="Q8" s="224" t="s">
        <v>2445</v>
      </c>
      <c r="R8" s="89"/>
      <c r="S8" s="138" cm="1">
        <f t="array" ref="S8">IF(P8="",0,IF(OR(O8=";",P8="EQU",P8="ORG"),0,HlpGetInstructionSize(P8,Q8,R8,$AC$12)))</f>
        <v>0</v>
      </c>
      <c r="V8" s="41"/>
      <c r="W8" s="44"/>
      <c r="X8" s="51"/>
      <c r="Y8" s="52"/>
      <c r="AO8" s="6" t="s">
        <v>239</v>
      </c>
      <c r="AP8" s="6" t="s">
        <v>296</v>
      </c>
    </row>
    <row r="9" spans="1:43" ht="15.75" thickBot="1">
      <c r="A9" s="249">
        <v>5</v>
      </c>
      <c r="B9" s="184" t="s">
        <v>2204</v>
      </c>
      <c r="C9" s="185" t="s">
        <v>894</v>
      </c>
      <c r="D9" s="30" t="s">
        <v>2205</v>
      </c>
      <c r="E9" s="31">
        <v>0</v>
      </c>
      <c r="G9" s="165" t="s">
        <v>1120</v>
      </c>
      <c r="H9" s="166">
        <v>1</v>
      </c>
      <c r="K9" s="76"/>
      <c r="L9" s="48" t="str">
        <f>IF(UPPER(P9)="EQU","E",IF(P9="DB","D",IF(O9&lt;&gt;"","L",IF(N9="","F",""))))</f>
        <v/>
      </c>
      <c r="M9" s="32" t="str">
        <f t="shared" si="10"/>
        <v>0100</v>
      </c>
      <c r="N9" s="63">
        <f>N8+S8</f>
        <v>256</v>
      </c>
      <c r="O9" s="230"/>
      <c r="P9" s="223" t="s">
        <v>864</v>
      </c>
      <c r="Q9" s="224" t="s">
        <v>2459</v>
      </c>
      <c r="R9" s="89"/>
      <c r="S9" s="139" cm="1">
        <f t="array" ref="S9">IF(P9="",0,IF(OR(O9=";",P9="EQU",P9="ORG"),0,HlpGetInstructionSize(P9,Q9,R9,$AC$12)))</f>
        <v>2</v>
      </c>
      <c r="V9" s="42"/>
      <c r="W9" s="16"/>
      <c r="X9" s="28"/>
      <c r="Y9" s="29"/>
      <c r="AB9" s="7" t="s">
        <v>132</v>
      </c>
      <c r="AC9" s="113" t="str">
        <f>DEC2HEX(AC10)</f>
        <v>0</v>
      </c>
      <c r="AD9" s="109">
        <f>1-AD5</f>
        <v>0</v>
      </c>
      <c r="AE9" s="109">
        <f t="shared" ref="AE9:AK9" si="11">1-AE5</f>
        <v>0</v>
      </c>
      <c r="AF9" s="109">
        <f t="shared" si="11"/>
        <v>0</v>
      </c>
      <c r="AG9" s="109">
        <f t="shared" si="11"/>
        <v>0</v>
      </c>
      <c r="AH9" s="109">
        <f t="shared" si="11"/>
        <v>0</v>
      </c>
      <c r="AI9" s="109">
        <f t="shared" si="11"/>
        <v>0</v>
      </c>
      <c r="AJ9" s="109">
        <f t="shared" si="11"/>
        <v>0</v>
      </c>
      <c r="AK9" s="110">
        <f t="shared" si="11"/>
        <v>0</v>
      </c>
      <c r="AO9" s="6" t="s">
        <v>240</v>
      </c>
      <c r="AP9" s="6" t="s">
        <v>297</v>
      </c>
    </row>
    <row r="10" spans="1:43" ht="15.75" thickBot="1">
      <c r="A10" s="250">
        <v>7</v>
      </c>
      <c r="B10" s="22" t="s">
        <v>112</v>
      </c>
      <c r="C10" s="38" t="s">
        <v>2466</v>
      </c>
      <c r="D10" s="28" t="str">
        <f t="shared" ref="D10:D11" si="12">IF(AND(E10&gt;=32,E10&lt;=126),CHAR(E10),".")</f>
        <v>.</v>
      </c>
      <c r="E10" s="29">
        <f t="shared" ref="E10:E11" si="13">HEX2DEC(C10)</f>
        <v>2105</v>
      </c>
      <c r="K10" s="76"/>
      <c r="L10" s="48" t="str">
        <f t="shared" ref="L10:L72" si="14">IF(UPPER(P10)="EQU","E",IF(P10="DB","D",IF(O10&lt;&gt;"","L",IF(N10="","F",""))))</f>
        <v/>
      </c>
      <c r="M10" s="32" t="str">
        <f t="shared" si="10"/>
        <v>0102</v>
      </c>
      <c r="N10" s="63">
        <f t="shared" ref="N10:N73" si="15">N9+S9</f>
        <v>258</v>
      </c>
      <c r="O10" s="230"/>
      <c r="P10" s="223" t="s">
        <v>863</v>
      </c>
      <c r="Q10" s="224" t="s">
        <v>2446</v>
      </c>
      <c r="R10" s="89"/>
      <c r="S10" s="139" t="e" cm="1">
        <f t="array" ref="S10">IF(P10="",0,IF(OR(O10=";",P10="EQU",P10="ORG"),0,HlpGetInstructionSize(P10,Q10,R10,$AC$12)))</f>
        <v>#VALUE!</v>
      </c>
      <c r="T10" t="str" cm="1">
        <f t="array" ref="T10">DEC2HEX(getMem(Q10))</f>
        <v>0</v>
      </c>
      <c r="V10" s="42"/>
      <c r="W10" s="16"/>
      <c r="X10" s="28"/>
      <c r="Y10" s="29"/>
      <c r="AB10" s="8" t="s">
        <v>398</v>
      </c>
      <c r="AC10" s="114">
        <f>SUM(AD10:AK10)</f>
        <v>0</v>
      </c>
      <c r="AD10" s="111">
        <f t="shared" ref="AD10" si="16">AD9*AD6</f>
        <v>0</v>
      </c>
      <c r="AE10" s="111">
        <f t="shared" ref="AE10" si="17">AE9*AE6</f>
        <v>0</v>
      </c>
      <c r="AF10" s="111">
        <f t="shared" ref="AF10" si="18">AF9*AF6</f>
        <v>0</v>
      </c>
      <c r="AG10" s="111">
        <f t="shared" ref="AG10" si="19">AG9*AG6</f>
        <v>0</v>
      </c>
      <c r="AH10" s="111">
        <f t="shared" ref="AH10" si="20">AH9*AH6</f>
        <v>0</v>
      </c>
      <c r="AI10" s="111">
        <f t="shared" ref="AI10" si="21">AI9*AI6</f>
        <v>0</v>
      </c>
      <c r="AJ10" s="111">
        <f t="shared" ref="AJ10" si="22">AJ9*AJ6</f>
        <v>0</v>
      </c>
      <c r="AK10" s="112">
        <f t="shared" ref="AK10" si="23">AK9*AK6</f>
        <v>0</v>
      </c>
      <c r="AO10" s="6" t="s">
        <v>243</v>
      </c>
      <c r="AP10" s="6" t="s">
        <v>298</v>
      </c>
    </row>
    <row r="11" spans="1:43" ht="15.75" thickBot="1">
      <c r="A11" s="251">
        <v>8</v>
      </c>
      <c r="B11" s="23" t="s">
        <v>114</v>
      </c>
      <c r="C11" s="39" t="s">
        <v>1027</v>
      </c>
      <c r="D11" s="30" t="str">
        <f t="shared" si="12"/>
        <v>.</v>
      </c>
      <c r="E11" s="31">
        <f t="shared" si="13"/>
        <v>252</v>
      </c>
      <c r="K11" s="76"/>
      <c r="L11" s="48" t="e">
        <f t="shared" si="14"/>
        <v>#VALUE!</v>
      </c>
      <c r="M11" s="32" t="str">
        <f t="shared" si="10"/>
        <v/>
      </c>
      <c r="N11" s="63" t="e">
        <f t="shared" si="15"/>
        <v>#VALUE!</v>
      </c>
      <c r="O11" s="230"/>
      <c r="P11" s="223" t="s">
        <v>864</v>
      </c>
      <c r="Q11" s="224" t="s">
        <v>2460</v>
      </c>
      <c r="R11" s="89"/>
      <c r="S11" s="139" cm="1">
        <f t="array" ref="S11">IF(P11="",0,IF(OR(O11=";",P11="EQU",P11="ORG"),0,HlpGetInstructionSize(P11,Q11,R11,$AC$12)))</f>
        <v>2</v>
      </c>
      <c r="V11" s="42"/>
      <c r="W11" s="16"/>
      <c r="X11" s="28"/>
      <c r="Y11" s="29"/>
      <c r="AO11" s="6" t="s">
        <v>244</v>
      </c>
      <c r="AP11" s="6" t="s">
        <v>299</v>
      </c>
    </row>
    <row r="12" spans="1:43" ht="15.75" thickBot="1">
      <c r="A12" s="45"/>
      <c r="G12" s="65" t="s">
        <v>139</v>
      </c>
      <c r="H12" s="67" t="s">
        <v>2433</v>
      </c>
      <c r="I12" s="52">
        <f>HEX2DEC(StackStart)</f>
        <v>508</v>
      </c>
      <c r="K12" s="76"/>
      <c r="L12" s="48" t="e">
        <f>IF(UPPER(P12)="EQU","E",IF(P12="DB","D",IF(O12&lt;&gt;"","L",IF(N12="","F",""))))</f>
        <v>#VALUE!</v>
      </c>
      <c r="M12" s="32" t="str">
        <f t="shared" si="10"/>
        <v/>
      </c>
      <c r="N12" s="63" t="e">
        <f t="shared" si="15"/>
        <v>#VALUE!</v>
      </c>
      <c r="O12" s="230"/>
      <c r="P12" s="223" t="s">
        <v>863</v>
      </c>
      <c r="Q12" s="224" t="s">
        <v>2447</v>
      </c>
      <c r="R12" s="89"/>
      <c r="S12" s="139" t="e" cm="1">
        <f t="array" ref="S12">IF(P12="",0,IF(OR(O12=";",P12="EQU",P12="ORG"),0,HlpGetInstructionSize(P12,Q12,R12,$AC$12)))</f>
        <v>#VALUE!</v>
      </c>
      <c r="T12" t="str" cm="1">
        <f t="array" ref="T12">DEC2HEX(getMem(Q12))</f>
        <v>0</v>
      </c>
      <c r="V12" s="42"/>
      <c r="W12" s="16"/>
      <c r="X12" s="28"/>
      <c r="Y12" s="29"/>
      <c r="AB12" s="9" t="s">
        <v>1397</v>
      </c>
      <c r="AC12" s="186">
        <v>6510</v>
      </c>
      <c r="AO12" s="6" t="s">
        <v>241</v>
      </c>
      <c r="AP12" s="6" t="s">
        <v>242</v>
      </c>
    </row>
    <row r="13" spans="1:43" ht="15.75" thickBot="1">
      <c r="A13" s="246" t="s">
        <v>117</v>
      </c>
      <c r="B13" s="243" t="s">
        <v>217</v>
      </c>
      <c r="C13" s="164" t="s">
        <v>118</v>
      </c>
      <c r="G13" s="66" t="s">
        <v>178</v>
      </c>
      <c r="H13" s="155">
        <v>100</v>
      </c>
      <c r="I13" s="29">
        <f>HEX2DEC(H13)</f>
        <v>256</v>
      </c>
      <c r="K13" s="76"/>
      <c r="L13" s="48" t="e">
        <f>IF(UPPER(P13)="EQU","E",IF(P13="DB","D",IF(O13&lt;&gt;"","L",IF(N13="","F",""))))</f>
        <v>#VALUE!</v>
      </c>
      <c r="M13" s="32" t="str">
        <f t="shared" si="10"/>
        <v/>
      </c>
      <c r="N13" s="63" t="e">
        <f t="shared" si="15"/>
        <v>#VALUE!</v>
      </c>
      <c r="O13" s="230"/>
      <c r="P13" s="223" t="s">
        <v>864</v>
      </c>
      <c r="Q13" s="224" t="s">
        <v>2461</v>
      </c>
      <c r="R13" s="89"/>
      <c r="S13" s="139" cm="1">
        <f t="array" ref="S13">IF(P13="",0,IF(OR(O13=";",P13="EQU",P13="ORG"),0,HlpGetInstructionSize(P13,Q13,R13,$AC$12)))</f>
        <v>2</v>
      </c>
      <c r="V13" s="42"/>
      <c r="W13" s="16"/>
      <c r="X13" s="28"/>
      <c r="Y13" s="29"/>
      <c r="AK13" s="167" t="s">
        <v>486</v>
      </c>
      <c r="AL13" s="47" t="s">
        <v>876</v>
      </c>
      <c r="AM13" s="62" t="s">
        <v>398</v>
      </c>
      <c r="AN13" s="62" t="s">
        <v>133</v>
      </c>
    </row>
    <row r="14" spans="1:43" ht="15.75" thickBot="1">
      <c r="A14" s="247" t="s">
        <v>1133</v>
      </c>
      <c r="B14" s="44" t="s">
        <v>2390</v>
      </c>
      <c r="C14" s="244">
        <v>0</v>
      </c>
      <c r="G14" s="8" t="s">
        <v>179</v>
      </c>
      <c r="H14" s="68">
        <v>200</v>
      </c>
      <c r="I14" s="31">
        <f>HEX2DEC(H14)</f>
        <v>512</v>
      </c>
      <c r="K14" s="76"/>
      <c r="L14" s="48" t="e">
        <f t="shared" si="14"/>
        <v>#VALUE!</v>
      </c>
      <c r="M14" s="32" t="str">
        <f t="shared" si="10"/>
        <v/>
      </c>
      <c r="N14" s="63" t="e">
        <f t="shared" si="15"/>
        <v>#VALUE!</v>
      </c>
      <c r="O14" s="230"/>
      <c r="P14" s="223" t="s">
        <v>863</v>
      </c>
      <c r="Q14" s="224" t="s">
        <v>2454</v>
      </c>
      <c r="R14" s="89"/>
      <c r="S14" s="139" t="e" cm="1">
        <f t="array" ref="S14">IF(P14="",0,IF(OR(O14=";",P14="EQU",P14="ORG"),0,HlpGetInstructionSize(P14,Q14,R14,$AC$12)))</f>
        <v>#VALUE!</v>
      </c>
      <c r="T14" t="str" cm="1">
        <f t="array" ref="T14">DEC2HEX(getMem(Q14))</f>
        <v>0</v>
      </c>
      <c r="V14" s="42"/>
      <c r="W14" s="16"/>
      <c r="X14" s="28"/>
      <c r="Y14" s="29"/>
      <c r="AA14" s="9" t="s">
        <v>398</v>
      </c>
      <c r="AB14" s="10" t="s">
        <v>494</v>
      </c>
      <c r="AC14" s="11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K14" s="48">
        <f>(SUMPRODUCT(AK15:AK1070,AA15:AA1070))+SUMPRODUCT(AC13:AJ13,AC14:AJ14)</f>
        <v>0</v>
      </c>
      <c r="AL14" s="48" t="str" cm="1">
        <f t="array" ref="AL14">IFERROR(IF(CPUMode=6510,VLOOKUP(INDEX(MemoryTable,_xlfn.XMATCH(1,$AK$15:$AK$1070),_xlfn.XMATCH(1,$AC$13:$AJ$13)),'6510 Hex Reference'!$A:$F,2,0),VLOOKUP(INDEX(MemoryTable,_xlfn.XMATCH(1,$AK$15:$AK$1070),_xlfn.XMATCH(1,$AC$13:$AJ$13)),'8080 Op to Hex'!$B:$I,8,0)),"")</f>
        <v/>
      </c>
      <c r="AM14" s="48" t="str">
        <f>IFERROR(HEX2DEC(INDEX(MemoryTable,_xlfn.XMATCH(1,$AK$15:$AK$1070),_xlfn.XMATCH(1,$AC$13:$AJ$13))),"")</f>
        <v/>
      </c>
      <c r="AN14" s="48" t="e">
        <f>CHAR(AM14)</f>
        <v>#VALUE!</v>
      </c>
    </row>
    <row r="15" spans="1:43" ht="15.75" thickBot="1">
      <c r="A15" s="248" t="s">
        <v>2471</v>
      </c>
      <c r="B15" s="16" t="s">
        <v>2206</v>
      </c>
      <c r="C15" s="18">
        <v>0</v>
      </c>
      <c r="G15" s="8" t="s">
        <v>203</v>
      </c>
      <c r="H15" s="30" t="str">
        <f>DEC2HEX(I15)</f>
        <v>300</v>
      </c>
      <c r="I15" s="31">
        <f>I13+I14</f>
        <v>768</v>
      </c>
      <c r="K15" s="76"/>
      <c r="L15" s="48" t="e">
        <f t="shared" si="14"/>
        <v>#VALUE!</v>
      </c>
      <c r="M15" s="32" t="str">
        <f t="shared" si="10"/>
        <v/>
      </c>
      <c r="N15" s="63" t="e">
        <f t="shared" si="15"/>
        <v>#VALUE!</v>
      </c>
      <c r="O15" s="86"/>
      <c r="P15" s="223" t="s">
        <v>864</v>
      </c>
      <c r="Q15" s="89" t="s">
        <v>2462</v>
      </c>
      <c r="R15" s="89"/>
      <c r="S15" s="139" cm="1">
        <f t="array" ref="S15">IF(P15="",0,IF(OR(O15=";",P15="EQU",P15="ORG"),0,HlpGetInstructionSize(P15,Q15,R15,$AC$12)))</f>
        <v>2</v>
      </c>
      <c r="V15" s="42"/>
      <c r="W15" s="16"/>
      <c r="X15" s="28"/>
      <c r="Y15" s="29"/>
      <c r="AA15" s="118">
        <v>256</v>
      </c>
      <c r="AB15" s="117" t="str" cm="1">
        <f t="array" ref="AB15">IF(AC15&lt;&gt;"",usrHexToAscii(AC15)&amp;usrHexToAscii(AD15)&amp;usrHexToAscii(AE15)&amp;usrHexToAscii(AF15)&amp;usrHexToAscii(AG15)&amp;usrHexToAscii(AH15)&amp;usrHexToAscii(AI15)&amp;usrHexToAscii(AJ15),"")</f>
        <v>&gt;.12345.</v>
      </c>
      <c r="AC15" s="125" t="s">
        <v>568</v>
      </c>
      <c r="AD15" s="126" t="s">
        <v>215</v>
      </c>
      <c r="AE15" s="126" t="s">
        <v>900</v>
      </c>
      <c r="AF15" s="126" t="s">
        <v>901</v>
      </c>
      <c r="AG15" s="126" t="s">
        <v>394</v>
      </c>
      <c r="AH15" s="126" t="s">
        <v>459</v>
      </c>
      <c r="AI15" s="126" t="s">
        <v>902</v>
      </c>
      <c r="AJ15" s="127" t="s">
        <v>215</v>
      </c>
    </row>
    <row r="16" spans="1:43" ht="15.75" thickBot="1">
      <c r="A16" s="248" t="s">
        <v>2472</v>
      </c>
      <c r="B16" s="16" t="s">
        <v>188</v>
      </c>
      <c r="C16" s="18">
        <v>1</v>
      </c>
      <c r="K16" s="76"/>
      <c r="L16" s="48" t="e">
        <f t="shared" si="14"/>
        <v>#VALUE!</v>
      </c>
      <c r="M16" s="32" t="str">
        <f t="shared" si="10"/>
        <v/>
      </c>
      <c r="N16" s="63" t="e">
        <f t="shared" si="15"/>
        <v>#VALUE!</v>
      </c>
      <c r="O16" s="86"/>
      <c r="P16" s="223" t="s">
        <v>863</v>
      </c>
      <c r="Q16" s="89" t="s">
        <v>2450</v>
      </c>
      <c r="R16" s="89"/>
      <c r="S16" s="139" t="e" cm="1">
        <f t="array" ref="S16">IF(P16="",0,IF(OR(O16=";",P16="EQU",P16="ORG"),0,HlpGetInstructionSize(P16,Q16,R16,$AC$12)))</f>
        <v>#VALUE!</v>
      </c>
      <c r="T16" t="str" cm="1">
        <f t="array" ref="T16">DEC2HEX(getMem(Q16))</f>
        <v>0</v>
      </c>
      <c r="V16" s="42"/>
      <c r="W16" s="16"/>
      <c r="X16" s="28"/>
      <c r="Y16" s="29"/>
      <c r="AA16" s="66">
        <v>264</v>
      </c>
      <c r="AB16" s="117" t="str" cm="1">
        <f t="array" ref="AB16">IF(AC16&lt;&gt;"",usrHexToAscii(AC16)&amp;usrHexToAscii(AD16)&amp;usrHexToAscii(AE16)&amp;usrHexToAscii(AF16)&amp;usrHexToAscii(AG16)&amp;usrHexToAscii(AH16)&amp;usrHexToAscii(AI16)&amp;usrHexToAscii(AJ16),"")</f>
        <v>!...6789</v>
      </c>
      <c r="AC16" s="128" t="s">
        <v>891</v>
      </c>
      <c r="AD16" s="129" t="s">
        <v>878</v>
      </c>
      <c r="AE16" s="129" t="s">
        <v>295</v>
      </c>
      <c r="AF16" s="129" t="s">
        <v>883</v>
      </c>
      <c r="AG16" s="129" t="s">
        <v>903</v>
      </c>
      <c r="AH16" s="129" t="s">
        <v>904</v>
      </c>
      <c r="AI16" s="129" t="s">
        <v>905</v>
      </c>
      <c r="AJ16" s="130" t="s">
        <v>906</v>
      </c>
      <c r="AM16" t="s">
        <v>869</v>
      </c>
    </row>
    <row r="17" spans="1:40">
      <c r="A17" s="248" t="s">
        <v>144</v>
      </c>
      <c r="B17" s="16" t="s">
        <v>2207</v>
      </c>
      <c r="C17" s="18">
        <v>0</v>
      </c>
      <c r="G17" s="163" t="s">
        <v>1162</v>
      </c>
      <c r="H17" s="164">
        <v>1000</v>
      </c>
      <c r="K17" s="76"/>
      <c r="L17" s="48" t="e">
        <f t="shared" si="14"/>
        <v>#VALUE!</v>
      </c>
      <c r="M17" s="32" t="str">
        <f t="shared" si="10"/>
        <v/>
      </c>
      <c r="N17" s="63" t="e">
        <f t="shared" si="15"/>
        <v>#VALUE!</v>
      </c>
      <c r="O17" s="86"/>
      <c r="P17" s="223" t="s">
        <v>864</v>
      </c>
      <c r="Q17" s="89" t="s">
        <v>2463</v>
      </c>
      <c r="R17" s="89"/>
      <c r="S17" s="139" cm="1">
        <f t="array" ref="S17">IF(P17="",0,IF(OR(O17=";",P17="EQU",P17="ORG"),0,HlpGetInstructionSize(P17,Q17,R17,$AC$12)))</f>
        <v>2</v>
      </c>
      <c r="V17" s="42"/>
      <c r="W17" s="16"/>
      <c r="X17" s="28"/>
      <c r="Y17" s="29"/>
      <c r="AA17" s="66">
        <v>272</v>
      </c>
      <c r="AB17" s="117" t="str" cm="1">
        <f t="array" ref="AB17">IF(AC17&lt;&gt;"",usrHexToAscii(AC17)&amp;usrHexToAscii(AD17)&amp;usrHexToAscii(AE17)&amp;usrHexToAscii(AF17)&amp;usrHexToAscii(AG17)&amp;usrHexToAscii(AH17)&amp;usrHexToAscii(AI17)&amp;usrHexToAscii(AJ17),"")</f>
        <v>0.&gt;.!...</v>
      </c>
      <c r="AC17" s="128" t="s">
        <v>899</v>
      </c>
      <c r="AD17" s="129" t="s">
        <v>215</v>
      </c>
      <c r="AE17" s="129" t="s">
        <v>568</v>
      </c>
      <c r="AF17" s="129" t="s">
        <v>364</v>
      </c>
      <c r="AG17" s="129" t="s">
        <v>891</v>
      </c>
      <c r="AH17" s="129" t="s">
        <v>508</v>
      </c>
      <c r="AI17" s="129" t="s">
        <v>295</v>
      </c>
      <c r="AJ17" s="130" t="s">
        <v>883</v>
      </c>
      <c r="AM17" t="s">
        <v>140</v>
      </c>
      <c r="AN17" t="s">
        <v>1165</v>
      </c>
    </row>
    <row r="18" spans="1:40" ht="15.75" thickBot="1">
      <c r="A18" s="248" t="s">
        <v>183</v>
      </c>
      <c r="B18" s="16" t="s">
        <v>134</v>
      </c>
      <c r="C18" s="18">
        <v>0</v>
      </c>
      <c r="G18" s="165" t="s">
        <v>1172</v>
      </c>
      <c r="H18" s="166">
        <v>0</v>
      </c>
      <c r="K18" s="76"/>
      <c r="L18" s="48" t="e">
        <f t="shared" si="14"/>
        <v>#VALUE!</v>
      </c>
      <c r="M18" s="32" t="str">
        <f t="shared" si="10"/>
        <v/>
      </c>
      <c r="N18" s="63" t="e">
        <f t="shared" si="15"/>
        <v>#VALUE!</v>
      </c>
      <c r="O18" s="86"/>
      <c r="P18" s="223" t="s">
        <v>863</v>
      </c>
      <c r="Q18" s="89" t="s">
        <v>2453</v>
      </c>
      <c r="R18" s="89"/>
      <c r="S18" s="139" t="e" cm="1">
        <f t="array" ref="S18">IF(P18="",0,IF(OR(O18=";",P18="EQU",P18="ORG"),0,HlpGetInstructionSize(P18,Q18,R18,$AC$12)))</f>
        <v>#VALUE!</v>
      </c>
      <c r="T18" t="str" cm="1">
        <f t="array" ref="T18">DEC2HEX(getMem(Q18))</f>
        <v>0</v>
      </c>
      <c r="V18" s="42"/>
      <c r="W18" s="16"/>
      <c r="X18" s="28"/>
      <c r="Y18" s="29"/>
      <c r="AA18" s="66">
        <v>280</v>
      </c>
      <c r="AB18" s="117" t="str" cm="1">
        <f t="array" ref="AB18">IF(AC18&lt;&gt;"",usrHexToAscii(AC18)&amp;usrHexToAscii(AD18)&amp;usrHexToAscii(AE18)&amp;usrHexToAscii(AF18)&amp;usrHexToAscii(AG18)&amp;usrHexToAscii(AH18)&amp;usrHexToAscii(AI18)&amp;usrHexToAscii(AJ18),"")</f>
        <v>&gt;.ABCDE.</v>
      </c>
      <c r="AC18" s="128" t="s">
        <v>568</v>
      </c>
      <c r="AD18" s="129" t="s">
        <v>878</v>
      </c>
      <c r="AE18" s="129" t="s">
        <v>908</v>
      </c>
      <c r="AF18" s="129" t="s">
        <v>482</v>
      </c>
      <c r="AG18" s="129" t="s">
        <v>909</v>
      </c>
      <c r="AH18" s="129" t="s">
        <v>910</v>
      </c>
      <c r="AI18" s="129" t="s">
        <v>911</v>
      </c>
      <c r="AJ18" s="130" t="s">
        <v>215</v>
      </c>
      <c r="AM18" t="s">
        <v>425</v>
      </c>
      <c r="AN18" t="s">
        <v>1166</v>
      </c>
    </row>
    <row r="19" spans="1:40" ht="15.75" thickBot="1">
      <c r="A19" s="248" t="s">
        <v>1655</v>
      </c>
      <c r="B19" s="16" t="s">
        <v>2208</v>
      </c>
      <c r="C19" s="18">
        <v>1</v>
      </c>
      <c r="K19" s="76"/>
      <c r="L19" s="48" t="e">
        <f t="shared" si="14"/>
        <v>#VALUE!</v>
      </c>
      <c r="M19" s="32" t="str">
        <f t="shared" si="10"/>
        <v/>
      </c>
      <c r="N19" s="63" t="e">
        <f t="shared" si="15"/>
        <v>#VALUE!</v>
      </c>
      <c r="O19" s="86"/>
      <c r="P19" s="223" t="s">
        <v>864</v>
      </c>
      <c r="Q19" s="89" t="s">
        <v>2446</v>
      </c>
      <c r="R19" s="89"/>
      <c r="S19" s="139" t="e" cm="1">
        <f t="array" ref="S19">IF(P19="",0,IF(OR(O19=";",P19="EQU",P19="ORG"),0,HlpGetInstructionSize(P19,Q19,R19,$AC$12)))</f>
        <v>#VALUE!</v>
      </c>
      <c r="V19" s="42"/>
      <c r="W19" s="16"/>
      <c r="X19" s="28"/>
      <c r="Y19" s="29"/>
      <c r="AA19" s="66">
        <v>288</v>
      </c>
      <c r="AB19" s="117" t="str" cm="1">
        <f t="array" ref="AB19">IF(AC19&lt;&gt;"",usrHexToAscii(AC19)&amp;usrHexToAscii(AD19)&amp;usrHexToAscii(AE19)&amp;usrHexToAscii(AF19)&amp;usrHexToAscii(AG19)&amp;usrHexToAscii(AH19)&amp;usrHexToAscii(AI19)&amp;usrHexToAscii(AJ19),"")</f>
        <v>!...8</v>
      </c>
      <c r="AC19" s="128" t="s">
        <v>891</v>
      </c>
      <c r="AD19" s="129" t="s">
        <v>474</v>
      </c>
      <c r="AE19" s="129" t="s">
        <v>295</v>
      </c>
      <c r="AF19" s="129" t="s">
        <v>883</v>
      </c>
      <c r="AG19" s="129" t="s">
        <v>905</v>
      </c>
      <c r="AH19" s="129"/>
      <c r="AI19" s="129"/>
      <c r="AJ19" s="130"/>
      <c r="AM19" t="s">
        <v>1025</v>
      </c>
      <c r="AN19" t="s">
        <v>1167</v>
      </c>
    </row>
    <row r="20" spans="1:40" ht="15.75" thickBot="1">
      <c r="A20" s="248" t="s">
        <v>219</v>
      </c>
      <c r="B20" s="16" t="s">
        <v>119</v>
      </c>
      <c r="C20" s="18">
        <v>0</v>
      </c>
      <c r="G20" s="217" t="s">
        <v>2391</v>
      </c>
      <c r="H20" s="218">
        <v>1</v>
      </c>
      <c r="K20" s="76"/>
      <c r="L20" s="48" t="e">
        <f>IF(UPPER(P20)="EQU","E",IF(P20="DB","D",IF(O20&lt;&gt;"","L",IF(N20="","F",""))))</f>
        <v>#VALUE!</v>
      </c>
      <c r="M20" s="32" t="str">
        <f t="shared" si="10"/>
        <v/>
      </c>
      <c r="N20" s="63" t="e">
        <f t="shared" si="15"/>
        <v>#VALUE!</v>
      </c>
      <c r="O20" s="86"/>
      <c r="P20" s="223" t="s">
        <v>863</v>
      </c>
      <c r="Q20" s="89" t="s">
        <v>2456</v>
      </c>
      <c r="R20" s="89"/>
      <c r="S20" s="139" t="e" cm="1">
        <f t="array" ref="S20">IF(P20="",0,IF(OR(O20=";",P20="EQU",P20="ORG"),0,HlpGetInstructionSize(P20,Q20,R20,$AC$12)))</f>
        <v>#VALUE!</v>
      </c>
      <c r="T20" t="str" cm="1">
        <f t="array" ref="T20">DEC2HEX(getMem(Q20))</f>
        <v>0</v>
      </c>
      <c r="V20" s="42"/>
      <c r="W20" s="16"/>
      <c r="X20" s="28"/>
      <c r="Y20" s="29"/>
      <c r="AA20" s="66"/>
      <c r="AB20" s="117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28"/>
      <c r="AD20" s="129"/>
      <c r="AE20" s="129"/>
      <c r="AF20" s="129"/>
      <c r="AG20" s="129"/>
      <c r="AH20" s="129"/>
      <c r="AI20" s="129"/>
      <c r="AJ20" s="130"/>
      <c r="AM20" t="s">
        <v>1027</v>
      </c>
      <c r="AN20" t="s">
        <v>1168</v>
      </c>
    </row>
    <row r="21" spans="1:40" ht="15.75" thickBot="1">
      <c r="A21" s="249" t="s">
        <v>182</v>
      </c>
      <c r="B21" s="245" t="s">
        <v>115</v>
      </c>
      <c r="C21" s="19">
        <v>1</v>
      </c>
      <c r="K21" s="76"/>
      <c r="L21" s="48" t="e">
        <f t="shared" si="14"/>
        <v>#VALUE!</v>
      </c>
      <c r="M21" s="32" t="str">
        <f t="shared" si="10"/>
        <v/>
      </c>
      <c r="N21" s="63" t="e">
        <f t="shared" si="15"/>
        <v>#VALUE!</v>
      </c>
      <c r="O21" s="86"/>
      <c r="P21" s="223" t="s">
        <v>2284</v>
      </c>
      <c r="Q21" s="89" t="s">
        <v>2458</v>
      </c>
      <c r="R21" s="89"/>
      <c r="S21" s="139" cm="1">
        <f t="array" ref="S21">IF(P21="",0,IF(OR(O21=";",P21="EQU",P21="ORG"),0,HlpGetInstructionSize(P21,Q21,R21,$AC$12)))</f>
        <v>2</v>
      </c>
      <c r="V21" s="42"/>
      <c r="W21" s="16"/>
      <c r="X21" s="28"/>
      <c r="Y21" s="29"/>
      <c r="AA21" s="66"/>
      <c r="AB21" s="117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28"/>
      <c r="AD21" s="129"/>
      <c r="AE21" s="129"/>
      <c r="AF21" s="129"/>
      <c r="AG21" s="129"/>
      <c r="AH21" s="129"/>
      <c r="AI21" s="129"/>
      <c r="AJ21" s="130"/>
      <c r="AK21">
        <v>1</v>
      </c>
      <c r="AM21" t="s">
        <v>1042</v>
      </c>
      <c r="AN21" t="s">
        <v>1040</v>
      </c>
    </row>
    <row r="22" spans="1:40">
      <c r="K22" s="76"/>
      <c r="L22" s="48" t="str">
        <f>IF(UPPER(P22)="EQU","E",IF(P22="DB","D",IF(O22&lt;&gt;"","L",IF(N22="","F",""))))</f>
        <v>L</v>
      </c>
      <c r="M22" s="32" t="str">
        <f t="shared" si="10"/>
        <v/>
      </c>
      <c r="N22" s="63" t="e">
        <f t="shared" si="15"/>
        <v>#VALUE!</v>
      </c>
      <c r="O22" s="86" t="s">
        <v>1017</v>
      </c>
      <c r="P22" s="223" t="s">
        <v>864</v>
      </c>
      <c r="Q22" s="89" t="s">
        <v>2447</v>
      </c>
      <c r="R22" s="89" t="s">
        <v>2346</v>
      </c>
      <c r="S22" s="139" t="e" cm="1">
        <f t="array" ref="S22">IF(P22="",0,IF(OR(O22=";",P22="EQU",P22="ORG"),0,HlpGetInstructionSize(P22,Q22,R22,$AC$12)))</f>
        <v>#VALUE!</v>
      </c>
      <c r="V22" s="42"/>
      <c r="W22" s="16"/>
      <c r="X22" s="28"/>
      <c r="Y22" s="29"/>
      <c r="AA22" s="66"/>
      <c r="AB22" s="117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28"/>
      <c r="AD22" s="129"/>
      <c r="AE22" s="129"/>
      <c r="AF22" s="129"/>
      <c r="AG22" s="129"/>
      <c r="AH22" s="129"/>
      <c r="AI22" s="129"/>
      <c r="AJ22" s="130"/>
      <c r="AM22" t="s">
        <v>974</v>
      </c>
      <c r="AN22" t="s">
        <v>1169</v>
      </c>
    </row>
    <row r="23" spans="1:40">
      <c r="K23" s="76"/>
      <c r="L23" s="48" t="e">
        <f t="shared" si="14"/>
        <v>#VALUE!</v>
      </c>
      <c r="M23" s="32" t="str">
        <f t="shared" si="10"/>
        <v/>
      </c>
      <c r="N23" s="63" t="e">
        <f t="shared" si="15"/>
        <v>#VALUE!</v>
      </c>
      <c r="O23" s="86"/>
      <c r="P23" s="223" t="s">
        <v>863</v>
      </c>
      <c r="Q23" s="89" t="s">
        <v>2446</v>
      </c>
      <c r="R23" s="89" t="s">
        <v>2346</v>
      </c>
      <c r="S23" s="139" t="e" cm="1">
        <f t="array" ref="S23">IF(P23="",0,IF(OR(O23=";",P23="EQU",P23="ORG"),0,HlpGetInstructionSize(P23,Q23,R23,$AC$12)))</f>
        <v>#VALUE!</v>
      </c>
      <c r="V23" s="42"/>
      <c r="W23" s="16"/>
      <c r="X23" s="28"/>
      <c r="Y23" s="29"/>
      <c r="AA23" s="66"/>
      <c r="AB23" s="117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28"/>
      <c r="AD23" s="129"/>
      <c r="AE23" s="129"/>
      <c r="AF23" s="129"/>
      <c r="AG23" s="129"/>
      <c r="AH23" s="129"/>
      <c r="AI23" s="129"/>
      <c r="AJ23" s="130"/>
    </row>
    <row r="24" spans="1:40">
      <c r="K24" s="76"/>
      <c r="L24" s="48" t="e">
        <f t="shared" si="14"/>
        <v>#VALUE!</v>
      </c>
      <c r="M24" s="32" t="str">
        <f t="shared" si="10"/>
        <v/>
      </c>
      <c r="N24" s="63" t="e">
        <f t="shared" si="15"/>
        <v>#VALUE!</v>
      </c>
      <c r="O24" s="86"/>
      <c r="P24" s="223" t="s">
        <v>461</v>
      </c>
      <c r="Q24" s="89"/>
      <c r="R24" s="89"/>
      <c r="S24" s="139" cm="1">
        <f t="array" ref="S24">IF(P24="",0,IF(OR(O24=";",P24="EQU",P24="ORG"),0,HlpGetInstructionSize(P24,Q24,R24,$AC$12)))</f>
        <v>1</v>
      </c>
      <c r="V24" s="42"/>
      <c r="W24" s="16"/>
      <c r="X24" s="28"/>
      <c r="Y24" s="29"/>
      <c r="AA24" s="66"/>
      <c r="AB24" s="117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28"/>
      <c r="AD24" s="129"/>
      <c r="AE24" s="129"/>
      <c r="AF24" s="129"/>
      <c r="AG24" s="129"/>
      <c r="AH24" s="129"/>
      <c r="AI24" s="129"/>
      <c r="AJ24" s="130"/>
      <c r="AM24" t="s">
        <v>872</v>
      </c>
    </row>
    <row r="25" spans="1:40">
      <c r="K25" s="76"/>
      <c r="L25" s="48" t="e">
        <f t="shared" si="14"/>
        <v>#VALUE!</v>
      </c>
      <c r="M25" s="32" t="str">
        <f t="shared" si="10"/>
        <v/>
      </c>
      <c r="N25" s="63" t="e">
        <f t="shared" si="15"/>
        <v>#VALUE!</v>
      </c>
      <c r="O25" s="86"/>
      <c r="P25" s="223" t="s">
        <v>2265</v>
      </c>
      <c r="Q25" s="89" t="s">
        <v>2457</v>
      </c>
      <c r="R25" s="89"/>
      <c r="S25" s="139" cm="1">
        <f t="array" ref="S25">IF(P25="",0,IF(OR(O25=";",P25="EQU",P25="ORG"),0,HlpGetInstructionSize(P25,Q25,R25,$AC$12)))</f>
        <v>2</v>
      </c>
      <c r="V25" s="42"/>
      <c r="W25" s="16"/>
      <c r="X25" s="28"/>
      <c r="Y25" s="29"/>
      <c r="AA25" s="66"/>
      <c r="AB25" s="117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28"/>
      <c r="AD25" s="129"/>
      <c r="AE25" s="129"/>
      <c r="AF25" s="129"/>
      <c r="AG25" s="129"/>
      <c r="AH25" s="129"/>
      <c r="AI25" s="129"/>
      <c r="AJ25" s="130"/>
      <c r="AM25" t="s">
        <v>140</v>
      </c>
      <c r="AN25" t="s">
        <v>1163</v>
      </c>
    </row>
    <row r="26" spans="1:40">
      <c r="K26" s="76"/>
      <c r="L26" s="48" t="e">
        <f t="shared" si="14"/>
        <v>#VALUE!</v>
      </c>
      <c r="M26" s="32" t="str">
        <f t="shared" si="10"/>
        <v/>
      </c>
      <c r="N26" s="63" t="e">
        <f t="shared" si="15"/>
        <v>#VALUE!</v>
      </c>
      <c r="O26" s="86"/>
      <c r="P26" s="223" t="s">
        <v>2243</v>
      </c>
      <c r="Q26" s="89" t="s">
        <v>1017</v>
      </c>
      <c r="R26" s="89"/>
      <c r="S26" s="139" cm="1">
        <f t="array" ref="S26">IF(P26="",0,IF(OR(O26=";",P26="EQU",P26="ORG"),0,HlpGetInstructionSize(P26,Q26,R26,$AC$12)))</f>
        <v>2</v>
      </c>
      <c r="V26" s="42"/>
      <c r="W26" s="16"/>
      <c r="X26" s="28"/>
      <c r="Y26" s="29"/>
      <c r="AA26" s="66"/>
      <c r="AB26" s="117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28"/>
      <c r="AD26" s="129"/>
      <c r="AE26" s="129"/>
      <c r="AF26" s="129"/>
      <c r="AG26" s="129"/>
      <c r="AH26" s="129"/>
      <c r="AI26" s="129"/>
      <c r="AJ26" s="130"/>
      <c r="AM26" t="s">
        <v>425</v>
      </c>
      <c r="AN26" t="s">
        <v>1164</v>
      </c>
    </row>
    <row r="27" spans="1:40">
      <c r="K27" s="76"/>
      <c r="L27" s="48" t="e">
        <f>IF(UPPER(P27)="EQU","E",IF(P27="DB","D",IF(O27&lt;&gt;"","L",IF(N27="","F",""))))</f>
        <v>#VALUE!</v>
      </c>
      <c r="M27" s="32" t="str">
        <f t="shared" si="10"/>
        <v/>
      </c>
      <c r="N27" s="63" t="e">
        <f t="shared" si="15"/>
        <v>#VALUE!</v>
      </c>
      <c r="O27" s="86"/>
      <c r="P27" s="223" t="s">
        <v>864</v>
      </c>
      <c r="Q27" s="89" t="s">
        <v>2456</v>
      </c>
      <c r="R27" s="89"/>
      <c r="S27" s="139" t="e" cm="1">
        <f t="array" ref="S27">IF(P27="",0,IF(OR(O27=";",P27="EQU",P27="ORG"),0,HlpGetInstructionSize(P27,Q27,R27,$AC$12)))</f>
        <v>#VALUE!</v>
      </c>
      <c r="V27" s="42"/>
      <c r="W27" s="16"/>
      <c r="X27" s="28"/>
      <c r="Y27" s="29"/>
      <c r="AA27" s="66"/>
      <c r="AB27" s="117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28"/>
      <c r="AD27" s="129"/>
      <c r="AE27" s="129"/>
      <c r="AF27" s="129"/>
      <c r="AG27" s="129"/>
      <c r="AH27" s="129"/>
      <c r="AI27" s="129"/>
      <c r="AJ27" s="130"/>
    </row>
    <row r="28" spans="1:40">
      <c r="K28" s="76"/>
      <c r="L28" s="48" t="e">
        <f t="shared" si="14"/>
        <v>#VALUE!</v>
      </c>
      <c r="M28" s="32" t="str">
        <f t="shared" ref="M28" si="24">IFERROR(RIGHT("0000"&amp;DEC2HEX(N28),4),"")</f>
        <v/>
      </c>
      <c r="N28" s="63" t="e">
        <f t="shared" si="15"/>
        <v>#VALUE!</v>
      </c>
      <c r="O28" s="86"/>
      <c r="P28" s="223" t="s">
        <v>863</v>
      </c>
      <c r="Q28" s="89" t="s">
        <v>2453</v>
      </c>
      <c r="R28" s="89"/>
      <c r="S28" s="139" t="e" cm="1">
        <f t="array" ref="S28">IF(P28="",0,IF(OR(O28=";",P28="EQU",P28="ORG"),0,HlpGetInstructionSize(P28,Q28,R28,$AC$12)))</f>
        <v>#VALUE!</v>
      </c>
      <c r="V28" s="42"/>
      <c r="W28" s="16"/>
      <c r="X28" s="28"/>
      <c r="Y28" s="29"/>
      <c r="AA28" s="66"/>
      <c r="AB28" s="117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28"/>
      <c r="AD28" s="129"/>
      <c r="AE28" s="129"/>
      <c r="AF28" s="129"/>
      <c r="AG28" s="129"/>
      <c r="AH28" s="129"/>
      <c r="AI28" s="129"/>
      <c r="AJ28" s="130"/>
    </row>
    <row r="29" spans="1:40">
      <c r="K29" s="76"/>
      <c r="L29" s="48" t="e">
        <f t="shared" si="14"/>
        <v>#VALUE!</v>
      </c>
      <c r="M29" s="32" t="str">
        <f t="shared" ref="M29:M92" si="25">IFERROR(RIGHT("0000"&amp;DEC2HEX(N29),4),"")</f>
        <v/>
      </c>
      <c r="N29" s="63" t="e">
        <f t="shared" si="15"/>
        <v>#VALUE!</v>
      </c>
      <c r="O29" s="86"/>
      <c r="P29" s="223" t="s">
        <v>2284</v>
      </c>
      <c r="Q29" s="89" t="s">
        <v>2446</v>
      </c>
      <c r="R29" s="89"/>
      <c r="S29" s="139" t="e" cm="1">
        <f t="array" ref="S29">IF(P29="",0,IF(OR(O29=";",P29="EQU",P29="ORG"),0,HlpGetInstructionSize(P29,Q29,R29,$AC$12)))</f>
        <v>#VALUE!</v>
      </c>
      <c r="V29" s="42"/>
      <c r="W29" s="16"/>
      <c r="X29" s="28"/>
      <c r="Y29" s="29"/>
      <c r="AA29" s="66"/>
      <c r="AB29" s="117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28"/>
      <c r="AD29" s="129"/>
      <c r="AE29" s="129"/>
      <c r="AF29" s="129"/>
      <c r="AG29" s="129"/>
      <c r="AH29" s="129"/>
      <c r="AI29" s="129"/>
      <c r="AJ29" s="130"/>
    </row>
    <row r="30" spans="1:40">
      <c r="K30" s="76"/>
      <c r="L30" s="48" t="e">
        <f t="shared" si="14"/>
        <v>#VALUE!</v>
      </c>
      <c r="M30" s="32" t="str">
        <f t="shared" si="25"/>
        <v/>
      </c>
      <c r="N30" s="63" t="e">
        <f t="shared" si="15"/>
        <v>#VALUE!</v>
      </c>
      <c r="O30" s="86"/>
      <c r="P30" s="223" t="s">
        <v>2288</v>
      </c>
      <c r="Q30" s="89" t="s">
        <v>2447</v>
      </c>
      <c r="R30" s="89"/>
      <c r="S30" s="139" t="e" cm="1">
        <f t="array" ref="S30">IF(P30="",0,IF(OR(O30=";",P30="EQU",P30="ORG"),0,HlpGetInstructionSize(P30,Q30,R30,$AC$12)))</f>
        <v>#VALUE!</v>
      </c>
      <c r="V30" s="42"/>
      <c r="W30" s="16"/>
      <c r="X30" s="28"/>
      <c r="Y30" s="29"/>
      <c r="AA30" s="66"/>
      <c r="AB30" s="117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28"/>
      <c r="AD30" s="129"/>
      <c r="AE30" s="129"/>
      <c r="AF30" s="129"/>
      <c r="AG30" s="129"/>
      <c r="AH30" s="129"/>
      <c r="AI30" s="129"/>
      <c r="AJ30" s="130"/>
    </row>
    <row r="31" spans="1:40">
      <c r="K31" s="76"/>
      <c r="L31" s="48" t="e">
        <f t="shared" si="14"/>
        <v>#VALUE!</v>
      </c>
      <c r="M31" s="32" t="str">
        <f t="shared" si="25"/>
        <v/>
      </c>
      <c r="N31" s="63" t="e">
        <f t="shared" si="15"/>
        <v>#VALUE!</v>
      </c>
      <c r="O31" s="86"/>
      <c r="P31" s="223" t="s">
        <v>2252</v>
      </c>
      <c r="Q31" s="89"/>
      <c r="R31" s="89"/>
      <c r="S31" s="139" cm="1">
        <f t="array" ref="S31">IF(P31="",0,IF(OR(O31=";",P31="EQU",P31="ORG"),0,HlpGetInstructionSize(P31,Q31,R31,$AC$12)))</f>
        <v>1</v>
      </c>
      <c r="V31" s="42"/>
      <c r="W31" s="16"/>
      <c r="X31" s="28"/>
      <c r="Y31" s="29"/>
      <c r="AA31" s="66"/>
      <c r="AB31" s="117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28"/>
      <c r="AD31" s="129"/>
      <c r="AE31" s="129"/>
      <c r="AF31" s="129"/>
      <c r="AG31" s="129"/>
      <c r="AH31" s="129"/>
      <c r="AI31" s="129"/>
      <c r="AJ31" s="130"/>
    </row>
    <row r="32" spans="1:40">
      <c r="K32" s="76"/>
      <c r="L32" s="48" t="e">
        <f t="shared" si="14"/>
        <v>#VALUE!</v>
      </c>
      <c r="M32" s="32" t="str">
        <f t="shared" si="25"/>
        <v/>
      </c>
      <c r="N32" s="63" t="e">
        <f t="shared" si="15"/>
        <v>#VALUE!</v>
      </c>
      <c r="O32" s="86"/>
      <c r="P32" s="223"/>
      <c r="Q32" s="89"/>
      <c r="R32" s="89"/>
      <c r="S32" s="139" cm="1">
        <f t="array" ref="S32">IF(P32="",0,IF(OR(O32=";",P32="EQU",P32="ORG"),0,HlpGetInstructionSize(P32,Q32,R32,$AC$12)))</f>
        <v>0</v>
      </c>
      <c r="V32" s="42"/>
      <c r="W32" s="16"/>
      <c r="X32" s="28"/>
      <c r="Y32" s="29"/>
      <c r="AA32" s="66"/>
      <c r="AB32" s="117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28"/>
      <c r="AD32" s="129"/>
      <c r="AE32" s="129"/>
      <c r="AF32" s="129"/>
      <c r="AG32" s="129"/>
      <c r="AH32" s="129"/>
      <c r="AI32" s="129"/>
      <c r="AJ32" s="130"/>
    </row>
    <row r="33" spans="11:36">
      <c r="K33" s="76"/>
      <c r="L33" s="48" t="e">
        <f>IF(UPPER(P33)="EQU","E",IF(P33="DB","D",IF(O33&lt;&gt;"","L",IF(N33="","F",""))))</f>
        <v>#VALUE!</v>
      </c>
      <c r="M33" s="32" t="str">
        <f t="shared" si="25"/>
        <v/>
      </c>
      <c r="N33" s="63" t="e">
        <f t="shared" si="15"/>
        <v>#VALUE!</v>
      </c>
      <c r="O33" s="86"/>
      <c r="P33" s="223"/>
      <c r="Q33" s="89"/>
      <c r="R33" s="89"/>
      <c r="S33" s="139" cm="1">
        <f t="array" ref="S33">IF(P33="",0,IF(OR(O33=";",P33="EQU",P33="ORG"),0,HlpGetInstructionSize(P33,Q33,R33,$AC$12)))</f>
        <v>0</v>
      </c>
      <c r="V33" s="42"/>
      <c r="W33" s="16"/>
      <c r="X33" s="28"/>
      <c r="Y33" s="29"/>
      <c r="AA33" s="66"/>
      <c r="AB33" s="117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28"/>
      <c r="AD33" s="129"/>
      <c r="AE33" s="129"/>
      <c r="AF33" s="129"/>
      <c r="AG33" s="129"/>
      <c r="AH33" s="129"/>
      <c r="AI33" s="129"/>
      <c r="AJ33" s="130"/>
    </row>
    <row r="34" spans="11:36">
      <c r="K34" s="76"/>
      <c r="L34" s="48" t="e">
        <f t="shared" si="14"/>
        <v>#VALUE!</v>
      </c>
      <c r="M34" s="32" t="str">
        <f t="shared" si="25"/>
        <v/>
      </c>
      <c r="N34" s="63" t="e">
        <f t="shared" si="15"/>
        <v>#VALUE!</v>
      </c>
      <c r="O34" s="86"/>
      <c r="P34" s="223"/>
      <c r="Q34" s="89"/>
      <c r="R34" s="89"/>
      <c r="S34" s="139" cm="1">
        <f t="array" ref="S34">IF(P34="",0,IF(OR(O34=";",P34="EQU",P34="ORG"),0,HlpGetInstructionSize(P34,Q34,R34,$AC$12)))</f>
        <v>0</v>
      </c>
      <c r="V34" s="42"/>
      <c r="W34" s="16"/>
      <c r="X34" s="28"/>
      <c r="Y34" s="29"/>
      <c r="AA34" s="66"/>
      <c r="AB34" s="117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28"/>
      <c r="AD34" s="129"/>
      <c r="AE34" s="129"/>
      <c r="AF34" s="129"/>
      <c r="AG34" s="129"/>
      <c r="AH34" s="129"/>
      <c r="AI34" s="129"/>
      <c r="AJ34" s="130"/>
    </row>
    <row r="35" spans="11:36">
      <c r="K35" s="76"/>
      <c r="L35" s="48" t="e">
        <f t="shared" si="14"/>
        <v>#VALUE!</v>
      </c>
      <c r="M35" s="32" t="str">
        <f t="shared" si="25"/>
        <v/>
      </c>
      <c r="N35" s="63" t="e">
        <f t="shared" si="15"/>
        <v>#VALUE!</v>
      </c>
      <c r="O35" s="86"/>
      <c r="P35" s="223"/>
      <c r="Q35" s="89"/>
      <c r="R35" s="89"/>
      <c r="S35" s="139" cm="1">
        <f t="array" ref="S35">IF(P35="",0,IF(OR(O35=";",P35="EQU",P35="ORG"),0,HlpGetInstructionSize(P35,Q35,R35,$AC$12)))</f>
        <v>0</v>
      </c>
      <c r="V35" s="42"/>
      <c r="W35" s="16"/>
      <c r="X35" s="28"/>
      <c r="Y35" s="29"/>
      <c r="AA35" s="66"/>
      <c r="AB35" s="117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28"/>
      <c r="AD35" s="129"/>
      <c r="AE35" s="129"/>
      <c r="AF35" s="129"/>
      <c r="AG35" s="129"/>
      <c r="AH35" s="129"/>
      <c r="AI35" s="129"/>
      <c r="AJ35" s="130"/>
    </row>
    <row r="36" spans="11:36">
      <c r="K36" s="76"/>
      <c r="L36" s="48" t="e">
        <f t="shared" si="14"/>
        <v>#VALUE!</v>
      </c>
      <c r="M36" s="32" t="str">
        <f t="shared" si="25"/>
        <v/>
      </c>
      <c r="N36" s="63" t="e">
        <f t="shared" si="15"/>
        <v>#VALUE!</v>
      </c>
      <c r="O36" s="86"/>
      <c r="P36" s="223"/>
      <c r="Q36" s="89"/>
      <c r="R36" s="89"/>
      <c r="S36" s="139" cm="1">
        <f t="array" ref="S36">IF(P36="",0,IF(OR(O36=";",P36="EQU",P36="ORG"),0,HlpGetInstructionSize(P36,Q36,R36,$AC$12)))</f>
        <v>0</v>
      </c>
      <c r="V36" s="42"/>
      <c r="W36" s="16"/>
      <c r="X36" s="28"/>
      <c r="Y36" s="29"/>
      <c r="AA36" s="66"/>
      <c r="AB36" s="117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28"/>
      <c r="AD36" s="129"/>
      <c r="AE36" s="129"/>
      <c r="AF36" s="129"/>
      <c r="AG36" s="129"/>
      <c r="AH36" s="129"/>
      <c r="AI36" s="129"/>
      <c r="AJ36" s="130"/>
    </row>
    <row r="37" spans="11:36">
      <c r="K37" s="76"/>
      <c r="L37" s="48" t="e">
        <f t="shared" si="14"/>
        <v>#VALUE!</v>
      </c>
      <c r="M37" s="32" t="str">
        <f t="shared" si="25"/>
        <v/>
      </c>
      <c r="N37" s="63" t="e">
        <f t="shared" si="15"/>
        <v>#VALUE!</v>
      </c>
      <c r="O37" s="86"/>
      <c r="P37" s="223"/>
      <c r="Q37" s="89"/>
      <c r="R37" s="89"/>
      <c r="S37" s="139" cm="1">
        <f t="array" ref="S37">IF(P37="",0,IF(OR(O37=";",P37="EQU",P37="ORG"),0,HlpGetInstructionSize(P37,Q37,R37,$AC$12)))</f>
        <v>0</v>
      </c>
      <c r="V37" s="42"/>
      <c r="W37" s="16"/>
      <c r="X37" s="28"/>
      <c r="Y37" s="29"/>
      <c r="AA37" s="66"/>
      <c r="AB37" s="117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28"/>
      <c r="AD37" s="129"/>
      <c r="AE37" s="129"/>
      <c r="AF37" s="129"/>
      <c r="AG37" s="129"/>
      <c r="AH37" s="129"/>
      <c r="AI37" s="129"/>
      <c r="AJ37" s="130"/>
    </row>
    <row r="38" spans="11:36">
      <c r="K38" s="76"/>
      <c r="L38" s="48" t="e">
        <f t="shared" si="14"/>
        <v>#VALUE!</v>
      </c>
      <c r="M38" s="32" t="str">
        <f t="shared" si="25"/>
        <v/>
      </c>
      <c r="N38" s="63" t="e">
        <f t="shared" si="15"/>
        <v>#VALUE!</v>
      </c>
      <c r="O38" s="86"/>
      <c r="P38" s="223"/>
      <c r="Q38" s="89"/>
      <c r="R38" s="89"/>
      <c r="S38" s="139" cm="1">
        <f t="array" ref="S38">IF(P38="",0,IF(OR(O38=";",P38="EQU",P38="ORG"),0,HlpGetInstructionSize(P38,Q38,R38,$AC$12)))</f>
        <v>0</v>
      </c>
      <c r="V38" s="42"/>
      <c r="W38" s="16"/>
      <c r="X38" s="28"/>
      <c r="Y38" s="29"/>
      <c r="AA38" s="66"/>
      <c r="AB38" s="117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28"/>
      <c r="AD38" s="129"/>
      <c r="AE38" s="129"/>
      <c r="AF38" s="129"/>
      <c r="AG38" s="129"/>
      <c r="AH38" s="129"/>
      <c r="AI38" s="129"/>
      <c r="AJ38" s="130"/>
    </row>
    <row r="39" spans="11:36">
      <c r="K39" s="76"/>
      <c r="L39" s="48" t="e">
        <f t="shared" si="14"/>
        <v>#VALUE!</v>
      </c>
      <c r="M39" s="32" t="str">
        <f t="shared" si="25"/>
        <v/>
      </c>
      <c r="N39" s="63" t="e">
        <f t="shared" si="15"/>
        <v>#VALUE!</v>
      </c>
      <c r="O39" s="86"/>
      <c r="P39" s="223"/>
      <c r="Q39" s="89"/>
      <c r="R39" s="89"/>
      <c r="S39" s="139" cm="1">
        <f t="array" ref="S39">IF(P39="",0,IF(OR(O39=";",P39="EQU",P39="ORG"),0,HlpGetInstructionSize(P39,Q39,R39,$AC$12)))</f>
        <v>0</v>
      </c>
      <c r="V39" s="42"/>
      <c r="W39" s="16"/>
      <c r="X39" s="28"/>
      <c r="Y39" s="29"/>
      <c r="AA39" s="66"/>
      <c r="AB39" s="117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28"/>
      <c r="AD39" s="129"/>
      <c r="AE39" s="129"/>
      <c r="AF39" s="129"/>
      <c r="AG39" s="129"/>
      <c r="AH39" s="129"/>
      <c r="AI39" s="129"/>
      <c r="AJ39" s="130"/>
    </row>
    <row r="40" spans="11:36">
      <c r="K40" s="76"/>
      <c r="L40" s="48" t="e">
        <f t="shared" si="14"/>
        <v>#VALUE!</v>
      </c>
      <c r="M40" s="32" t="str">
        <f t="shared" si="25"/>
        <v/>
      </c>
      <c r="N40" s="63" t="e">
        <f t="shared" si="15"/>
        <v>#VALUE!</v>
      </c>
      <c r="O40" s="86"/>
      <c r="P40" s="223"/>
      <c r="Q40" s="89"/>
      <c r="R40" s="89"/>
      <c r="S40" s="139" cm="1">
        <f t="array" ref="S40">IF(P40="",0,IF(OR(O40=";",P40="EQU",P40="ORG"),0,HlpGetInstructionSize(P40,Q40,R40,$AC$12)))</f>
        <v>0</v>
      </c>
      <c r="V40" s="42"/>
      <c r="W40" s="16"/>
      <c r="X40" s="28"/>
      <c r="Y40" s="29"/>
      <c r="AA40" s="66"/>
      <c r="AB40" s="117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28"/>
      <c r="AD40" s="129"/>
      <c r="AE40" s="129"/>
      <c r="AF40" s="129"/>
      <c r="AG40" s="129"/>
      <c r="AH40" s="129"/>
      <c r="AI40" s="129"/>
      <c r="AJ40" s="130"/>
    </row>
    <row r="41" spans="11:36">
      <c r="K41" s="76"/>
      <c r="L41" s="48" t="e">
        <f t="shared" si="14"/>
        <v>#VALUE!</v>
      </c>
      <c r="M41" s="32" t="str">
        <f t="shared" si="25"/>
        <v/>
      </c>
      <c r="N41" s="63" t="e">
        <f t="shared" si="15"/>
        <v>#VALUE!</v>
      </c>
      <c r="O41" s="86"/>
      <c r="P41" s="223"/>
      <c r="Q41" s="89"/>
      <c r="R41" s="89"/>
      <c r="S41" s="139" cm="1">
        <f t="array" ref="S41">IF(P41="",0,IF(OR(O41=";",P41="EQU",P41="ORG"),0,HlpGetInstructionSize(P41,Q41,R41,$AC$12)))</f>
        <v>0</v>
      </c>
      <c r="V41" s="42"/>
      <c r="W41" s="16"/>
      <c r="X41" s="28"/>
      <c r="Y41" s="29"/>
      <c r="AA41" s="66"/>
      <c r="AB41" s="117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28"/>
      <c r="AD41" s="129"/>
      <c r="AE41" s="129"/>
      <c r="AF41" s="129"/>
      <c r="AG41" s="129"/>
      <c r="AH41" s="129"/>
      <c r="AI41" s="129"/>
      <c r="AJ41" s="130"/>
    </row>
    <row r="42" spans="11:36">
      <c r="K42" s="76"/>
      <c r="L42" s="48" t="e">
        <f t="shared" si="14"/>
        <v>#VALUE!</v>
      </c>
      <c r="M42" s="32" t="str">
        <f t="shared" si="25"/>
        <v/>
      </c>
      <c r="N42" s="63" t="e">
        <f t="shared" si="15"/>
        <v>#VALUE!</v>
      </c>
      <c r="O42" s="86"/>
      <c r="P42" s="223"/>
      <c r="Q42" s="89"/>
      <c r="R42" s="89"/>
      <c r="S42" s="139" cm="1">
        <f t="array" ref="S42">IF(P42="",0,IF(OR(O42=";",P42="EQU",P42="ORG"),0,HlpGetInstructionSize(P42,Q42,R42,$AC$12)))</f>
        <v>0</v>
      </c>
      <c r="V42" s="42"/>
      <c r="W42" s="16"/>
      <c r="X42" s="28"/>
      <c r="Y42" s="29"/>
      <c r="AA42" s="66"/>
      <c r="AB42" s="117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28"/>
      <c r="AD42" s="129"/>
      <c r="AE42" s="129"/>
      <c r="AF42" s="129"/>
      <c r="AG42" s="129"/>
      <c r="AH42" s="129"/>
      <c r="AI42" s="129"/>
      <c r="AJ42" s="130"/>
    </row>
    <row r="43" spans="11:36">
      <c r="K43" s="76"/>
      <c r="L43" s="48" t="e">
        <f t="shared" si="14"/>
        <v>#VALUE!</v>
      </c>
      <c r="M43" s="32" t="str">
        <f t="shared" si="25"/>
        <v/>
      </c>
      <c r="N43" s="63" t="e">
        <f t="shared" si="15"/>
        <v>#VALUE!</v>
      </c>
      <c r="O43" s="86"/>
      <c r="P43" s="223"/>
      <c r="Q43" s="89"/>
      <c r="R43" s="89"/>
      <c r="S43" s="139" cm="1">
        <f t="array" ref="S43">IF(P43="",0,IF(OR(O43=";",P43="EQU",P43="ORG"),0,HlpGetInstructionSize(P43,Q43,R43,$AC$12)))</f>
        <v>0</v>
      </c>
      <c r="V43" s="42"/>
      <c r="W43" s="16"/>
      <c r="X43" s="28"/>
      <c r="Y43" s="29"/>
      <c r="AA43" s="66"/>
      <c r="AB43" s="117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28"/>
      <c r="AD43" s="129"/>
      <c r="AE43" s="129"/>
      <c r="AF43" s="129"/>
      <c r="AG43" s="129"/>
      <c r="AH43" s="129"/>
      <c r="AI43" s="129"/>
      <c r="AJ43" s="130"/>
    </row>
    <row r="44" spans="11:36">
      <c r="K44" s="76"/>
      <c r="L44" s="48" t="e">
        <f t="shared" si="14"/>
        <v>#VALUE!</v>
      </c>
      <c r="M44" s="32" t="str">
        <f t="shared" si="25"/>
        <v/>
      </c>
      <c r="N44" s="63" t="e">
        <f t="shared" si="15"/>
        <v>#VALUE!</v>
      </c>
      <c r="O44" s="86"/>
      <c r="P44" s="223"/>
      <c r="Q44" s="89"/>
      <c r="R44" s="89"/>
      <c r="S44" s="139" cm="1">
        <f t="array" ref="S44">IF(P44="",0,IF(OR(O44=";",P44="EQU",P44="ORG"),0,HlpGetInstructionSize(P44,Q44,R44,$AC$12)))</f>
        <v>0</v>
      </c>
      <c r="V44" s="42"/>
      <c r="W44" s="16"/>
      <c r="X44" s="28"/>
      <c r="Y44" s="29"/>
      <c r="AA44" s="66"/>
      <c r="AB44" s="117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28"/>
      <c r="AD44" s="129"/>
      <c r="AE44" s="129"/>
      <c r="AF44" s="129"/>
      <c r="AG44" s="129"/>
      <c r="AH44" s="129"/>
      <c r="AI44" s="129"/>
      <c r="AJ44" s="130"/>
    </row>
    <row r="45" spans="11:36">
      <c r="K45" s="76"/>
      <c r="L45" s="48" t="e">
        <f t="shared" si="14"/>
        <v>#VALUE!</v>
      </c>
      <c r="M45" s="32" t="str">
        <f t="shared" si="25"/>
        <v/>
      </c>
      <c r="N45" s="63" t="e">
        <f t="shared" si="15"/>
        <v>#VALUE!</v>
      </c>
      <c r="O45" s="86"/>
      <c r="P45" s="223"/>
      <c r="Q45" s="89"/>
      <c r="R45" s="89"/>
      <c r="S45" s="139" cm="1">
        <f t="array" ref="S45">IF(P45="",0,IF(OR(O45=";",P45="EQU",P45="ORG"),0,HlpGetInstructionSize(P45,Q45,R45,$AC$12)))</f>
        <v>0</v>
      </c>
      <c r="V45" s="42"/>
      <c r="W45" s="16"/>
      <c r="X45" s="28"/>
      <c r="Y45" s="29"/>
      <c r="AA45" s="66"/>
      <c r="AB45" s="117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28"/>
      <c r="AD45" s="129"/>
      <c r="AE45" s="129"/>
      <c r="AF45" s="129"/>
      <c r="AG45" s="129"/>
      <c r="AH45" s="129"/>
      <c r="AI45" s="129"/>
      <c r="AJ45" s="130"/>
    </row>
    <row r="46" spans="11:36">
      <c r="K46" s="76"/>
      <c r="L46" s="48" t="e">
        <f t="shared" si="14"/>
        <v>#VALUE!</v>
      </c>
      <c r="M46" s="32" t="str">
        <f t="shared" si="25"/>
        <v/>
      </c>
      <c r="N46" s="63" t="e">
        <f t="shared" si="15"/>
        <v>#VALUE!</v>
      </c>
      <c r="O46" s="86"/>
      <c r="P46" s="223"/>
      <c r="Q46" s="89"/>
      <c r="R46" s="89"/>
      <c r="S46" s="139" cm="1">
        <f t="array" ref="S46">IF(P46="",0,IF(OR(O46=";",P46="EQU",P46="ORG"),0,HlpGetInstructionSize(P46,Q46,R46,$AC$12)))</f>
        <v>0</v>
      </c>
      <c r="V46" s="42"/>
      <c r="W46" s="16"/>
      <c r="X46" s="28"/>
      <c r="Y46" s="29"/>
      <c r="AA46" s="66"/>
      <c r="AB46" s="117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28"/>
      <c r="AD46" s="129"/>
      <c r="AE46" s="129"/>
      <c r="AF46" s="129"/>
      <c r="AG46" s="129"/>
      <c r="AH46" s="129"/>
      <c r="AI46" s="129"/>
      <c r="AJ46" s="130"/>
    </row>
    <row r="47" spans="11:36">
      <c r="K47" s="76"/>
      <c r="L47" s="48" t="e">
        <f t="shared" si="14"/>
        <v>#VALUE!</v>
      </c>
      <c r="M47" s="32" t="str">
        <f t="shared" si="25"/>
        <v/>
      </c>
      <c r="N47" s="63" t="e">
        <f t="shared" si="15"/>
        <v>#VALUE!</v>
      </c>
      <c r="O47" s="86"/>
      <c r="P47" s="223"/>
      <c r="Q47" s="89"/>
      <c r="R47" s="89"/>
      <c r="S47" s="139" cm="1">
        <f t="array" ref="S47">IF(P47="",0,IF(OR(O47=";",P47="EQU",P47="ORG"),0,HlpGetInstructionSize(P47,Q47,R47,$AC$12)))</f>
        <v>0</v>
      </c>
      <c r="V47" s="42"/>
      <c r="W47" s="16"/>
      <c r="X47" s="28"/>
      <c r="Y47" s="29"/>
      <c r="AA47" s="66"/>
      <c r="AB47" s="117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28"/>
      <c r="AD47" s="129"/>
      <c r="AE47" s="129"/>
      <c r="AF47" s="129"/>
      <c r="AG47" s="129"/>
      <c r="AH47" s="129"/>
      <c r="AI47" s="129"/>
      <c r="AJ47" s="130"/>
    </row>
    <row r="48" spans="11:36">
      <c r="K48" s="76"/>
      <c r="L48" s="48" t="e">
        <f t="shared" si="14"/>
        <v>#VALUE!</v>
      </c>
      <c r="M48" s="32" t="str">
        <f t="shared" si="25"/>
        <v/>
      </c>
      <c r="N48" s="63" t="e">
        <f t="shared" si="15"/>
        <v>#VALUE!</v>
      </c>
      <c r="O48" s="86"/>
      <c r="P48" s="223"/>
      <c r="Q48" s="89"/>
      <c r="R48" s="89"/>
      <c r="S48" s="139" cm="1">
        <f t="array" ref="S48">IF(P48="",0,IF(OR(O48=";",P48="EQU",P48="ORG"),0,HlpGetInstructionSize(P48,Q48,R48,$AC$12)))</f>
        <v>0</v>
      </c>
      <c r="V48" s="42" t="str">
        <f t="shared" ref="V48:V72" si="26">IF(W48&gt;0,RIGHT("0000"&amp;DEC2HEX(W48),4),"")</f>
        <v/>
      </c>
      <c r="W48" s="16"/>
      <c r="X48" s="28"/>
      <c r="Y48" s="29"/>
      <c r="AA48" s="66"/>
      <c r="AB48" s="117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28"/>
      <c r="AD48" s="129"/>
      <c r="AE48" s="129"/>
      <c r="AF48" s="129"/>
      <c r="AG48" s="129"/>
      <c r="AH48" s="129"/>
      <c r="AI48" s="129"/>
      <c r="AJ48" s="130"/>
    </row>
    <row r="49" spans="11:36">
      <c r="K49" s="76"/>
      <c r="L49" s="48" t="e">
        <f t="shared" si="14"/>
        <v>#VALUE!</v>
      </c>
      <c r="M49" s="32" t="str">
        <f t="shared" si="25"/>
        <v/>
      </c>
      <c r="N49" s="63" t="e">
        <f t="shared" si="15"/>
        <v>#VALUE!</v>
      </c>
      <c r="O49" s="86"/>
      <c r="P49" s="223"/>
      <c r="Q49" s="89"/>
      <c r="R49" s="89"/>
      <c r="S49" s="139" cm="1">
        <f t="array" ref="S49">IF(P49="",0,IF(OR(O49=";",P49="EQU",P49="ORG"),0,HlpGetInstructionSize(P49,Q49,R49,$AC$12)))</f>
        <v>0</v>
      </c>
      <c r="V49" s="42" t="str">
        <f t="shared" si="26"/>
        <v/>
      </c>
      <c r="W49" s="16"/>
      <c r="X49" s="28"/>
      <c r="Y49" s="29"/>
      <c r="AA49" s="66"/>
      <c r="AB49" s="117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28"/>
      <c r="AD49" s="129"/>
      <c r="AE49" s="129"/>
      <c r="AF49" s="129"/>
      <c r="AG49" s="129"/>
      <c r="AH49" s="129"/>
      <c r="AI49" s="129"/>
      <c r="AJ49" s="130"/>
    </row>
    <row r="50" spans="11:36">
      <c r="K50" s="76"/>
      <c r="L50" s="48" t="e">
        <f t="shared" si="14"/>
        <v>#VALUE!</v>
      </c>
      <c r="M50" s="32" t="str">
        <f t="shared" si="25"/>
        <v/>
      </c>
      <c r="N50" s="63" t="e">
        <f t="shared" si="15"/>
        <v>#VALUE!</v>
      </c>
      <c r="O50" s="86"/>
      <c r="P50" s="223"/>
      <c r="Q50" s="89"/>
      <c r="R50" s="89"/>
      <c r="S50" s="139" cm="1">
        <f t="array" ref="S50">IF(P50="",0,IF(OR(O50=";",P50="EQU",P50="ORG"),0,HlpGetInstructionSize(P50,Q50,R50,$AC$12)))</f>
        <v>0</v>
      </c>
      <c r="V50" s="42" t="str">
        <f t="shared" si="26"/>
        <v/>
      </c>
      <c r="W50" s="16"/>
      <c r="X50" s="28"/>
      <c r="Y50" s="29"/>
      <c r="AA50" s="66"/>
      <c r="AB50" s="117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28"/>
      <c r="AD50" s="129"/>
      <c r="AE50" s="129"/>
      <c r="AF50" s="129"/>
      <c r="AG50" s="129"/>
      <c r="AH50" s="129"/>
      <c r="AI50" s="129"/>
      <c r="AJ50" s="130"/>
    </row>
    <row r="51" spans="11:36">
      <c r="K51" s="76"/>
      <c r="L51" s="48" t="e">
        <f t="shared" si="14"/>
        <v>#VALUE!</v>
      </c>
      <c r="M51" s="32" t="str">
        <f t="shared" si="25"/>
        <v/>
      </c>
      <c r="N51" s="63" t="e">
        <f t="shared" si="15"/>
        <v>#VALUE!</v>
      </c>
      <c r="O51" s="86"/>
      <c r="P51" s="223"/>
      <c r="Q51" s="89"/>
      <c r="R51" s="89"/>
      <c r="S51" s="139" cm="1">
        <f t="array" ref="S51">IF(P51="",0,IF(OR(O51=";",P51="EQU",P51="ORG"),0,HlpGetInstructionSize(P51,Q51,R51,$AC$12)))</f>
        <v>0</v>
      </c>
      <c r="V51" s="42" t="str">
        <f t="shared" si="26"/>
        <v/>
      </c>
      <c r="W51" s="16"/>
      <c r="X51" s="28"/>
      <c r="Y51" s="29"/>
      <c r="AA51" s="66"/>
      <c r="AB51" s="117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28"/>
      <c r="AD51" s="129"/>
      <c r="AE51" s="129"/>
      <c r="AF51" s="129"/>
      <c r="AG51" s="129"/>
      <c r="AH51" s="129"/>
      <c r="AI51" s="129"/>
      <c r="AJ51" s="130"/>
    </row>
    <row r="52" spans="11:36">
      <c r="K52" s="76"/>
      <c r="L52" s="48" t="e">
        <f t="shared" si="14"/>
        <v>#VALUE!</v>
      </c>
      <c r="M52" s="32" t="str">
        <f t="shared" si="25"/>
        <v/>
      </c>
      <c r="N52" s="63" t="e">
        <f t="shared" si="15"/>
        <v>#VALUE!</v>
      </c>
      <c r="O52" s="86"/>
      <c r="P52" s="223"/>
      <c r="Q52" s="89"/>
      <c r="R52" s="89"/>
      <c r="S52" s="139" cm="1">
        <f t="array" ref="S52">IF(P52="",0,IF(OR(O52=";",P52="EQU",P52="ORG"),0,HlpGetInstructionSize(P52,Q52,R52,$AC$12)))</f>
        <v>0</v>
      </c>
      <c r="V52" s="42" t="str">
        <f t="shared" si="26"/>
        <v/>
      </c>
      <c r="W52" s="16"/>
      <c r="X52" s="28"/>
      <c r="Y52" s="29"/>
      <c r="AA52" s="66"/>
      <c r="AB52" s="117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28"/>
      <c r="AD52" s="129"/>
      <c r="AE52" s="129"/>
      <c r="AF52" s="129"/>
      <c r="AG52" s="129"/>
      <c r="AH52" s="129"/>
      <c r="AI52" s="129"/>
      <c r="AJ52" s="130"/>
    </row>
    <row r="53" spans="11:36">
      <c r="K53" s="76"/>
      <c r="L53" s="48" t="e">
        <f t="shared" si="14"/>
        <v>#VALUE!</v>
      </c>
      <c r="M53" s="32" t="str">
        <f t="shared" si="25"/>
        <v/>
      </c>
      <c r="N53" s="63" t="e">
        <f t="shared" si="15"/>
        <v>#VALUE!</v>
      </c>
      <c r="O53" s="86"/>
      <c r="P53" s="223"/>
      <c r="Q53" s="89"/>
      <c r="R53" s="89"/>
      <c r="S53" s="139" cm="1">
        <f t="array" ref="S53">IF(P53="",0,IF(OR(O53=";",P53="EQU",P53="ORG"),0,HlpGetInstructionSize(P53,Q53,R53,$AC$12)))</f>
        <v>0</v>
      </c>
      <c r="V53" s="42" t="str">
        <f t="shared" si="26"/>
        <v/>
      </c>
      <c r="W53" s="16"/>
      <c r="X53" s="28"/>
      <c r="Y53" s="29"/>
      <c r="AA53" s="66"/>
      <c r="AB53" s="117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28"/>
      <c r="AD53" s="129"/>
      <c r="AE53" s="129"/>
      <c r="AF53" s="129"/>
      <c r="AG53" s="129"/>
      <c r="AH53" s="129"/>
      <c r="AI53" s="129"/>
      <c r="AJ53" s="130"/>
    </row>
    <row r="54" spans="11:36">
      <c r="K54" s="76"/>
      <c r="L54" s="48" t="e">
        <f t="shared" si="14"/>
        <v>#VALUE!</v>
      </c>
      <c r="M54" s="32" t="str">
        <f t="shared" si="25"/>
        <v/>
      </c>
      <c r="N54" s="63" t="e">
        <f t="shared" si="15"/>
        <v>#VALUE!</v>
      </c>
      <c r="O54" s="86"/>
      <c r="P54" s="223"/>
      <c r="Q54" s="89"/>
      <c r="R54" s="135"/>
      <c r="S54" s="139" cm="1">
        <f t="array" ref="S54">IF(P54="",0,IF(OR(O54=";",P54="EQU",P54="ORG"),0,HlpGetInstructionSize(P54,Q54,R54,$AC$12)))</f>
        <v>0</v>
      </c>
      <c r="V54" s="42" t="str">
        <f t="shared" si="26"/>
        <v/>
      </c>
      <c r="W54" s="16"/>
      <c r="X54" s="28"/>
      <c r="Y54" s="29"/>
      <c r="AA54" s="66"/>
      <c r="AB54" s="117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28"/>
      <c r="AD54" s="129"/>
      <c r="AE54" s="129"/>
      <c r="AF54" s="129"/>
      <c r="AG54" s="129"/>
      <c r="AH54" s="129"/>
      <c r="AI54" s="129"/>
      <c r="AJ54" s="130"/>
    </row>
    <row r="55" spans="11:36">
      <c r="K55" s="76"/>
      <c r="L55" s="48" t="e">
        <f t="shared" si="14"/>
        <v>#VALUE!</v>
      </c>
      <c r="M55" s="32" t="str">
        <f t="shared" si="25"/>
        <v/>
      </c>
      <c r="N55" s="63" t="e">
        <f t="shared" si="15"/>
        <v>#VALUE!</v>
      </c>
      <c r="O55" s="86"/>
      <c r="P55" s="223"/>
      <c r="Q55" s="224"/>
      <c r="R55" s="135"/>
      <c r="S55" s="139" cm="1">
        <f t="array" ref="S55">IF(P55="",0,IF(OR(O55=";",P55="EQU",P55="ORG"),0,HlpGetInstructionSize(P55,Q55,R55,$AC$12)))</f>
        <v>0</v>
      </c>
      <c r="V55" s="42" t="str">
        <f t="shared" si="26"/>
        <v/>
      </c>
      <c r="W55" s="16"/>
      <c r="X55" s="28"/>
      <c r="Y55" s="29"/>
      <c r="AA55" s="66"/>
      <c r="AB55" s="117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28"/>
      <c r="AD55" s="129"/>
      <c r="AE55" s="129"/>
      <c r="AF55" s="129"/>
      <c r="AG55" s="129"/>
      <c r="AH55" s="129"/>
      <c r="AI55" s="129"/>
      <c r="AJ55" s="130"/>
    </row>
    <row r="56" spans="11:36">
      <c r="K56" s="76"/>
      <c r="L56" s="48" t="e">
        <f t="shared" si="14"/>
        <v>#VALUE!</v>
      </c>
      <c r="M56" s="32" t="str">
        <f t="shared" si="25"/>
        <v/>
      </c>
      <c r="N56" s="63" t="e">
        <f t="shared" si="15"/>
        <v>#VALUE!</v>
      </c>
      <c r="O56" s="86"/>
      <c r="P56" s="223"/>
      <c r="Q56" s="224"/>
      <c r="R56" s="135"/>
      <c r="S56" s="139" cm="1">
        <f t="array" ref="S56">IF(P56="",0,IF(OR(O56=";",P56="EQU",P56="ORG"),0,HlpGetInstructionSize(P56,Q56,R56,$AC$12)))</f>
        <v>0</v>
      </c>
      <c r="V56" s="42" t="str">
        <f t="shared" si="26"/>
        <v/>
      </c>
      <c r="W56" s="16"/>
      <c r="X56" s="28"/>
      <c r="Y56" s="29"/>
      <c r="AA56" s="66"/>
      <c r="AB56" s="117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28"/>
      <c r="AD56" s="129"/>
      <c r="AE56" s="129"/>
      <c r="AF56" s="129"/>
      <c r="AG56" s="129"/>
      <c r="AH56" s="129"/>
      <c r="AI56" s="129"/>
      <c r="AJ56" s="130"/>
    </row>
    <row r="57" spans="11:36">
      <c r="K57" s="76"/>
      <c r="L57" s="48" t="e">
        <f t="shared" si="14"/>
        <v>#VALUE!</v>
      </c>
      <c r="M57" s="32" t="str">
        <f t="shared" si="25"/>
        <v/>
      </c>
      <c r="N57" s="63" t="e">
        <f t="shared" si="15"/>
        <v>#VALUE!</v>
      </c>
      <c r="O57" s="86"/>
      <c r="P57" s="223"/>
      <c r="Q57" s="224"/>
      <c r="R57" s="135"/>
      <c r="S57" s="139" cm="1">
        <f t="array" ref="S57">IF(P57="",0,IF(OR(O57=";",P57="EQU",P57="ORG"),0,HlpGetInstructionSize(P57,Q57,R57,$AC$12)))</f>
        <v>0</v>
      </c>
      <c r="V57" s="42" t="str">
        <f t="shared" si="26"/>
        <v/>
      </c>
      <c r="W57" s="16"/>
      <c r="X57" s="28"/>
      <c r="Y57" s="29"/>
      <c r="AA57" s="66"/>
      <c r="AB57" s="117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28"/>
      <c r="AD57" s="129"/>
      <c r="AE57" s="129"/>
      <c r="AF57" s="129"/>
      <c r="AG57" s="129"/>
      <c r="AH57" s="129"/>
      <c r="AI57" s="129"/>
      <c r="AJ57" s="130"/>
    </row>
    <row r="58" spans="11:36">
      <c r="K58" s="76"/>
      <c r="L58" s="48" t="e">
        <f t="shared" si="14"/>
        <v>#VALUE!</v>
      </c>
      <c r="M58" s="32" t="str">
        <f t="shared" si="25"/>
        <v/>
      </c>
      <c r="N58" s="63" t="e">
        <f t="shared" si="15"/>
        <v>#VALUE!</v>
      </c>
      <c r="O58" s="86"/>
      <c r="P58" s="223"/>
      <c r="Q58" s="224"/>
      <c r="R58" s="135"/>
      <c r="S58" s="139" cm="1">
        <f t="array" ref="S58">IF(P58="",0,IF(OR(O58=";",P58="EQU",P58="ORG"),0,HlpGetInstructionSize(P58,Q58,R58,$AC$12)))</f>
        <v>0</v>
      </c>
      <c r="V58" s="42" t="str">
        <f t="shared" si="26"/>
        <v/>
      </c>
      <c r="W58" s="16"/>
      <c r="X58" s="28"/>
      <c r="Y58" s="29"/>
      <c r="AA58" s="66"/>
      <c r="AB58" s="117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28"/>
      <c r="AD58" s="129"/>
      <c r="AE58" s="129"/>
      <c r="AF58" s="129"/>
      <c r="AG58" s="129"/>
      <c r="AH58" s="129"/>
      <c r="AI58" s="129"/>
      <c r="AJ58" s="130"/>
    </row>
    <row r="59" spans="11:36">
      <c r="K59" s="76"/>
      <c r="L59" s="48" t="e">
        <f t="shared" si="14"/>
        <v>#VALUE!</v>
      </c>
      <c r="M59" s="32" t="str">
        <f t="shared" si="25"/>
        <v/>
      </c>
      <c r="N59" s="63" t="e">
        <f t="shared" si="15"/>
        <v>#VALUE!</v>
      </c>
      <c r="O59" s="86"/>
      <c r="P59" s="223"/>
      <c r="Q59" s="224"/>
      <c r="R59" s="135"/>
      <c r="S59" s="139" cm="1">
        <f t="array" ref="S59">IF(P59="",0,IF(OR(O59=";",P59="EQU",P59="ORG"),0,HlpGetInstructionSize(P59,Q59,R59,$AC$12)))</f>
        <v>0</v>
      </c>
      <c r="V59" s="42" t="str">
        <f t="shared" si="26"/>
        <v/>
      </c>
      <c r="W59" s="16"/>
      <c r="X59" s="28"/>
      <c r="Y59" s="29"/>
      <c r="AA59" s="66"/>
      <c r="AB59" s="117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28"/>
      <c r="AD59" s="129"/>
      <c r="AE59" s="129"/>
      <c r="AF59" s="129"/>
      <c r="AG59" s="129"/>
      <c r="AH59" s="129"/>
      <c r="AI59" s="129"/>
      <c r="AJ59" s="130"/>
    </row>
    <row r="60" spans="11:36">
      <c r="K60" s="76"/>
      <c r="L60" s="48" t="e">
        <f t="shared" si="14"/>
        <v>#VALUE!</v>
      </c>
      <c r="M60" s="32" t="str">
        <f t="shared" si="25"/>
        <v/>
      </c>
      <c r="N60" s="63" t="e">
        <f t="shared" si="15"/>
        <v>#VALUE!</v>
      </c>
      <c r="O60" s="86"/>
      <c r="P60" s="223"/>
      <c r="Q60" s="224"/>
      <c r="R60" s="135"/>
      <c r="S60" s="139" cm="1">
        <f t="array" ref="S60">IF(P60="",0,IF(OR(O60=";",P60="EQU",P60="ORG"),0,HlpGetInstructionSize(P60,Q60,R60,$AC$12)))</f>
        <v>0</v>
      </c>
      <c r="V60" s="42" t="str">
        <f t="shared" si="26"/>
        <v/>
      </c>
      <c r="W60" s="16"/>
      <c r="X60" s="28"/>
      <c r="Y60" s="29"/>
      <c r="AA60" s="66"/>
      <c r="AB60" s="117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28"/>
      <c r="AD60" s="129"/>
      <c r="AE60" s="129"/>
      <c r="AF60" s="129"/>
      <c r="AG60" s="129"/>
      <c r="AH60" s="129"/>
      <c r="AI60" s="129"/>
      <c r="AJ60" s="130"/>
    </row>
    <row r="61" spans="11:36">
      <c r="K61" s="76"/>
      <c r="L61" s="48" t="e">
        <f t="shared" si="14"/>
        <v>#VALUE!</v>
      </c>
      <c r="M61" s="32" t="str">
        <f t="shared" si="25"/>
        <v/>
      </c>
      <c r="N61" s="63" t="e">
        <f t="shared" si="15"/>
        <v>#VALUE!</v>
      </c>
      <c r="O61" s="86"/>
      <c r="P61" s="223"/>
      <c r="Q61" s="224"/>
      <c r="R61" s="135"/>
      <c r="S61" s="139" cm="1">
        <f t="array" ref="S61">IF(P61="",0,IF(OR(O61=";",P61="EQU",P61="ORG"),0,HlpGetInstructionSize(P61,Q61,R61,$AC$12)))</f>
        <v>0</v>
      </c>
      <c r="V61" s="42" t="str">
        <f t="shared" si="26"/>
        <v/>
      </c>
      <c r="W61" s="16"/>
      <c r="X61" s="28"/>
      <c r="Y61" s="29"/>
      <c r="AA61" s="66"/>
      <c r="AB61" s="117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28"/>
      <c r="AD61" s="129"/>
      <c r="AE61" s="129"/>
      <c r="AF61" s="129"/>
      <c r="AG61" s="129"/>
      <c r="AH61" s="129"/>
      <c r="AI61" s="129"/>
      <c r="AJ61" s="130"/>
    </row>
    <row r="62" spans="11:36">
      <c r="K62" s="76"/>
      <c r="L62" s="48" t="e">
        <f t="shared" si="14"/>
        <v>#VALUE!</v>
      </c>
      <c r="M62" s="32" t="str">
        <f t="shared" si="25"/>
        <v/>
      </c>
      <c r="N62" s="63" t="e">
        <f t="shared" si="15"/>
        <v>#VALUE!</v>
      </c>
      <c r="O62" s="86"/>
      <c r="P62" s="223"/>
      <c r="Q62" s="224"/>
      <c r="R62" s="135"/>
      <c r="S62" s="139" cm="1">
        <f t="array" ref="S62">IF(P62="",0,IF(OR(O62=";",P62="EQU",P62="ORG"),0,HlpGetInstructionSize(P62,Q62,R62,$AC$12)))</f>
        <v>0</v>
      </c>
      <c r="V62" s="42" t="str">
        <f t="shared" si="26"/>
        <v/>
      </c>
      <c r="W62" s="16"/>
      <c r="X62" s="28"/>
      <c r="Y62" s="29"/>
      <c r="AA62" s="66"/>
      <c r="AB62" s="117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28"/>
      <c r="AD62" s="129"/>
      <c r="AE62" s="129"/>
      <c r="AF62" s="129"/>
      <c r="AG62" s="129"/>
      <c r="AH62" s="129"/>
      <c r="AI62" s="129"/>
      <c r="AJ62" s="130"/>
    </row>
    <row r="63" spans="11:36">
      <c r="K63" s="76"/>
      <c r="L63" s="48" t="e">
        <f t="shared" si="14"/>
        <v>#VALUE!</v>
      </c>
      <c r="M63" s="32" t="str">
        <f t="shared" si="25"/>
        <v/>
      </c>
      <c r="N63" s="63" t="e">
        <f t="shared" si="15"/>
        <v>#VALUE!</v>
      </c>
      <c r="O63" s="86"/>
      <c r="P63" s="223"/>
      <c r="Q63" s="224"/>
      <c r="R63" s="135"/>
      <c r="S63" s="139" cm="1">
        <f t="array" ref="S63">IF(P63="",0,IF(OR(O63=";",P63="EQU",P63="ORG"),0,HlpGetInstructionSize(P63,Q63,R63,$AC$12)))</f>
        <v>0</v>
      </c>
      <c r="V63" s="42" t="str">
        <f t="shared" si="26"/>
        <v/>
      </c>
      <c r="W63" s="16"/>
      <c r="X63" s="28"/>
      <c r="Y63" s="29"/>
      <c r="AA63" s="66"/>
      <c r="AB63" s="117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28"/>
      <c r="AD63" s="129"/>
      <c r="AE63" s="129"/>
      <c r="AF63" s="129"/>
      <c r="AG63" s="129"/>
      <c r="AH63" s="129"/>
      <c r="AI63" s="129"/>
      <c r="AJ63" s="130"/>
    </row>
    <row r="64" spans="11:36">
      <c r="K64" s="76"/>
      <c r="L64" s="48" t="e">
        <f t="shared" si="14"/>
        <v>#VALUE!</v>
      </c>
      <c r="M64" s="32" t="str">
        <f t="shared" si="25"/>
        <v/>
      </c>
      <c r="N64" s="63" t="e">
        <f t="shared" si="15"/>
        <v>#VALUE!</v>
      </c>
      <c r="O64" s="86"/>
      <c r="P64" s="223"/>
      <c r="Q64" s="224"/>
      <c r="R64" s="135"/>
      <c r="S64" s="139" cm="1">
        <f t="array" ref="S64">IF(P64="",0,IF(OR(O64=";",P64="EQU",P64="ORG"),0,HlpGetInstructionSize(P64,Q64,R64,$AC$12)))</f>
        <v>0</v>
      </c>
      <c r="V64" s="42" t="str">
        <f t="shared" si="26"/>
        <v/>
      </c>
      <c r="W64" s="16"/>
      <c r="X64" s="28"/>
      <c r="Y64" s="29"/>
      <c r="AA64" s="66"/>
      <c r="AB64" s="117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28"/>
      <c r="AD64" s="129"/>
      <c r="AE64" s="129"/>
      <c r="AF64" s="129"/>
      <c r="AG64" s="129"/>
      <c r="AH64" s="129"/>
      <c r="AI64" s="129"/>
      <c r="AJ64" s="130"/>
    </row>
    <row r="65" spans="11:36">
      <c r="K65" s="76"/>
      <c r="L65" s="48" t="e">
        <f t="shared" si="14"/>
        <v>#VALUE!</v>
      </c>
      <c r="M65" s="32" t="str">
        <f t="shared" si="25"/>
        <v/>
      </c>
      <c r="N65" s="63" t="e">
        <f t="shared" si="15"/>
        <v>#VALUE!</v>
      </c>
      <c r="O65" s="86"/>
      <c r="P65" s="223"/>
      <c r="Q65" s="224"/>
      <c r="R65" s="135"/>
      <c r="S65" s="139" cm="1">
        <f t="array" ref="S65">IF(P65="",0,IF(OR(O65=";",P65="EQU",P65="ORG"),0,HlpGetInstructionSize(P65,Q65,R65,$AC$12)))</f>
        <v>0</v>
      </c>
      <c r="V65" s="42" t="str">
        <f t="shared" si="26"/>
        <v/>
      </c>
      <c r="W65" s="16"/>
      <c r="X65" s="28"/>
      <c r="Y65" s="29"/>
      <c r="AA65" s="66"/>
      <c r="AB65" s="117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28"/>
      <c r="AD65" s="129"/>
      <c r="AE65" s="129"/>
      <c r="AF65" s="129"/>
      <c r="AG65" s="129"/>
      <c r="AH65" s="129"/>
      <c r="AI65" s="129"/>
      <c r="AJ65" s="130"/>
    </row>
    <row r="66" spans="11:36">
      <c r="K66" s="76"/>
      <c r="L66" s="48" t="e">
        <f t="shared" si="14"/>
        <v>#VALUE!</v>
      </c>
      <c r="M66" s="32" t="str">
        <f t="shared" si="25"/>
        <v/>
      </c>
      <c r="N66" s="63" t="e">
        <f t="shared" si="15"/>
        <v>#VALUE!</v>
      </c>
      <c r="O66" s="86"/>
      <c r="P66" s="223"/>
      <c r="Q66" s="224"/>
      <c r="R66" s="135"/>
      <c r="S66" s="139" cm="1">
        <f t="array" ref="S66">IF(P66="",0,IF(OR(O66=";",P66="EQU",P66="ORG"),0,HlpGetInstructionSize(P66,Q66,R66,$AC$12)))</f>
        <v>0</v>
      </c>
      <c r="V66" s="42" t="str">
        <f t="shared" si="26"/>
        <v/>
      </c>
      <c r="W66" s="16"/>
      <c r="X66" s="28"/>
      <c r="Y66" s="29"/>
      <c r="AA66" s="66"/>
      <c r="AB66" s="117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28"/>
      <c r="AD66" s="129"/>
      <c r="AE66" s="129"/>
      <c r="AF66" s="129"/>
      <c r="AG66" s="129"/>
      <c r="AH66" s="129"/>
      <c r="AI66" s="129"/>
      <c r="AJ66" s="130"/>
    </row>
    <row r="67" spans="11:36">
      <c r="K67" s="76"/>
      <c r="L67" s="48" t="e">
        <f t="shared" si="14"/>
        <v>#VALUE!</v>
      </c>
      <c r="M67" s="32" t="str">
        <f t="shared" si="25"/>
        <v/>
      </c>
      <c r="N67" s="63" t="e">
        <f t="shared" si="15"/>
        <v>#VALUE!</v>
      </c>
      <c r="O67" s="86"/>
      <c r="P67" s="223"/>
      <c r="Q67" s="224"/>
      <c r="R67" s="135"/>
      <c r="S67" s="139" cm="1">
        <f t="array" ref="S67">IF(P67="",0,IF(OR(O67=";",P67="EQU",P67="ORG"),0,HlpGetInstructionSize(P67,Q67,R67,$AC$12)))</f>
        <v>0</v>
      </c>
      <c r="V67" s="42" t="str">
        <f t="shared" si="26"/>
        <v/>
      </c>
      <c r="W67" s="16"/>
      <c r="X67" s="28"/>
      <c r="Y67" s="29"/>
      <c r="AA67" s="66"/>
      <c r="AB67" s="117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28"/>
      <c r="AD67" s="129"/>
      <c r="AE67" s="129"/>
      <c r="AF67" s="129"/>
      <c r="AG67" s="129"/>
      <c r="AH67" s="129"/>
      <c r="AI67" s="129"/>
      <c r="AJ67" s="130"/>
    </row>
    <row r="68" spans="11:36">
      <c r="K68" s="76"/>
      <c r="L68" s="48" t="e">
        <f t="shared" si="14"/>
        <v>#VALUE!</v>
      </c>
      <c r="M68" s="32" t="str">
        <f t="shared" si="25"/>
        <v/>
      </c>
      <c r="N68" s="63" t="e">
        <f t="shared" si="15"/>
        <v>#VALUE!</v>
      </c>
      <c r="O68" s="86"/>
      <c r="P68" s="223"/>
      <c r="Q68" s="224"/>
      <c r="R68" s="135"/>
      <c r="S68" s="139" cm="1">
        <f t="array" ref="S68">IF(P68="",0,IF(OR(O68=";",P68="EQU",P68="ORG"),0,HlpGetInstructionSize(P68,Q68,R68,$AC$12)))</f>
        <v>0</v>
      </c>
      <c r="V68" s="42" t="str">
        <f t="shared" si="26"/>
        <v/>
      </c>
      <c r="W68" s="16"/>
      <c r="X68" s="28"/>
      <c r="Y68" s="29"/>
      <c r="AA68" s="66"/>
      <c r="AB68" s="117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28"/>
      <c r="AD68" s="129"/>
      <c r="AE68" s="129"/>
      <c r="AF68" s="129"/>
      <c r="AG68" s="129"/>
      <c r="AH68" s="129"/>
      <c r="AI68" s="129"/>
      <c r="AJ68" s="130"/>
    </row>
    <row r="69" spans="11:36">
      <c r="K69" s="76"/>
      <c r="L69" s="48" t="e">
        <f t="shared" si="14"/>
        <v>#VALUE!</v>
      </c>
      <c r="M69" s="32" t="str">
        <f t="shared" si="25"/>
        <v/>
      </c>
      <c r="N69" s="63" t="e">
        <f t="shared" si="15"/>
        <v>#VALUE!</v>
      </c>
      <c r="O69" s="86"/>
      <c r="P69" s="223"/>
      <c r="Q69" s="224"/>
      <c r="R69" s="135"/>
      <c r="S69" s="139" cm="1">
        <f t="array" ref="S69">IF(P69="",0,IF(OR(O69=";",P69="EQU",P69="ORG"),0,HlpGetInstructionSize(P69,Q69,R69,$AC$12)))</f>
        <v>0</v>
      </c>
      <c r="V69" s="42" t="str">
        <f t="shared" si="26"/>
        <v/>
      </c>
      <c r="W69" s="16"/>
      <c r="X69" s="28"/>
      <c r="Y69" s="29"/>
      <c r="AA69" s="66"/>
      <c r="AB69" s="117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28"/>
      <c r="AD69" s="129"/>
      <c r="AE69" s="129"/>
      <c r="AF69" s="129"/>
      <c r="AG69" s="129"/>
      <c r="AH69" s="129"/>
      <c r="AI69" s="129"/>
      <c r="AJ69" s="130"/>
    </row>
    <row r="70" spans="11:36">
      <c r="K70" s="76"/>
      <c r="L70" s="48" t="e">
        <f t="shared" si="14"/>
        <v>#VALUE!</v>
      </c>
      <c r="M70" s="32" t="str">
        <f t="shared" si="25"/>
        <v/>
      </c>
      <c r="N70" s="63" t="e">
        <f t="shared" si="15"/>
        <v>#VALUE!</v>
      </c>
      <c r="O70" s="86"/>
      <c r="P70" s="223"/>
      <c r="Q70" s="224"/>
      <c r="R70" s="135"/>
      <c r="S70" s="139" cm="1">
        <f t="array" ref="S70">IF(P70="",0,IF(OR(O70=";",P70="EQU",P70="ORG"),0,HlpGetInstructionSize(P70,Q70,R70,$AC$12)))</f>
        <v>0</v>
      </c>
      <c r="V70" s="42" t="str">
        <f t="shared" si="26"/>
        <v/>
      </c>
      <c r="W70" s="16"/>
      <c r="X70" s="28"/>
      <c r="Y70" s="29"/>
      <c r="AA70" s="66"/>
      <c r="AB70" s="117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28"/>
      <c r="AD70" s="129"/>
      <c r="AE70" s="129"/>
      <c r="AF70" s="129"/>
      <c r="AG70" s="129"/>
      <c r="AH70" s="129"/>
      <c r="AI70" s="129"/>
      <c r="AJ70" s="130"/>
    </row>
    <row r="71" spans="11:36">
      <c r="K71" s="76"/>
      <c r="L71" s="48" t="e">
        <f t="shared" si="14"/>
        <v>#VALUE!</v>
      </c>
      <c r="M71" s="32" t="str">
        <f t="shared" si="25"/>
        <v/>
      </c>
      <c r="N71" s="63" t="e">
        <f t="shared" si="15"/>
        <v>#VALUE!</v>
      </c>
      <c r="O71" s="86"/>
      <c r="P71" s="223"/>
      <c r="Q71" s="224"/>
      <c r="R71" s="135"/>
      <c r="S71" s="139" cm="1">
        <f t="array" ref="S71">IF(P71="",0,IF(OR(O71=";",P71="EQU",P71="ORG"),0,HlpGetInstructionSize(P71,Q71,R71,$AC$12)))</f>
        <v>0</v>
      </c>
      <c r="V71" s="42" t="str">
        <f t="shared" si="26"/>
        <v/>
      </c>
      <c r="W71" s="16"/>
      <c r="X71" s="28"/>
      <c r="Y71" s="29"/>
      <c r="AA71" s="66"/>
      <c r="AB71" s="117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28"/>
      <c r="AD71" s="129"/>
      <c r="AE71" s="129"/>
      <c r="AF71" s="129"/>
      <c r="AG71" s="129"/>
      <c r="AH71" s="129"/>
      <c r="AI71" s="129"/>
      <c r="AJ71" s="130"/>
    </row>
    <row r="72" spans="11:36">
      <c r="K72" s="76"/>
      <c r="L72" s="48" t="e">
        <f t="shared" si="14"/>
        <v>#VALUE!</v>
      </c>
      <c r="M72" s="32" t="str">
        <f t="shared" si="25"/>
        <v/>
      </c>
      <c r="N72" s="63" t="e">
        <f t="shared" si="15"/>
        <v>#VALUE!</v>
      </c>
      <c r="O72" s="86"/>
      <c r="P72" s="223"/>
      <c r="Q72" s="224"/>
      <c r="R72" s="135"/>
      <c r="S72" s="139" cm="1">
        <f t="array" ref="S72">IF(P72="",0,IF(OR(O72=";",P72="EQU",P72="ORG"),0,HlpGetInstructionSize(P72,Q72,R72,$AC$12)))</f>
        <v>0</v>
      </c>
      <c r="V72" s="42" t="str">
        <f t="shared" si="26"/>
        <v/>
      </c>
      <c r="W72" s="16"/>
      <c r="X72" s="28"/>
      <c r="Y72" s="29"/>
      <c r="AA72" s="66"/>
      <c r="AB72" s="117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28"/>
      <c r="AD72" s="129"/>
      <c r="AE72" s="129"/>
      <c r="AF72" s="129"/>
      <c r="AG72" s="129"/>
      <c r="AH72" s="129"/>
      <c r="AI72" s="129"/>
      <c r="AJ72" s="130"/>
    </row>
    <row r="73" spans="11:36">
      <c r="K73" s="76"/>
      <c r="L73" s="48" t="e">
        <f t="shared" ref="L73:L136" si="27">IF(UPPER(P73)="EQU","E",IF(P73="DB","D",IF(O73&lt;&gt;"","L",IF(N73="","F",""))))</f>
        <v>#VALUE!</v>
      </c>
      <c r="M73" s="32" t="str">
        <f t="shared" si="25"/>
        <v/>
      </c>
      <c r="N73" s="63" t="e">
        <f t="shared" si="15"/>
        <v>#VALUE!</v>
      </c>
      <c r="O73" s="86"/>
      <c r="P73" s="223"/>
      <c r="Q73" s="224"/>
      <c r="R73" s="135"/>
      <c r="S73" s="139" cm="1">
        <f t="array" ref="S73">IF(P73="",0,IF(OR(O73=";",P73="EQU",P73="ORG"),0,HlpGetInstructionSize(P73,Q73,R73,$AC$12)))</f>
        <v>0</v>
      </c>
      <c r="V73" s="42" t="str">
        <f t="shared" ref="V73:V136" si="28">IF(W73&gt;0,RIGHT("0000"&amp;DEC2HEX(W73),4),"")</f>
        <v/>
      </c>
      <c r="W73" s="16"/>
      <c r="X73" s="28"/>
      <c r="Y73" s="29"/>
      <c r="AA73" s="66"/>
      <c r="AB73" s="117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28"/>
      <c r="AD73" s="129"/>
      <c r="AE73" s="129"/>
      <c r="AF73" s="129"/>
      <c r="AG73" s="129"/>
      <c r="AH73" s="129"/>
      <c r="AI73" s="129"/>
      <c r="AJ73" s="130"/>
    </row>
    <row r="74" spans="11:36">
      <c r="K74" s="76"/>
      <c r="L74" s="48" t="e">
        <f t="shared" si="27"/>
        <v>#VALUE!</v>
      </c>
      <c r="M74" s="32" t="str">
        <f t="shared" si="25"/>
        <v/>
      </c>
      <c r="N74" s="63" t="e">
        <f t="shared" ref="N74:N137" si="29">N73+S73</f>
        <v>#VALUE!</v>
      </c>
      <c r="O74" s="86"/>
      <c r="P74" s="223"/>
      <c r="Q74" s="224"/>
      <c r="R74" s="135"/>
      <c r="S74" s="139" cm="1">
        <f t="array" ref="S74">IF(P74="",0,IF(OR(O74=";",P74="EQU",P74="ORG"),0,HlpGetInstructionSize(P74,Q74,R74,$AC$12)))</f>
        <v>0</v>
      </c>
      <c r="V74" s="42" t="str">
        <f t="shared" si="28"/>
        <v/>
      </c>
      <c r="W74" s="16"/>
      <c r="X74" s="28"/>
      <c r="Y74" s="29"/>
      <c r="AA74" s="66"/>
      <c r="AB74" s="117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28"/>
      <c r="AD74" s="129"/>
      <c r="AE74" s="129"/>
      <c r="AF74" s="129"/>
      <c r="AG74" s="129"/>
      <c r="AH74" s="129"/>
      <c r="AI74" s="129"/>
      <c r="AJ74" s="130"/>
    </row>
    <row r="75" spans="11:36">
      <c r="K75" s="76"/>
      <c r="L75" s="48" t="e">
        <f t="shared" si="27"/>
        <v>#VALUE!</v>
      </c>
      <c r="M75" s="32" t="str">
        <f t="shared" si="25"/>
        <v/>
      </c>
      <c r="N75" s="63" t="e">
        <f t="shared" si="29"/>
        <v>#VALUE!</v>
      </c>
      <c r="O75" s="86"/>
      <c r="P75" s="223"/>
      <c r="Q75" s="224"/>
      <c r="R75" s="135"/>
      <c r="S75" s="139" cm="1">
        <f t="array" ref="S75">IF(P75="",0,IF(OR(O75=";",P75="EQU",P75="ORG"),0,HlpGetInstructionSize(P75,Q75,R75,$AC$12)))</f>
        <v>0</v>
      </c>
      <c r="V75" s="42" t="str">
        <f t="shared" si="28"/>
        <v/>
      </c>
      <c r="W75" s="16"/>
      <c r="X75" s="28"/>
      <c r="Y75" s="29"/>
      <c r="AA75" s="66"/>
      <c r="AB75" s="117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28"/>
      <c r="AD75" s="129"/>
      <c r="AE75" s="129"/>
      <c r="AF75" s="129"/>
      <c r="AG75" s="129"/>
      <c r="AH75" s="129"/>
      <c r="AI75" s="129"/>
      <c r="AJ75" s="130"/>
    </row>
    <row r="76" spans="11:36">
      <c r="K76" s="76"/>
      <c r="L76" s="48" t="e">
        <f t="shared" si="27"/>
        <v>#VALUE!</v>
      </c>
      <c r="M76" s="32" t="str">
        <f t="shared" si="25"/>
        <v/>
      </c>
      <c r="N76" s="63" t="e">
        <f t="shared" si="29"/>
        <v>#VALUE!</v>
      </c>
      <c r="O76" s="86"/>
      <c r="P76" s="223"/>
      <c r="Q76" s="224"/>
      <c r="R76" s="135"/>
      <c r="S76" s="139" cm="1">
        <f t="array" ref="S76">IF(P76="",0,IF(OR(O76=";",P76="EQU",P76="ORG"),0,HlpGetInstructionSize(P76,Q76,R76,$AC$12)))</f>
        <v>0</v>
      </c>
      <c r="V76" s="42" t="str">
        <f t="shared" si="28"/>
        <v/>
      </c>
      <c r="W76" s="16"/>
      <c r="X76" s="28"/>
      <c r="Y76" s="29"/>
      <c r="AA76" s="66"/>
      <c r="AB76" s="117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28"/>
      <c r="AD76" s="129"/>
      <c r="AE76" s="129"/>
      <c r="AF76" s="129"/>
      <c r="AG76" s="129"/>
      <c r="AH76" s="129"/>
      <c r="AI76" s="129"/>
      <c r="AJ76" s="130"/>
    </row>
    <row r="77" spans="11:36">
      <c r="K77" s="76"/>
      <c r="L77" s="48" t="e">
        <f t="shared" si="27"/>
        <v>#VALUE!</v>
      </c>
      <c r="M77" s="32" t="str">
        <f t="shared" si="25"/>
        <v/>
      </c>
      <c r="N77" s="63" t="e">
        <f t="shared" si="29"/>
        <v>#VALUE!</v>
      </c>
      <c r="O77" s="86"/>
      <c r="P77" s="223"/>
      <c r="Q77" s="224"/>
      <c r="R77" s="135"/>
      <c r="S77" s="139" cm="1">
        <f t="array" ref="S77">IF(P77="",0,IF(OR(O77=";",P77="EQU",P77="ORG"),0,HlpGetInstructionSize(P77,Q77,R77,$AC$12)))</f>
        <v>0</v>
      </c>
      <c r="V77" s="42" t="str">
        <f t="shared" si="28"/>
        <v/>
      </c>
      <c r="W77" s="16"/>
      <c r="X77" s="28"/>
      <c r="Y77" s="29"/>
      <c r="AA77" s="66"/>
      <c r="AB77" s="117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28"/>
      <c r="AD77" s="129"/>
      <c r="AE77" s="129"/>
      <c r="AF77" s="129"/>
      <c r="AG77" s="129"/>
      <c r="AH77" s="129"/>
      <c r="AI77" s="129"/>
      <c r="AJ77" s="130"/>
    </row>
    <row r="78" spans="11:36">
      <c r="K78" s="76"/>
      <c r="L78" s="48" t="e">
        <f t="shared" si="27"/>
        <v>#VALUE!</v>
      </c>
      <c r="M78" s="32" t="str">
        <f t="shared" si="25"/>
        <v/>
      </c>
      <c r="N78" s="63" t="e">
        <f t="shared" si="29"/>
        <v>#VALUE!</v>
      </c>
      <c r="O78" s="86"/>
      <c r="P78" s="223"/>
      <c r="Q78" s="224"/>
      <c r="R78" s="135"/>
      <c r="S78" s="139" cm="1">
        <f t="array" ref="S78">IF(P78="",0,IF(OR(O78=";",P78="EQU",P78="ORG"),0,HlpGetInstructionSize(P78,Q78,R78,$AC$12)))</f>
        <v>0</v>
      </c>
      <c r="V78" s="42" t="str">
        <f t="shared" si="28"/>
        <v/>
      </c>
      <c r="W78" s="16"/>
      <c r="X78" s="28"/>
      <c r="Y78" s="29"/>
      <c r="AA78" s="66"/>
      <c r="AB78" s="117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28"/>
      <c r="AD78" s="129"/>
      <c r="AE78" s="129"/>
      <c r="AF78" s="129"/>
      <c r="AG78" s="129"/>
      <c r="AH78" s="129"/>
      <c r="AI78" s="129"/>
      <c r="AJ78" s="130"/>
    </row>
    <row r="79" spans="11:36">
      <c r="K79" s="76"/>
      <c r="L79" s="48" t="e">
        <f t="shared" si="27"/>
        <v>#VALUE!</v>
      </c>
      <c r="M79" s="32" t="str">
        <f t="shared" si="25"/>
        <v/>
      </c>
      <c r="N79" s="63" t="e">
        <f t="shared" si="29"/>
        <v>#VALUE!</v>
      </c>
      <c r="O79" s="86"/>
      <c r="P79" s="223"/>
      <c r="Q79" s="224"/>
      <c r="R79" s="135"/>
      <c r="S79" s="139" cm="1">
        <f t="array" ref="S79">IF(P79="",0,IF(OR(O79=";",P79="EQU",P79="ORG"),0,HlpGetInstructionSize(P79,Q79,R79,$AC$12)))</f>
        <v>0</v>
      </c>
      <c r="V79" s="42" t="str">
        <f t="shared" si="28"/>
        <v/>
      </c>
      <c r="W79" s="16"/>
      <c r="X79" s="28"/>
      <c r="Y79" s="29"/>
      <c r="AA79" s="66"/>
      <c r="AB79" s="117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28"/>
      <c r="AD79" s="129"/>
      <c r="AE79" s="129"/>
      <c r="AF79" s="129"/>
      <c r="AG79" s="129"/>
      <c r="AH79" s="129"/>
      <c r="AI79" s="129"/>
      <c r="AJ79" s="130"/>
    </row>
    <row r="80" spans="11:36">
      <c r="K80" s="76"/>
      <c r="L80" s="48" t="e">
        <f t="shared" si="27"/>
        <v>#VALUE!</v>
      </c>
      <c r="M80" s="32" t="str">
        <f t="shared" si="25"/>
        <v/>
      </c>
      <c r="N80" s="63" t="e">
        <f t="shared" si="29"/>
        <v>#VALUE!</v>
      </c>
      <c r="O80" s="86"/>
      <c r="P80" s="223"/>
      <c r="Q80" s="224"/>
      <c r="R80" s="135"/>
      <c r="S80" s="139" cm="1">
        <f t="array" ref="S80">IF(P80="",0,IF(OR(O80=";",P80="EQU",P80="ORG"),0,HlpGetInstructionSize(P80,Q80,R80,$AC$12)))</f>
        <v>0</v>
      </c>
      <c r="V80" s="42" t="str">
        <f t="shared" si="28"/>
        <v/>
      </c>
      <c r="W80" s="16"/>
      <c r="X80" s="28"/>
      <c r="Y80" s="29"/>
      <c r="AA80" s="66"/>
      <c r="AB80" s="11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28"/>
      <c r="AD80" s="129"/>
      <c r="AE80" s="129"/>
      <c r="AF80" s="129"/>
      <c r="AG80" s="129"/>
      <c r="AH80" s="129"/>
      <c r="AI80" s="129"/>
      <c r="AJ80" s="130"/>
    </row>
    <row r="81" spans="11:36">
      <c r="K81" s="76"/>
      <c r="L81" s="48" t="e">
        <f t="shared" si="27"/>
        <v>#VALUE!</v>
      </c>
      <c r="M81" s="32" t="str">
        <f t="shared" si="25"/>
        <v/>
      </c>
      <c r="N81" s="63" t="e">
        <f t="shared" si="29"/>
        <v>#VALUE!</v>
      </c>
      <c r="O81" s="86"/>
      <c r="P81" s="223"/>
      <c r="Q81" s="224"/>
      <c r="R81" s="135"/>
      <c r="S81" s="139" cm="1">
        <f t="array" ref="S81">IF(P81="",0,IF(OR(O81=";",P81="EQU",P81="ORG"),0,HlpGetInstructionSize(P81,Q81,R81,$AC$12)))</f>
        <v>0</v>
      </c>
      <c r="V81" s="42" t="str">
        <f t="shared" si="28"/>
        <v/>
      </c>
      <c r="W81" s="16"/>
      <c r="X81" s="28"/>
      <c r="Y81" s="29"/>
      <c r="AA81" s="66"/>
      <c r="AB81" s="11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28"/>
      <c r="AD81" s="129"/>
      <c r="AE81" s="129"/>
      <c r="AF81" s="129"/>
      <c r="AG81" s="129"/>
      <c r="AH81" s="129"/>
      <c r="AI81" s="129"/>
      <c r="AJ81" s="130"/>
    </row>
    <row r="82" spans="11:36">
      <c r="K82" s="76"/>
      <c r="L82" s="48" t="e">
        <f t="shared" si="27"/>
        <v>#VALUE!</v>
      </c>
      <c r="M82" s="32" t="str">
        <f t="shared" si="25"/>
        <v/>
      </c>
      <c r="N82" s="63" t="e">
        <f t="shared" si="29"/>
        <v>#VALUE!</v>
      </c>
      <c r="O82" s="86"/>
      <c r="P82" s="223"/>
      <c r="Q82" s="224"/>
      <c r="R82" s="135"/>
      <c r="S82" s="139" cm="1">
        <f t="array" ref="S82">IF(P82="",0,IF(OR(O82=";",P82="EQU",P82="ORG"),0,HlpGetInstructionSize(P82,Q82,R82,$AC$12)))</f>
        <v>0</v>
      </c>
      <c r="V82" s="42" t="str">
        <f t="shared" si="28"/>
        <v/>
      </c>
      <c r="W82" s="16"/>
      <c r="X82" s="28"/>
      <c r="Y82" s="29"/>
      <c r="AA82" s="66"/>
      <c r="AB82" s="11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28"/>
      <c r="AD82" s="129"/>
      <c r="AE82" s="129"/>
      <c r="AF82" s="129"/>
      <c r="AG82" s="129"/>
      <c r="AH82" s="129"/>
      <c r="AI82" s="129"/>
      <c r="AJ82" s="130"/>
    </row>
    <row r="83" spans="11:36">
      <c r="K83" s="76"/>
      <c r="L83" s="48" t="e">
        <f t="shared" si="27"/>
        <v>#VALUE!</v>
      </c>
      <c r="M83" s="32" t="str">
        <f t="shared" si="25"/>
        <v/>
      </c>
      <c r="N83" s="63" t="e">
        <f t="shared" si="29"/>
        <v>#VALUE!</v>
      </c>
      <c r="O83" s="86"/>
      <c r="P83" s="223"/>
      <c r="Q83" s="224"/>
      <c r="R83" s="135"/>
      <c r="S83" s="139" cm="1">
        <f t="array" ref="S83">IF(P83="",0,IF(OR(O83=";",P83="EQU",P83="ORG"),0,HlpGetInstructionSize(P83,Q83,R83,$AC$12)))</f>
        <v>0</v>
      </c>
      <c r="V83" s="42" t="str">
        <f t="shared" si="28"/>
        <v/>
      </c>
      <c r="W83" s="16"/>
      <c r="X83" s="28"/>
      <c r="Y83" s="29"/>
      <c r="AA83" s="66"/>
      <c r="AB83" s="11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28"/>
      <c r="AD83" s="129"/>
      <c r="AE83" s="129"/>
      <c r="AF83" s="129"/>
      <c r="AG83" s="129"/>
      <c r="AH83" s="129"/>
      <c r="AI83" s="129"/>
      <c r="AJ83" s="130"/>
    </row>
    <row r="84" spans="11:36">
      <c r="K84" s="76"/>
      <c r="L84" s="48" t="e">
        <f t="shared" si="27"/>
        <v>#VALUE!</v>
      </c>
      <c r="M84" s="32" t="str">
        <f t="shared" si="25"/>
        <v/>
      </c>
      <c r="N84" s="63" t="e">
        <f t="shared" si="29"/>
        <v>#VALUE!</v>
      </c>
      <c r="O84" s="86"/>
      <c r="P84" s="223"/>
      <c r="Q84" s="224"/>
      <c r="R84" s="135"/>
      <c r="S84" s="139" cm="1">
        <f t="array" ref="S84">IF(P84="",0,IF(OR(O84=";",P84="EQU",P84="ORG"),0,HlpGetInstructionSize(P84,Q84,R84,$AC$12)))</f>
        <v>0</v>
      </c>
      <c r="V84" s="42" t="str">
        <f t="shared" si="28"/>
        <v/>
      </c>
      <c r="W84" s="16"/>
      <c r="X84" s="28"/>
      <c r="Y84" s="29"/>
      <c r="AA84" s="66"/>
      <c r="AB84" s="11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28"/>
      <c r="AD84" s="129"/>
      <c r="AE84" s="129"/>
      <c r="AF84" s="129"/>
      <c r="AG84" s="129"/>
      <c r="AH84" s="129"/>
      <c r="AI84" s="129"/>
      <c r="AJ84" s="130"/>
    </row>
    <row r="85" spans="11:36">
      <c r="K85" s="76"/>
      <c r="L85" s="48" t="e">
        <f t="shared" si="27"/>
        <v>#VALUE!</v>
      </c>
      <c r="M85" s="32" t="str">
        <f t="shared" si="25"/>
        <v/>
      </c>
      <c r="N85" s="63" t="e">
        <f t="shared" si="29"/>
        <v>#VALUE!</v>
      </c>
      <c r="O85" s="86"/>
      <c r="P85" s="223"/>
      <c r="Q85" s="224"/>
      <c r="R85" s="135"/>
      <c r="S85" s="139" cm="1">
        <f t="array" ref="S85">IF(P85="",0,IF(OR(O85=";",P85="EQU",P85="ORG"),0,HlpGetInstructionSize(P85,Q85,R85,$AC$12)))</f>
        <v>0</v>
      </c>
      <c r="V85" s="42" t="str">
        <f t="shared" si="28"/>
        <v/>
      </c>
      <c r="W85" s="16"/>
      <c r="X85" s="28"/>
      <c r="Y85" s="29"/>
      <c r="AA85" s="66"/>
      <c r="AB85" s="11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28"/>
      <c r="AD85" s="129"/>
      <c r="AE85" s="129"/>
      <c r="AF85" s="129"/>
      <c r="AG85" s="129"/>
      <c r="AH85" s="129"/>
      <c r="AI85" s="129"/>
      <c r="AJ85" s="130"/>
    </row>
    <row r="86" spans="11:36">
      <c r="K86" s="76"/>
      <c r="L86" s="48" t="e">
        <f t="shared" si="27"/>
        <v>#VALUE!</v>
      </c>
      <c r="M86" s="32" t="str">
        <f t="shared" si="25"/>
        <v/>
      </c>
      <c r="N86" s="63" t="e">
        <f t="shared" si="29"/>
        <v>#VALUE!</v>
      </c>
      <c r="O86" s="86"/>
      <c r="P86" s="223"/>
      <c r="Q86" s="224"/>
      <c r="R86" s="135"/>
      <c r="S86" s="139" cm="1">
        <f t="array" ref="S86">IF(P86="",0,IF(OR(O86=";",P86="EQU",P86="ORG"),0,HlpGetInstructionSize(P86,Q86,R86,$AC$12)))</f>
        <v>0</v>
      </c>
      <c r="V86" s="42" t="str">
        <f t="shared" si="28"/>
        <v/>
      </c>
      <c r="W86" s="16"/>
      <c r="X86" s="28"/>
      <c r="Y86" s="29"/>
      <c r="AA86" s="66"/>
      <c r="AB86" s="11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28"/>
      <c r="AD86" s="129"/>
      <c r="AE86" s="129"/>
      <c r="AF86" s="129"/>
      <c r="AG86" s="129"/>
      <c r="AH86" s="129"/>
      <c r="AI86" s="129"/>
      <c r="AJ86" s="130"/>
    </row>
    <row r="87" spans="11:36">
      <c r="K87" s="76"/>
      <c r="L87" s="48" t="e">
        <f t="shared" si="27"/>
        <v>#VALUE!</v>
      </c>
      <c r="M87" s="32" t="str">
        <f t="shared" si="25"/>
        <v/>
      </c>
      <c r="N87" s="63" t="e">
        <f t="shared" si="29"/>
        <v>#VALUE!</v>
      </c>
      <c r="O87" s="86"/>
      <c r="P87" s="223"/>
      <c r="Q87" s="224"/>
      <c r="R87" s="135"/>
      <c r="S87" s="139" cm="1">
        <f t="array" ref="S87">IF(P87="",0,IF(OR(O87=";",P87="EQU",P87="ORG"),0,HlpGetInstructionSize(P87,Q87,R87,$AC$12)))</f>
        <v>0</v>
      </c>
      <c r="V87" s="42" t="str">
        <f t="shared" si="28"/>
        <v/>
      </c>
      <c r="W87" s="16"/>
      <c r="X87" s="28"/>
      <c r="Y87" s="29"/>
      <c r="AA87" s="66"/>
      <c r="AB87" s="11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28"/>
      <c r="AD87" s="129"/>
      <c r="AE87" s="129"/>
      <c r="AF87" s="129"/>
      <c r="AG87" s="129"/>
      <c r="AH87" s="129"/>
      <c r="AI87" s="129"/>
      <c r="AJ87" s="130"/>
    </row>
    <row r="88" spans="11:36">
      <c r="K88" s="76"/>
      <c r="L88" s="48" t="e">
        <f t="shared" si="27"/>
        <v>#VALUE!</v>
      </c>
      <c r="M88" s="32" t="str">
        <f t="shared" si="25"/>
        <v/>
      </c>
      <c r="N88" s="63" t="e">
        <f t="shared" si="29"/>
        <v>#VALUE!</v>
      </c>
      <c r="O88" s="86"/>
      <c r="P88" s="223"/>
      <c r="Q88" s="224"/>
      <c r="R88" s="135"/>
      <c r="S88" s="139" cm="1">
        <f t="array" ref="S88">IF(P88="",0,IF(OR(O88=";",P88="EQU",P88="ORG"),0,HlpGetInstructionSize(P88,Q88,R88,$AC$12)))</f>
        <v>0</v>
      </c>
      <c r="V88" s="42" t="str">
        <f t="shared" si="28"/>
        <v/>
      </c>
      <c r="W88" s="16"/>
      <c r="X88" s="28"/>
      <c r="Y88" s="29"/>
      <c r="AA88" s="66"/>
      <c r="AB88" s="11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28"/>
      <c r="AD88" s="129"/>
      <c r="AE88" s="129"/>
      <c r="AF88" s="129"/>
      <c r="AG88" s="129"/>
      <c r="AH88" s="129"/>
      <c r="AI88" s="129"/>
      <c r="AJ88" s="130"/>
    </row>
    <row r="89" spans="11:36">
      <c r="K89" s="76"/>
      <c r="L89" s="48" t="e">
        <f t="shared" si="27"/>
        <v>#VALUE!</v>
      </c>
      <c r="M89" s="32" t="str">
        <f t="shared" si="25"/>
        <v/>
      </c>
      <c r="N89" s="63" t="e">
        <f t="shared" si="29"/>
        <v>#VALUE!</v>
      </c>
      <c r="O89" s="86"/>
      <c r="P89" s="223"/>
      <c r="Q89" s="224"/>
      <c r="R89" s="135"/>
      <c r="S89" s="139" cm="1">
        <f t="array" ref="S89">IF(P89="",0,IF(OR(O89=";",P89="EQU",P89="ORG"),0,HlpGetInstructionSize(P89,Q89,R89,$AC$12)))</f>
        <v>0</v>
      </c>
      <c r="V89" s="42" t="str">
        <f t="shared" si="28"/>
        <v/>
      </c>
      <c r="W89" s="16"/>
      <c r="X89" s="28"/>
      <c r="Y89" s="29"/>
      <c r="AA89" s="66"/>
      <c r="AB89" s="11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28"/>
      <c r="AD89" s="129"/>
      <c r="AE89" s="129"/>
      <c r="AF89" s="129"/>
      <c r="AG89" s="129"/>
      <c r="AH89" s="129"/>
      <c r="AI89" s="129"/>
      <c r="AJ89" s="130"/>
    </row>
    <row r="90" spans="11:36">
      <c r="K90" s="76"/>
      <c r="L90" s="48" t="e">
        <f t="shared" si="27"/>
        <v>#VALUE!</v>
      </c>
      <c r="M90" s="32" t="str">
        <f t="shared" si="25"/>
        <v/>
      </c>
      <c r="N90" s="63" t="e">
        <f t="shared" si="29"/>
        <v>#VALUE!</v>
      </c>
      <c r="O90" s="86"/>
      <c r="P90" s="223"/>
      <c r="Q90" s="224"/>
      <c r="R90" s="135"/>
      <c r="S90" s="139" cm="1">
        <f t="array" ref="S90">IF(P90="",0,IF(OR(O90=";",P90="EQU",P90="ORG"),0,HlpGetInstructionSize(P90,Q90,R90,$AC$12)))</f>
        <v>0</v>
      </c>
      <c r="V90" s="42" t="str">
        <f t="shared" si="28"/>
        <v/>
      </c>
      <c r="W90" s="16"/>
      <c r="X90" s="28"/>
      <c r="Y90" s="29"/>
      <c r="AA90" s="66"/>
      <c r="AB90" s="11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28"/>
      <c r="AD90" s="129"/>
      <c r="AE90" s="129"/>
      <c r="AF90" s="129"/>
      <c r="AG90" s="129"/>
      <c r="AH90" s="129"/>
      <c r="AI90" s="129"/>
      <c r="AJ90" s="130"/>
    </row>
    <row r="91" spans="11:36">
      <c r="K91" s="76"/>
      <c r="L91" s="48" t="e">
        <f t="shared" si="27"/>
        <v>#VALUE!</v>
      </c>
      <c r="M91" s="32" t="str">
        <f t="shared" si="25"/>
        <v/>
      </c>
      <c r="N91" s="63" t="e">
        <f t="shared" si="29"/>
        <v>#VALUE!</v>
      </c>
      <c r="O91" s="86"/>
      <c r="P91" s="223"/>
      <c r="Q91" s="224"/>
      <c r="R91" s="135"/>
      <c r="S91" s="139" cm="1">
        <f t="array" ref="S91">IF(P91="",0,IF(OR(O91=";",P91="EQU",P91="ORG"),0,HlpGetInstructionSize(P91,Q91,R91,$AC$12)))</f>
        <v>0</v>
      </c>
      <c r="V91" s="42" t="str">
        <f t="shared" si="28"/>
        <v/>
      </c>
      <c r="W91" s="16"/>
      <c r="X91" s="28"/>
      <c r="Y91" s="29"/>
      <c r="AA91" s="66"/>
      <c r="AB91" s="11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28"/>
      <c r="AD91" s="129"/>
      <c r="AE91" s="129"/>
      <c r="AF91" s="129"/>
      <c r="AG91" s="129"/>
      <c r="AH91" s="129"/>
      <c r="AI91" s="129"/>
      <c r="AJ91" s="130"/>
    </row>
    <row r="92" spans="11:36">
      <c r="K92" s="76"/>
      <c r="L92" s="48" t="e">
        <f t="shared" si="27"/>
        <v>#VALUE!</v>
      </c>
      <c r="M92" s="32" t="str">
        <f t="shared" si="25"/>
        <v/>
      </c>
      <c r="N92" s="63" t="e">
        <f t="shared" si="29"/>
        <v>#VALUE!</v>
      </c>
      <c r="O92" s="86"/>
      <c r="P92" s="223"/>
      <c r="Q92" s="224"/>
      <c r="R92" s="135"/>
      <c r="S92" s="139" cm="1">
        <f t="array" ref="S92">IF(P92="",0,IF(OR(O92=";",P92="EQU",P92="ORG"),0,HlpGetInstructionSize(P92,Q92,R92,$AC$12)))</f>
        <v>0</v>
      </c>
      <c r="V92" s="42" t="str">
        <f t="shared" si="28"/>
        <v/>
      </c>
      <c r="W92" s="16"/>
      <c r="X92" s="28"/>
      <c r="Y92" s="29"/>
      <c r="AA92" s="66"/>
      <c r="AB92" s="11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28"/>
      <c r="AD92" s="129"/>
      <c r="AE92" s="129"/>
      <c r="AF92" s="129"/>
      <c r="AG92" s="129"/>
      <c r="AH92" s="129"/>
      <c r="AI92" s="129"/>
      <c r="AJ92" s="130"/>
    </row>
    <row r="93" spans="11:36">
      <c r="K93" s="76"/>
      <c r="L93" s="48" t="e">
        <f t="shared" si="27"/>
        <v>#VALUE!</v>
      </c>
      <c r="M93" s="32" t="str">
        <f t="shared" ref="M93:M156" si="30">IFERROR(RIGHT("0000"&amp;DEC2HEX(N93),4),"")</f>
        <v/>
      </c>
      <c r="N93" s="63" t="e">
        <f t="shared" si="29"/>
        <v>#VALUE!</v>
      </c>
      <c r="O93" s="86"/>
      <c r="P93" s="223"/>
      <c r="Q93" s="224"/>
      <c r="R93" s="135"/>
      <c r="S93" s="139" cm="1">
        <f t="array" ref="S93">IF(P93="",0,IF(OR(O93=";",P93="EQU",P93="ORG"),0,HlpGetInstructionSize(P93,Q93,R93,$AC$12)))</f>
        <v>0</v>
      </c>
      <c r="V93" s="42" t="str">
        <f t="shared" si="28"/>
        <v/>
      </c>
      <c r="W93" s="16"/>
      <c r="X93" s="28"/>
      <c r="Y93" s="29"/>
      <c r="AA93" s="66"/>
      <c r="AB93" s="11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28"/>
      <c r="AD93" s="129"/>
      <c r="AE93" s="129"/>
      <c r="AF93" s="129"/>
      <c r="AG93" s="129"/>
      <c r="AH93" s="129"/>
      <c r="AI93" s="129"/>
      <c r="AJ93" s="130"/>
    </row>
    <row r="94" spans="11:36">
      <c r="K94" s="76"/>
      <c r="L94" s="48" t="e">
        <f t="shared" si="27"/>
        <v>#VALUE!</v>
      </c>
      <c r="M94" s="32" t="str">
        <f t="shared" si="30"/>
        <v/>
      </c>
      <c r="N94" s="63" t="e">
        <f t="shared" si="29"/>
        <v>#VALUE!</v>
      </c>
      <c r="O94" s="86"/>
      <c r="P94" s="223"/>
      <c r="Q94" s="224"/>
      <c r="R94" s="135"/>
      <c r="S94" s="139" cm="1">
        <f t="array" ref="S94">IF(P94="",0,IF(OR(O94=";",P94="EQU",P94="ORG"),0,HlpGetInstructionSize(P94,Q94,R94,$AC$12)))</f>
        <v>0</v>
      </c>
      <c r="V94" s="42" t="str">
        <f t="shared" si="28"/>
        <v/>
      </c>
      <c r="W94" s="16"/>
      <c r="X94" s="28"/>
      <c r="Y94" s="29"/>
      <c r="AA94" s="66"/>
      <c r="AB94" s="11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28"/>
      <c r="AD94" s="129"/>
      <c r="AE94" s="129"/>
      <c r="AF94" s="129"/>
      <c r="AG94" s="129"/>
      <c r="AH94" s="129"/>
      <c r="AI94" s="129"/>
      <c r="AJ94" s="130"/>
    </row>
    <row r="95" spans="11:36">
      <c r="K95" s="76"/>
      <c r="L95" s="48" t="e">
        <f t="shared" si="27"/>
        <v>#VALUE!</v>
      </c>
      <c r="M95" s="32" t="str">
        <f t="shared" si="30"/>
        <v/>
      </c>
      <c r="N95" s="63" t="e">
        <f t="shared" si="29"/>
        <v>#VALUE!</v>
      </c>
      <c r="O95" s="86"/>
      <c r="P95" s="223"/>
      <c r="Q95" s="224"/>
      <c r="R95" s="135"/>
      <c r="S95" s="139" cm="1">
        <f t="array" ref="S95">IF(P95="",0,IF(OR(O95=";",P95="EQU",P95="ORG"),0,HlpGetInstructionSize(P95,Q95,R95,$AC$12)))</f>
        <v>0</v>
      </c>
      <c r="V95" s="42" t="str">
        <f t="shared" si="28"/>
        <v/>
      </c>
      <c r="W95" s="16"/>
      <c r="X95" s="28"/>
      <c r="Y95" s="29"/>
      <c r="AA95" s="66"/>
      <c r="AB95" s="11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28"/>
      <c r="AD95" s="129"/>
      <c r="AE95" s="129"/>
      <c r="AF95" s="129"/>
      <c r="AG95" s="129"/>
      <c r="AH95" s="129"/>
      <c r="AI95" s="129"/>
      <c r="AJ95" s="130"/>
    </row>
    <row r="96" spans="11:36">
      <c r="K96" s="76"/>
      <c r="L96" s="48" t="e">
        <f t="shared" si="27"/>
        <v>#VALUE!</v>
      </c>
      <c r="M96" s="32" t="str">
        <f t="shared" si="30"/>
        <v/>
      </c>
      <c r="N96" s="63" t="e">
        <f t="shared" si="29"/>
        <v>#VALUE!</v>
      </c>
      <c r="O96" s="86"/>
      <c r="P96" s="223"/>
      <c r="Q96" s="224"/>
      <c r="R96" s="135"/>
      <c r="S96" s="139" cm="1">
        <f t="array" ref="S96">IF(P96="",0,IF(OR(O96=";",P96="EQU",P96="ORG"),0,HlpGetInstructionSize(P96,Q96,R96,$AC$12)))</f>
        <v>0</v>
      </c>
      <c r="V96" s="42" t="str">
        <f t="shared" si="28"/>
        <v/>
      </c>
      <c r="W96" s="16"/>
      <c r="X96" s="28"/>
      <c r="Y96" s="29"/>
      <c r="AA96" s="66"/>
      <c r="AB96" s="11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28"/>
      <c r="AD96" s="129"/>
      <c r="AE96" s="129"/>
      <c r="AF96" s="129"/>
      <c r="AG96" s="129"/>
      <c r="AH96" s="129"/>
      <c r="AI96" s="129"/>
      <c r="AJ96" s="130"/>
    </row>
    <row r="97" spans="11:36">
      <c r="K97" s="76"/>
      <c r="L97" s="48" t="e">
        <f t="shared" si="27"/>
        <v>#VALUE!</v>
      </c>
      <c r="M97" s="32" t="str">
        <f t="shared" si="30"/>
        <v/>
      </c>
      <c r="N97" s="63" t="e">
        <f t="shared" si="29"/>
        <v>#VALUE!</v>
      </c>
      <c r="O97" s="86"/>
      <c r="P97" s="223"/>
      <c r="Q97" s="224"/>
      <c r="R97" s="135"/>
      <c r="S97" s="139" cm="1">
        <f t="array" ref="S97">IF(P97="",0,IF(OR(O97=";",P97="EQU",P97="ORG"),0,HlpGetInstructionSize(P97,Q97,R97,$AC$12)))</f>
        <v>0</v>
      </c>
      <c r="V97" s="42" t="str">
        <f t="shared" si="28"/>
        <v/>
      </c>
      <c r="W97" s="16"/>
      <c r="X97" s="28"/>
      <c r="Y97" s="29"/>
      <c r="AA97" s="66"/>
      <c r="AB97" s="11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28"/>
      <c r="AD97" s="129"/>
      <c r="AE97" s="129"/>
      <c r="AF97" s="129"/>
      <c r="AG97" s="129"/>
      <c r="AH97" s="129"/>
      <c r="AI97" s="129"/>
      <c r="AJ97" s="130"/>
    </row>
    <row r="98" spans="11:36">
      <c r="K98" s="76"/>
      <c r="L98" s="48" t="e">
        <f t="shared" si="27"/>
        <v>#VALUE!</v>
      </c>
      <c r="M98" s="32" t="str">
        <f t="shared" si="30"/>
        <v/>
      </c>
      <c r="N98" s="63" t="e">
        <f t="shared" si="29"/>
        <v>#VALUE!</v>
      </c>
      <c r="O98" s="86"/>
      <c r="P98" s="223"/>
      <c r="Q98" s="224"/>
      <c r="R98" s="135"/>
      <c r="S98" s="139" cm="1">
        <f t="array" ref="S98">IF(P98="",0,IF(OR(O98=";",P98="EQU",P98="ORG"),0,HlpGetInstructionSize(P98,Q98,R98,$AC$12)))</f>
        <v>0</v>
      </c>
      <c r="V98" s="42" t="str">
        <f t="shared" si="28"/>
        <v/>
      </c>
      <c r="W98" s="16"/>
      <c r="X98" s="28"/>
      <c r="Y98" s="29"/>
      <c r="AA98" s="66"/>
      <c r="AB98" s="11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28"/>
      <c r="AD98" s="129"/>
      <c r="AE98" s="129"/>
      <c r="AF98" s="129"/>
      <c r="AG98" s="129"/>
      <c r="AH98" s="129"/>
      <c r="AI98" s="129"/>
      <c r="AJ98" s="130"/>
    </row>
    <row r="99" spans="11:36">
      <c r="K99" s="76"/>
      <c r="L99" s="48" t="e">
        <f t="shared" si="27"/>
        <v>#VALUE!</v>
      </c>
      <c r="M99" s="32" t="str">
        <f t="shared" si="30"/>
        <v/>
      </c>
      <c r="N99" s="63" t="e">
        <f t="shared" si="29"/>
        <v>#VALUE!</v>
      </c>
      <c r="O99" s="86"/>
      <c r="P99" s="223"/>
      <c r="Q99" s="224"/>
      <c r="R99" s="135"/>
      <c r="S99" s="139" cm="1">
        <f t="array" ref="S99">IF(P99="",0,IF(OR(O99=";",P99="EQU",P99="ORG"),0,HlpGetInstructionSize(P99,Q99,R99,$AC$12)))</f>
        <v>0</v>
      </c>
      <c r="V99" s="42" t="str">
        <f t="shared" si="28"/>
        <v/>
      </c>
      <c r="W99" s="16"/>
      <c r="X99" s="28"/>
      <c r="Y99" s="29"/>
      <c r="AA99" s="66"/>
      <c r="AB99" s="11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28"/>
      <c r="AD99" s="129"/>
      <c r="AE99" s="129"/>
      <c r="AF99" s="129"/>
      <c r="AG99" s="129"/>
      <c r="AH99" s="129"/>
      <c r="AI99" s="129"/>
      <c r="AJ99" s="130"/>
    </row>
    <row r="100" spans="11:36">
      <c r="K100" s="76"/>
      <c r="L100" s="48" t="e">
        <f t="shared" si="27"/>
        <v>#VALUE!</v>
      </c>
      <c r="M100" s="32" t="str">
        <f t="shared" si="30"/>
        <v/>
      </c>
      <c r="N100" s="63" t="e">
        <f t="shared" si="29"/>
        <v>#VALUE!</v>
      </c>
      <c r="O100" s="86"/>
      <c r="P100" s="223"/>
      <c r="Q100" s="224"/>
      <c r="R100" s="135"/>
      <c r="S100" s="139" cm="1">
        <f t="array" ref="S100">IF(P100="",0,IF(OR(O100=";",P100="EQU",P100="ORG"),0,HlpGetInstructionSize(P100,Q100,R100,$AC$12)))</f>
        <v>0</v>
      </c>
      <c r="V100" s="42" t="str">
        <f t="shared" si="28"/>
        <v/>
      </c>
      <c r="W100" s="16"/>
      <c r="X100" s="28"/>
      <c r="Y100" s="29"/>
      <c r="AA100" s="66"/>
      <c r="AB100" s="11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28"/>
      <c r="AD100" s="129"/>
      <c r="AE100" s="129"/>
      <c r="AF100" s="129"/>
      <c r="AG100" s="129"/>
      <c r="AH100" s="129"/>
      <c r="AI100" s="129"/>
      <c r="AJ100" s="130"/>
    </row>
    <row r="101" spans="11:36">
      <c r="K101" s="76"/>
      <c r="L101" s="48" t="e">
        <f t="shared" si="27"/>
        <v>#VALUE!</v>
      </c>
      <c r="M101" s="32" t="str">
        <f t="shared" si="30"/>
        <v/>
      </c>
      <c r="N101" s="63" t="e">
        <f t="shared" si="29"/>
        <v>#VALUE!</v>
      </c>
      <c r="O101" s="86"/>
      <c r="P101" s="223"/>
      <c r="Q101" s="224"/>
      <c r="R101" s="135"/>
      <c r="S101" s="139" cm="1">
        <f t="array" ref="S101">IF(P101="",0,IF(OR(O101=";",P101="EQU",P101="ORG"),0,HlpGetInstructionSize(P101,Q101,R101,$AC$12)))</f>
        <v>0</v>
      </c>
      <c r="V101" s="42" t="str">
        <f t="shared" si="28"/>
        <v/>
      </c>
      <c r="W101" s="16"/>
      <c r="X101" s="28"/>
      <c r="Y101" s="29"/>
      <c r="AA101" s="66"/>
      <c r="AB101" s="11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28"/>
      <c r="AD101" s="129"/>
      <c r="AE101" s="129"/>
      <c r="AF101" s="129"/>
      <c r="AG101" s="129"/>
      <c r="AH101" s="129"/>
      <c r="AI101" s="129"/>
      <c r="AJ101" s="130"/>
    </row>
    <row r="102" spans="11:36">
      <c r="K102" s="76"/>
      <c r="L102" s="48" t="e">
        <f t="shared" si="27"/>
        <v>#VALUE!</v>
      </c>
      <c r="M102" s="32" t="str">
        <f t="shared" si="30"/>
        <v/>
      </c>
      <c r="N102" s="63" t="e">
        <f t="shared" si="29"/>
        <v>#VALUE!</v>
      </c>
      <c r="O102" s="86"/>
      <c r="P102" s="223"/>
      <c r="Q102" s="224"/>
      <c r="R102" s="135"/>
      <c r="S102" s="139" cm="1">
        <f t="array" ref="S102">IF(P102="",0,IF(OR(O102=";",P102="EQU",P102="ORG"),0,HlpGetInstructionSize(P102,Q102,R102,$AC$12)))</f>
        <v>0</v>
      </c>
      <c r="V102" s="42" t="str">
        <f t="shared" si="28"/>
        <v/>
      </c>
      <c r="W102" s="16"/>
      <c r="X102" s="28"/>
      <c r="Y102" s="29"/>
      <c r="AA102" s="66"/>
      <c r="AB102" s="11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28"/>
      <c r="AD102" s="129"/>
      <c r="AE102" s="129"/>
      <c r="AF102" s="129"/>
      <c r="AG102" s="129"/>
      <c r="AH102" s="129"/>
      <c r="AI102" s="129"/>
      <c r="AJ102" s="130"/>
    </row>
    <row r="103" spans="11:36">
      <c r="K103" s="76"/>
      <c r="L103" s="48" t="e">
        <f t="shared" si="27"/>
        <v>#VALUE!</v>
      </c>
      <c r="M103" s="32" t="str">
        <f t="shared" si="30"/>
        <v/>
      </c>
      <c r="N103" s="63" t="e">
        <f t="shared" si="29"/>
        <v>#VALUE!</v>
      </c>
      <c r="O103" s="86"/>
      <c r="P103" s="223"/>
      <c r="Q103" s="224"/>
      <c r="R103" s="135"/>
      <c r="S103" s="139" cm="1">
        <f t="array" ref="S103">IF(P103="",0,IF(OR(O103=";",P103="EQU",P103="ORG"),0,HlpGetInstructionSize(P103,Q103,R103,$AC$12)))</f>
        <v>0</v>
      </c>
      <c r="V103" s="42" t="str">
        <f t="shared" si="28"/>
        <v/>
      </c>
      <c r="W103" s="16"/>
      <c r="X103" s="28"/>
      <c r="Y103" s="29"/>
      <c r="AA103" s="66"/>
      <c r="AB103" s="11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28"/>
      <c r="AD103" s="129"/>
      <c r="AE103" s="129"/>
      <c r="AF103" s="129"/>
      <c r="AG103" s="129"/>
      <c r="AH103" s="129"/>
      <c r="AI103" s="129"/>
      <c r="AJ103" s="130"/>
    </row>
    <row r="104" spans="11:36">
      <c r="K104" s="76"/>
      <c r="L104" s="48" t="e">
        <f t="shared" si="27"/>
        <v>#VALUE!</v>
      </c>
      <c r="M104" s="32" t="str">
        <f t="shared" si="30"/>
        <v/>
      </c>
      <c r="N104" s="63" t="e">
        <f t="shared" si="29"/>
        <v>#VALUE!</v>
      </c>
      <c r="O104" s="86"/>
      <c r="P104" s="223"/>
      <c r="Q104" s="224"/>
      <c r="R104" s="135"/>
      <c r="S104" s="139" cm="1">
        <f t="array" ref="S104">IF(P104="",0,IF(OR(O104=";",P104="EQU",P104="ORG"),0,HlpGetInstructionSize(P104,Q104,R104,$AC$12)))</f>
        <v>0</v>
      </c>
      <c r="V104" s="42" t="str">
        <f t="shared" si="28"/>
        <v/>
      </c>
      <c r="W104" s="16"/>
      <c r="X104" s="28"/>
      <c r="Y104" s="29"/>
      <c r="AA104" s="66"/>
      <c r="AB104" s="11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28"/>
      <c r="AD104" s="129"/>
      <c r="AE104" s="129"/>
      <c r="AF104" s="129"/>
      <c r="AG104" s="129"/>
      <c r="AH104" s="129"/>
      <c r="AI104" s="129"/>
      <c r="AJ104" s="130"/>
    </row>
    <row r="105" spans="11:36">
      <c r="K105" s="76"/>
      <c r="L105" s="48" t="e">
        <f t="shared" si="27"/>
        <v>#VALUE!</v>
      </c>
      <c r="M105" s="32" t="str">
        <f t="shared" si="30"/>
        <v/>
      </c>
      <c r="N105" s="63" t="e">
        <f t="shared" si="29"/>
        <v>#VALUE!</v>
      </c>
      <c r="O105" s="86"/>
      <c r="P105" s="223"/>
      <c r="Q105" s="224"/>
      <c r="R105" s="135"/>
      <c r="S105" s="139" cm="1">
        <f t="array" ref="S105">IF(P105="",0,IF(OR(O105=";",P105="EQU",P105="ORG"),0,HlpGetInstructionSize(P105,Q105,R105,$AC$12)))</f>
        <v>0</v>
      </c>
      <c r="V105" s="42" t="str">
        <f t="shared" si="28"/>
        <v/>
      </c>
      <c r="W105" s="16"/>
      <c r="X105" s="28"/>
      <c r="Y105" s="29"/>
      <c r="AA105" s="66"/>
      <c r="AB105" s="11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28"/>
      <c r="AD105" s="129"/>
      <c r="AE105" s="129"/>
      <c r="AF105" s="129"/>
      <c r="AG105" s="129"/>
      <c r="AH105" s="129"/>
      <c r="AI105" s="129"/>
      <c r="AJ105" s="130"/>
    </row>
    <row r="106" spans="11:36">
      <c r="K106" s="76"/>
      <c r="L106" s="48" t="e">
        <f t="shared" si="27"/>
        <v>#VALUE!</v>
      </c>
      <c r="M106" s="32" t="str">
        <f t="shared" si="30"/>
        <v/>
      </c>
      <c r="N106" s="63" t="e">
        <f t="shared" si="29"/>
        <v>#VALUE!</v>
      </c>
      <c r="O106" s="86"/>
      <c r="P106" s="223"/>
      <c r="Q106" s="224"/>
      <c r="R106" s="135"/>
      <c r="S106" s="139" cm="1">
        <f t="array" ref="S106">IF(P106="",0,IF(OR(O106=";",P106="EQU",P106="ORG"),0,HlpGetInstructionSize(P106,Q106,R106,$AC$12)))</f>
        <v>0</v>
      </c>
      <c r="V106" s="42" t="str">
        <f t="shared" si="28"/>
        <v/>
      </c>
      <c r="W106" s="16"/>
      <c r="X106" s="28"/>
      <c r="Y106" s="29"/>
      <c r="AA106" s="66"/>
      <c r="AB106" s="11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28"/>
      <c r="AD106" s="129"/>
      <c r="AE106" s="129"/>
      <c r="AF106" s="129"/>
      <c r="AG106" s="129"/>
      <c r="AH106" s="129"/>
      <c r="AI106" s="129"/>
      <c r="AJ106" s="130"/>
    </row>
    <row r="107" spans="11:36">
      <c r="K107" s="76"/>
      <c r="L107" s="48" t="e">
        <f t="shared" si="27"/>
        <v>#VALUE!</v>
      </c>
      <c r="M107" s="32" t="str">
        <f t="shared" si="30"/>
        <v/>
      </c>
      <c r="N107" s="63" t="e">
        <f t="shared" si="29"/>
        <v>#VALUE!</v>
      </c>
      <c r="O107" s="86"/>
      <c r="P107" s="223"/>
      <c r="Q107" s="224"/>
      <c r="R107" s="135"/>
      <c r="S107" s="139" cm="1">
        <f t="array" ref="S107">IF(P107="",0,IF(OR(O107=";",P107="EQU",P107="ORG"),0,HlpGetInstructionSize(P107,Q107,R107,$AC$12)))</f>
        <v>0</v>
      </c>
      <c r="V107" s="42" t="str">
        <f t="shared" si="28"/>
        <v/>
      </c>
      <c r="W107" s="16"/>
      <c r="X107" s="28"/>
      <c r="Y107" s="29"/>
      <c r="AA107" s="66"/>
      <c r="AB107" s="11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28"/>
      <c r="AD107" s="129"/>
      <c r="AE107" s="129"/>
      <c r="AF107" s="129"/>
      <c r="AG107" s="129"/>
      <c r="AH107" s="129"/>
      <c r="AI107" s="129"/>
      <c r="AJ107" s="130"/>
    </row>
    <row r="108" spans="11:36">
      <c r="K108" s="76"/>
      <c r="L108" s="48" t="e">
        <f t="shared" si="27"/>
        <v>#VALUE!</v>
      </c>
      <c r="M108" s="32" t="str">
        <f t="shared" si="30"/>
        <v/>
      </c>
      <c r="N108" s="63" t="e">
        <f t="shared" si="29"/>
        <v>#VALUE!</v>
      </c>
      <c r="O108" s="86"/>
      <c r="P108" s="223"/>
      <c r="Q108" s="224"/>
      <c r="R108" s="135"/>
      <c r="S108" s="139" cm="1">
        <f t="array" ref="S108">IF(P108="",0,IF(OR(O108=";",P108="EQU",P108="ORG"),0,HlpGetInstructionSize(P108,Q108,R108,$AC$12)))</f>
        <v>0</v>
      </c>
      <c r="V108" s="42" t="str">
        <f t="shared" si="28"/>
        <v/>
      </c>
      <c r="W108" s="16"/>
      <c r="X108" s="28"/>
      <c r="Y108" s="29"/>
      <c r="AA108" s="66"/>
      <c r="AB108" s="11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28"/>
      <c r="AD108" s="129"/>
      <c r="AE108" s="129"/>
      <c r="AF108" s="129"/>
      <c r="AG108" s="129"/>
      <c r="AH108" s="129"/>
      <c r="AI108" s="129"/>
      <c r="AJ108" s="130"/>
    </row>
    <row r="109" spans="11:36">
      <c r="K109" s="76"/>
      <c r="L109" s="48" t="e">
        <f t="shared" si="27"/>
        <v>#VALUE!</v>
      </c>
      <c r="M109" s="32" t="str">
        <f t="shared" si="30"/>
        <v/>
      </c>
      <c r="N109" s="63" t="e">
        <f t="shared" si="29"/>
        <v>#VALUE!</v>
      </c>
      <c r="O109" s="86"/>
      <c r="P109" s="223"/>
      <c r="Q109" s="224"/>
      <c r="R109" s="135"/>
      <c r="S109" s="139" cm="1">
        <f t="array" ref="S109">IF(P109="",0,IF(OR(O109=";",P109="EQU",P109="ORG"),0,HlpGetInstructionSize(P109,Q109,R109,$AC$12)))</f>
        <v>0</v>
      </c>
      <c r="V109" s="42" t="str">
        <f t="shared" si="28"/>
        <v/>
      </c>
      <c r="W109" s="16"/>
      <c r="X109" s="28"/>
      <c r="Y109" s="29"/>
      <c r="AA109" s="66"/>
      <c r="AB109" s="11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28"/>
      <c r="AD109" s="129"/>
      <c r="AE109" s="129"/>
      <c r="AF109" s="129"/>
      <c r="AG109" s="129"/>
      <c r="AH109" s="129"/>
      <c r="AI109" s="129"/>
      <c r="AJ109" s="130"/>
    </row>
    <row r="110" spans="11:36">
      <c r="K110" s="76"/>
      <c r="L110" s="48" t="e">
        <f t="shared" si="27"/>
        <v>#VALUE!</v>
      </c>
      <c r="M110" s="32" t="str">
        <f t="shared" si="30"/>
        <v/>
      </c>
      <c r="N110" s="63" t="e">
        <f t="shared" si="29"/>
        <v>#VALUE!</v>
      </c>
      <c r="O110" s="86"/>
      <c r="P110" s="223"/>
      <c r="Q110" s="224"/>
      <c r="R110" s="135"/>
      <c r="S110" s="139" cm="1">
        <f t="array" ref="S110">IF(P110="",0,IF(OR(O110=";",P110="EQU",P110="ORG"),0,HlpGetInstructionSize(P110,Q110,R110,$AC$12)))</f>
        <v>0</v>
      </c>
      <c r="V110" s="42" t="str">
        <f t="shared" si="28"/>
        <v/>
      </c>
      <c r="W110" s="16"/>
      <c r="X110" s="28"/>
      <c r="Y110" s="29"/>
      <c r="AA110" s="66"/>
      <c r="AB110" s="11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28"/>
      <c r="AD110" s="129"/>
      <c r="AE110" s="129"/>
      <c r="AF110" s="129"/>
      <c r="AG110" s="129"/>
      <c r="AH110" s="129"/>
      <c r="AI110" s="129"/>
      <c r="AJ110" s="130"/>
    </row>
    <row r="111" spans="11:36">
      <c r="K111" s="76"/>
      <c r="L111" s="48" t="e">
        <f t="shared" si="27"/>
        <v>#VALUE!</v>
      </c>
      <c r="M111" s="32" t="str">
        <f t="shared" si="30"/>
        <v/>
      </c>
      <c r="N111" s="63" t="e">
        <f t="shared" si="29"/>
        <v>#VALUE!</v>
      </c>
      <c r="O111" s="86"/>
      <c r="P111" s="223"/>
      <c r="Q111" s="224"/>
      <c r="R111" s="135"/>
      <c r="S111" s="139" cm="1">
        <f t="array" ref="S111">IF(P111="",0,IF(OR(O111=";",P111="EQU",P111="ORG"),0,HlpGetInstructionSize(P111,Q111,R111,$AC$12)))</f>
        <v>0</v>
      </c>
      <c r="V111" s="42" t="str">
        <f t="shared" si="28"/>
        <v/>
      </c>
      <c r="W111" s="16"/>
      <c r="X111" s="28"/>
      <c r="Y111" s="29"/>
      <c r="AA111" s="66"/>
      <c r="AB111" s="11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28"/>
      <c r="AD111" s="129"/>
      <c r="AE111" s="129"/>
      <c r="AF111" s="129"/>
      <c r="AG111" s="129"/>
      <c r="AH111" s="129"/>
      <c r="AI111" s="129"/>
      <c r="AJ111" s="130"/>
    </row>
    <row r="112" spans="11:36">
      <c r="K112" s="76"/>
      <c r="L112" s="48" t="e">
        <f t="shared" si="27"/>
        <v>#VALUE!</v>
      </c>
      <c r="M112" s="32" t="str">
        <f t="shared" si="30"/>
        <v/>
      </c>
      <c r="N112" s="63" t="e">
        <f t="shared" si="29"/>
        <v>#VALUE!</v>
      </c>
      <c r="O112" s="86"/>
      <c r="P112" s="223"/>
      <c r="Q112" s="224"/>
      <c r="R112" s="135"/>
      <c r="S112" s="139" cm="1">
        <f t="array" ref="S112">IF(P112="",0,IF(OR(O112=";",P112="EQU",P112="ORG"),0,HlpGetInstructionSize(P112,Q112,R112,$AC$12)))</f>
        <v>0</v>
      </c>
      <c r="V112" s="42" t="str">
        <f t="shared" si="28"/>
        <v/>
      </c>
      <c r="W112" s="16"/>
      <c r="X112" s="28"/>
      <c r="Y112" s="29"/>
      <c r="AA112" s="66"/>
      <c r="AB112" s="11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28"/>
      <c r="AD112" s="129"/>
      <c r="AE112" s="129"/>
      <c r="AF112" s="129"/>
      <c r="AG112" s="129"/>
      <c r="AH112" s="129"/>
      <c r="AI112" s="129"/>
      <c r="AJ112" s="130"/>
    </row>
    <row r="113" spans="11:36">
      <c r="K113" s="76"/>
      <c r="L113" s="48" t="e">
        <f t="shared" si="27"/>
        <v>#VALUE!</v>
      </c>
      <c r="M113" s="32" t="str">
        <f t="shared" si="30"/>
        <v/>
      </c>
      <c r="N113" s="63" t="e">
        <f t="shared" si="29"/>
        <v>#VALUE!</v>
      </c>
      <c r="O113" s="86"/>
      <c r="P113" s="223"/>
      <c r="Q113" s="224"/>
      <c r="R113" s="135"/>
      <c r="S113" s="139" cm="1">
        <f t="array" ref="S113">IF(P113="",0,IF(OR(O113=";",P113="EQU",P113="ORG"),0,HlpGetInstructionSize(P113,Q113,R113,$AC$12)))</f>
        <v>0</v>
      </c>
      <c r="V113" s="42" t="str">
        <f t="shared" si="28"/>
        <v/>
      </c>
      <c r="W113" s="16"/>
      <c r="X113" s="28"/>
      <c r="Y113" s="29"/>
      <c r="AA113" s="66"/>
      <c r="AB113" s="11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28"/>
      <c r="AD113" s="129"/>
      <c r="AE113" s="129"/>
      <c r="AF113" s="129"/>
      <c r="AG113" s="129"/>
      <c r="AH113" s="129"/>
      <c r="AI113" s="129"/>
      <c r="AJ113" s="130"/>
    </row>
    <row r="114" spans="11:36">
      <c r="K114" s="76"/>
      <c r="L114" s="48" t="e">
        <f t="shared" si="27"/>
        <v>#VALUE!</v>
      </c>
      <c r="M114" s="32" t="str">
        <f t="shared" si="30"/>
        <v/>
      </c>
      <c r="N114" s="63" t="e">
        <f t="shared" si="29"/>
        <v>#VALUE!</v>
      </c>
      <c r="O114" s="86"/>
      <c r="P114" s="223"/>
      <c r="Q114" s="224"/>
      <c r="R114" s="135"/>
      <c r="S114" s="139" cm="1">
        <f t="array" ref="S114">IF(P114="",0,IF(OR(O114=";",P114="EQU",P114="ORG"),0,HlpGetInstructionSize(P114,Q114,R114,$AC$12)))</f>
        <v>0</v>
      </c>
      <c r="V114" s="42" t="str">
        <f t="shared" si="28"/>
        <v/>
      </c>
      <c r="W114" s="16"/>
      <c r="X114" s="28"/>
      <c r="Y114" s="29"/>
      <c r="AA114" s="66"/>
      <c r="AB114" s="11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28"/>
      <c r="AD114" s="129"/>
      <c r="AE114" s="129"/>
      <c r="AF114" s="129"/>
      <c r="AG114" s="129"/>
      <c r="AH114" s="129"/>
      <c r="AI114" s="129"/>
      <c r="AJ114" s="130"/>
    </row>
    <row r="115" spans="11:36">
      <c r="K115" s="76"/>
      <c r="L115" s="48" t="e">
        <f t="shared" si="27"/>
        <v>#VALUE!</v>
      </c>
      <c r="M115" s="32" t="str">
        <f t="shared" si="30"/>
        <v/>
      </c>
      <c r="N115" s="63" t="e">
        <f t="shared" si="29"/>
        <v>#VALUE!</v>
      </c>
      <c r="O115" s="86"/>
      <c r="P115" s="223"/>
      <c r="Q115" s="224"/>
      <c r="R115" s="135"/>
      <c r="S115" s="139" cm="1">
        <f t="array" ref="S115">IF(P115="",0,IF(OR(O115=";",P115="EQU",P115="ORG"),0,HlpGetInstructionSize(P115,Q115,R115,$AC$12)))</f>
        <v>0</v>
      </c>
      <c r="V115" s="42" t="str">
        <f t="shared" si="28"/>
        <v/>
      </c>
      <c r="W115" s="16"/>
      <c r="X115" s="28"/>
      <c r="Y115" s="29"/>
      <c r="AA115" s="66"/>
      <c r="AB115" s="11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28"/>
      <c r="AD115" s="129"/>
      <c r="AE115" s="129"/>
      <c r="AF115" s="129"/>
      <c r="AG115" s="129"/>
      <c r="AH115" s="129"/>
      <c r="AI115" s="129"/>
      <c r="AJ115" s="130"/>
    </row>
    <row r="116" spans="11:36">
      <c r="K116" s="76"/>
      <c r="L116" s="48" t="e">
        <f t="shared" si="27"/>
        <v>#VALUE!</v>
      </c>
      <c r="M116" s="32" t="str">
        <f t="shared" si="30"/>
        <v/>
      </c>
      <c r="N116" s="63" t="e">
        <f t="shared" si="29"/>
        <v>#VALUE!</v>
      </c>
      <c r="O116" s="86"/>
      <c r="P116" s="223"/>
      <c r="Q116" s="224"/>
      <c r="R116" s="135"/>
      <c r="S116" s="139" cm="1">
        <f t="array" ref="S116">IF(P116="",0,IF(OR(O116=";",P116="EQU",P116="ORG"),0,HlpGetInstructionSize(P116,Q116,R116,$AC$12)))</f>
        <v>0</v>
      </c>
      <c r="V116" s="42" t="str">
        <f t="shared" si="28"/>
        <v/>
      </c>
      <c r="W116" s="16"/>
      <c r="X116" s="28"/>
      <c r="Y116" s="29"/>
      <c r="AA116" s="66"/>
      <c r="AB116" s="11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28"/>
      <c r="AD116" s="129"/>
      <c r="AE116" s="129"/>
      <c r="AF116" s="129"/>
      <c r="AG116" s="129"/>
      <c r="AH116" s="129"/>
      <c r="AI116" s="129"/>
      <c r="AJ116" s="130"/>
    </row>
    <row r="117" spans="11:36">
      <c r="K117" s="76"/>
      <c r="L117" s="48" t="e">
        <f t="shared" si="27"/>
        <v>#VALUE!</v>
      </c>
      <c r="M117" s="32" t="str">
        <f t="shared" si="30"/>
        <v/>
      </c>
      <c r="N117" s="63" t="e">
        <f t="shared" si="29"/>
        <v>#VALUE!</v>
      </c>
      <c r="O117" s="86"/>
      <c r="P117" s="223"/>
      <c r="Q117" s="224"/>
      <c r="R117" s="135"/>
      <c r="S117" s="139" cm="1">
        <f t="array" ref="S117">IF(P117="",0,IF(OR(O117=";",P117="EQU",P117="ORG"),0,HlpGetInstructionSize(P117,Q117,R117,$AC$12)))</f>
        <v>0</v>
      </c>
      <c r="V117" s="42" t="str">
        <f t="shared" si="28"/>
        <v/>
      </c>
      <c r="W117" s="16"/>
      <c r="X117" s="28"/>
      <c r="Y117" s="29"/>
      <c r="AA117" s="66"/>
      <c r="AB117" s="11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28"/>
      <c r="AD117" s="129"/>
      <c r="AE117" s="129"/>
      <c r="AF117" s="129"/>
      <c r="AG117" s="129"/>
      <c r="AH117" s="129"/>
      <c r="AI117" s="129"/>
      <c r="AJ117" s="130"/>
    </row>
    <row r="118" spans="11:36">
      <c r="K118" s="76"/>
      <c r="L118" s="48" t="e">
        <f t="shared" si="27"/>
        <v>#VALUE!</v>
      </c>
      <c r="M118" s="32" t="str">
        <f t="shared" si="30"/>
        <v/>
      </c>
      <c r="N118" s="63" t="e">
        <f t="shared" si="29"/>
        <v>#VALUE!</v>
      </c>
      <c r="O118" s="86"/>
      <c r="P118" s="223"/>
      <c r="Q118" s="224"/>
      <c r="R118" s="135"/>
      <c r="S118" s="139" cm="1">
        <f t="array" ref="S118">IF(P118="",0,IF(OR(O118=";",P118="EQU",P118="ORG"),0,HlpGetInstructionSize(P118,Q118,R118,$AC$12)))</f>
        <v>0</v>
      </c>
      <c r="V118" s="42" t="str">
        <f t="shared" si="28"/>
        <v/>
      </c>
      <c r="W118" s="16"/>
      <c r="X118" s="28"/>
      <c r="Y118" s="29"/>
      <c r="AA118" s="66"/>
      <c r="AB118" s="11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28"/>
      <c r="AD118" s="129"/>
      <c r="AE118" s="129"/>
      <c r="AF118" s="129"/>
      <c r="AG118" s="129"/>
      <c r="AH118" s="129"/>
      <c r="AI118" s="129"/>
      <c r="AJ118" s="130"/>
    </row>
    <row r="119" spans="11:36">
      <c r="K119" s="76"/>
      <c r="L119" s="48" t="e">
        <f t="shared" si="27"/>
        <v>#VALUE!</v>
      </c>
      <c r="M119" s="32" t="str">
        <f t="shared" si="30"/>
        <v/>
      </c>
      <c r="N119" s="63" t="e">
        <f t="shared" si="29"/>
        <v>#VALUE!</v>
      </c>
      <c r="O119" s="86"/>
      <c r="P119" s="223"/>
      <c r="Q119" s="224"/>
      <c r="R119" s="135"/>
      <c r="S119" s="139" cm="1">
        <f t="array" ref="S119">IF(P119="",0,IF(OR(O119=";",P119="EQU",P119="ORG"),0,HlpGetInstructionSize(P119,Q119,R119,$AC$12)))</f>
        <v>0</v>
      </c>
      <c r="V119" s="42" t="str">
        <f t="shared" si="28"/>
        <v/>
      </c>
      <c r="W119" s="16"/>
      <c r="X119" s="28"/>
      <c r="Y119" s="29"/>
      <c r="AA119" s="66"/>
      <c r="AB119" s="11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28"/>
      <c r="AD119" s="129"/>
      <c r="AE119" s="129"/>
      <c r="AF119" s="129"/>
      <c r="AG119" s="129"/>
      <c r="AH119" s="129"/>
      <c r="AI119" s="129"/>
      <c r="AJ119" s="130"/>
    </row>
    <row r="120" spans="11:36">
      <c r="K120" s="76"/>
      <c r="L120" s="48" t="e">
        <f t="shared" si="27"/>
        <v>#VALUE!</v>
      </c>
      <c r="M120" s="32" t="str">
        <f t="shared" si="30"/>
        <v/>
      </c>
      <c r="N120" s="63" t="e">
        <f t="shared" si="29"/>
        <v>#VALUE!</v>
      </c>
      <c r="O120" s="86"/>
      <c r="P120" s="223"/>
      <c r="Q120" s="224"/>
      <c r="R120" s="135"/>
      <c r="S120" s="139" cm="1">
        <f t="array" ref="S120">IF(P120="",0,IF(OR(O120=";",P120="EQU",P120="ORG"),0,HlpGetInstructionSize(P120,Q120,R120,$AC$12)))</f>
        <v>0</v>
      </c>
      <c r="V120" s="42" t="str">
        <f t="shared" si="28"/>
        <v/>
      </c>
      <c r="W120" s="16"/>
      <c r="X120" s="28"/>
      <c r="Y120" s="29"/>
      <c r="AA120" s="66"/>
      <c r="AB120" s="11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28"/>
      <c r="AD120" s="129"/>
      <c r="AE120" s="129"/>
      <c r="AF120" s="129"/>
      <c r="AG120" s="129"/>
      <c r="AH120" s="129"/>
      <c r="AI120" s="129"/>
      <c r="AJ120" s="130"/>
    </row>
    <row r="121" spans="11:36">
      <c r="K121" s="76"/>
      <c r="L121" s="48" t="e">
        <f t="shared" si="27"/>
        <v>#VALUE!</v>
      </c>
      <c r="M121" s="32" t="str">
        <f t="shared" si="30"/>
        <v/>
      </c>
      <c r="N121" s="63" t="e">
        <f t="shared" si="29"/>
        <v>#VALUE!</v>
      </c>
      <c r="O121" s="86"/>
      <c r="P121" s="223"/>
      <c r="Q121" s="224"/>
      <c r="R121" s="135"/>
      <c r="S121" s="139" cm="1">
        <f t="array" ref="S121">IF(P121="",0,IF(OR(O121=";",P121="EQU",P121="ORG"),0,HlpGetInstructionSize(P121,Q121,R121,$AC$12)))</f>
        <v>0</v>
      </c>
      <c r="V121" s="42" t="str">
        <f t="shared" si="28"/>
        <v/>
      </c>
      <c r="W121" s="16"/>
      <c r="X121" s="28"/>
      <c r="Y121" s="29"/>
      <c r="AA121" s="66"/>
      <c r="AB121" s="11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28"/>
      <c r="AD121" s="129"/>
      <c r="AE121" s="129"/>
      <c r="AF121" s="129"/>
      <c r="AG121" s="129"/>
      <c r="AH121" s="129"/>
      <c r="AI121" s="129"/>
      <c r="AJ121" s="130"/>
    </row>
    <row r="122" spans="11:36">
      <c r="K122" s="76"/>
      <c r="L122" s="48" t="e">
        <f t="shared" si="27"/>
        <v>#VALUE!</v>
      </c>
      <c r="M122" s="32" t="str">
        <f t="shared" si="30"/>
        <v/>
      </c>
      <c r="N122" s="63" t="e">
        <f t="shared" si="29"/>
        <v>#VALUE!</v>
      </c>
      <c r="O122" s="86"/>
      <c r="P122" s="223"/>
      <c r="Q122" s="224"/>
      <c r="R122" s="135"/>
      <c r="S122" s="139" cm="1">
        <f t="array" ref="S122">IF(P122="",0,IF(OR(O122=";",P122="EQU",P122="ORG"),0,HlpGetInstructionSize(P122,Q122,R122,$AC$12)))</f>
        <v>0</v>
      </c>
      <c r="V122" s="42" t="str">
        <f t="shared" si="28"/>
        <v/>
      </c>
      <c r="W122" s="16"/>
      <c r="X122" s="28"/>
      <c r="Y122" s="29"/>
      <c r="AA122" s="66"/>
      <c r="AB122" s="11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28"/>
      <c r="AD122" s="129"/>
      <c r="AE122" s="129"/>
      <c r="AF122" s="129"/>
      <c r="AG122" s="129"/>
      <c r="AH122" s="129"/>
      <c r="AI122" s="129"/>
      <c r="AJ122" s="130"/>
    </row>
    <row r="123" spans="11:36">
      <c r="K123" s="76"/>
      <c r="L123" s="48" t="e">
        <f t="shared" si="27"/>
        <v>#VALUE!</v>
      </c>
      <c r="M123" s="32" t="str">
        <f t="shared" si="30"/>
        <v/>
      </c>
      <c r="N123" s="63" t="e">
        <f t="shared" si="29"/>
        <v>#VALUE!</v>
      </c>
      <c r="O123" s="86"/>
      <c r="P123" s="223"/>
      <c r="Q123" s="224"/>
      <c r="R123" s="135"/>
      <c r="S123" s="139" cm="1">
        <f t="array" ref="S123">IF(P123="",0,IF(OR(O123=";",P123="EQU",P123="ORG"),0,HlpGetInstructionSize(P123,Q123,R123,$AC$12)))</f>
        <v>0</v>
      </c>
      <c r="V123" s="42" t="str">
        <f t="shared" si="28"/>
        <v/>
      </c>
      <c r="W123" s="16"/>
      <c r="X123" s="28"/>
      <c r="Y123" s="29"/>
      <c r="AA123" s="66"/>
      <c r="AB123" s="11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28"/>
      <c r="AD123" s="129"/>
      <c r="AE123" s="129"/>
      <c r="AF123" s="129"/>
      <c r="AG123" s="129"/>
      <c r="AH123" s="129"/>
      <c r="AI123" s="129"/>
      <c r="AJ123" s="130"/>
    </row>
    <row r="124" spans="11:36">
      <c r="K124" s="76"/>
      <c r="L124" s="48" t="e">
        <f t="shared" si="27"/>
        <v>#VALUE!</v>
      </c>
      <c r="M124" s="32" t="str">
        <f t="shared" si="30"/>
        <v/>
      </c>
      <c r="N124" s="63" t="e">
        <f t="shared" si="29"/>
        <v>#VALUE!</v>
      </c>
      <c r="O124" s="86"/>
      <c r="P124" s="223"/>
      <c r="Q124" s="224"/>
      <c r="R124" s="135"/>
      <c r="S124" s="139" cm="1">
        <f t="array" ref="S124">IF(P124="",0,IF(OR(O124=";",P124="EQU",P124="ORG"),0,HlpGetInstructionSize(P124,Q124,R124,$AC$12)))</f>
        <v>0</v>
      </c>
      <c r="V124" s="42" t="str">
        <f t="shared" si="28"/>
        <v/>
      </c>
      <c r="W124" s="16"/>
      <c r="X124" s="28"/>
      <c r="Y124" s="29"/>
      <c r="AA124" s="66"/>
      <c r="AB124" s="11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28"/>
      <c r="AD124" s="129"/>
      <c r="AE124" s="129"/>
      <c r="AF124" s="129"/>
      <c r="AG124" s="129"/>
      <c r="AH124" s="129"/>
      <c r="AI124" s="129"/>
      <c r="AJ124" s="130"/>
    </row>
    <row r="125" spans="11:36">
      <c r="K125" s="76"/>
      <c r="L125" s="48" t="e">
        <f t="shared" si="27"/>
        <v>#VALUE!</v>
      </c>
      <c r="M125" s="32" t="str">
        <f t="shared" si="30"/>
        <v/>
      </c>
      <c r="N125" s="63" t="e">
        <f t="shared" si="29"/>
        <v>#VALUE!</v>
      </c>
      <c r="O125" s="86"/>
      <c r="P125" s="223"/>
      <c r="Q125" s="224"/>
      <c r="R125" s="135"/>
      <c r="S125" s="139" cm="1">
        <f t="array" ref="S125">IF(P125="",0,IF(OR(O125=";",P125="EQU",P125="ORG"),0,HlpGetInstructionSize(P125,Q125,R125,$AC$12)))</f>
        <v>0</v>
      </c>
      <c r="V125" s="42" t="str">
        <f t="shared" si="28"/>
        <v/>
      </c>
      <c r="W125" s="16"/>
      <c r="X125" s="28"/>
      <c r="Y125" s="29"/>
      <c r="AA125" s="66"/>
      <c r="AB125" s="11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28"/>
      <c r="AD125" s="129"/>
      <c r="AE125" s="129"/>
      <c r="AF125" s="129"/>
      <c r="AG125" s="129"/>
      <c r="AH125" s="129"/>
      <c r="AI125" s="129"/>
      <c r="AJ125" s="130"/>
    </row>
    <row r="126" spans="11:36">
      <c r="K126" s="76"/>
      <c r="L126" s="48" t="e">
        <f t="shared" si="27"/>
        <v>#VALUE!</v>
      </c>
      <c r="M126" s="32" t="str">
        <f t="shared" si="30"/>
        <v/>
      </c>
      <c r="N126" s="63" t="e">
        <f t="shared" si="29"/>
        <v>#VALUE!</v>
      </c>
      <c r="O126" s="86"/>
      <c r="P126" s="223"/>
      <c r="Q126" s="224"/>
      <c r="R126" s="135"/>
      <c r="S126" s="139" cm="1">
        <f t="array" ref="S126">IF(P126="",0,IF(OR(O126=";",P126="EQU",P126="ORG"),0,HlpGetInstructionSize(P126,Q126,R126,$AC$12)))</f>
        <v>0</v>
      </c>
      <c r="V126" s="42" t="str">
        <f t="shared" si="28"/>
        <v/>
      </c>
      <c r="W126" s="16"/>
      <c r="X126" s="28"/>
      <c r="Y126" s="29"/>
      <c r="AA126" s="66"/>
      <c r="AB126" s="11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28"/>
      <c r="AD126" s="129"/>
      <c r="AE126" s="129"/>
      <c r="AF126" s="129"/>
      <c r="AG126" s="129"/>
      <c r="AH126" s="129"/>
      <c r="AI126" s="129"/>
      <c r="AJ126" s="130"/>
    </row>
    <row r="127" spans="11:36">
      <c r="K127" s="76"/>
      <c r="L127" s="48" t="e">
        <f t="shared" si="27"/>
        <v>#VALUE!</v>
      </c>
      <c r="M127" s="32" t="str">
        <f t="shared" si="30"/>
        <v/>
      </c>
      <c r="N127" s="63" t="e">
        <f t="shared" si="29"/>
        <v>#VALUE!</v>
      </c>
      <c r="O127" s="86"/>
      <c r="P127" s="223"/>
      <c r="Q127" s="224"/>
      <c r="R127" s="135"/>
      <c r="S127" s="139" cm="1">
        <f t="array" ref="S127">IF(P127="",0,IF(OR(O127=";",P127="EQU",P127="ORG"),0,HlpGetInstructionSize(P127,Q127,R127,$AC$12)))</f>
        <v>0</v>
      </c>
      <c r="V127" s="42" t="str">
        <f t="shared" si="28"/>
        <v/>
      </c>
      <c r="W127" s="16"/>
      <c r="X127" s="28"/>
      <c r="Y127" s="29"/>
      <c r="AA127" s="66"/>
      <c r="AB127" s="11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28"/>
      <c r="AD127" s="129"/>
      <c r="AE127" s="129"/>
      <c r="AF127" s="129"/>
      <c r="AG127" s="129"/>
      <c r="AH127" s="129"/>
      <c r="AI127" s="129"/>
      <c r="AJ127" s="130"/>
    </row>
    <row r="128" spans="11:36">
      <c r="K128" s="76"/>
      <c r="L128" s="48" t="e">
        <f t="shared" si="27"/>
        <v>#VALUE!</v>
      </c>
      <c r="M128" s="32" t="str">
        <f t="shared" si="30"/>
        <v/>
      </c>
      <c r="N128" s="63" t="e">
        <f t="shared" si="29"/>
        <v>#VALUE!</v>
      </c>
      <c r="O128" s="86"/>
      <c r="P128" s="223"/>
      <c r="Q128" s="224"/>
      <c r="R128" s="135"/>
      <c r="S128" s="139" cm="1">
        <f t="array" ref="S128">IF(P128="",0,IF(OR(O128=";",P128="EQU",P128="ORG"),0,HlpGetInstructionSize(P128,Q128,R128,$AC$12)))</f>
        <v>0</v>
      </c>
      <c r="V128" s="42" t="str">
        <f t="shared" si="28"/>
        <v/>
      </c>
      <c r="W128" s="16"/>
      <c r="X128" s="28"/>
      <c r="Y128" s="29"/>
      <c r="AA128" s="66"/>
      <c r="AB128" s="11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28"/>
      <c r="AD128" s="129"/>
      <c r="AE128" s="129"/>
      <c r="AF128" s="129"/>
      <c r="AG128" s="129"/>
      <c r="AH128" s="129"/>
      <c r="AI128" s="129"/>
      <c r="AJ128" s="130"/>
    </row>
    <row r="129" spans="11:36">
      <c r="K129" s="76"/>
      <c r="L129" s="48" t="e">
        <f t="shared" si="27"/>
        <v>#VALUE!</v>
      </c>
      <c r="M129" s="32" t="str">
        <f t="shared" si="30"/>
        <v/>
      </c>
      <c r="N129" s="63" t="e">
        <f t="shared" si="29"/>
        <v>#VALUE!</v>
      </c>
      <c r="O129" s="86"/>
      <c r="P129" s="223"/>
      <c r="Q129" s="224"/>
      <c r="R129" s="135"/>
      <c r="S129" s="139" cm="1">
        <f t="array" ref="S129">IF(P129="",0,IF(OR(O129=";",P129="EQU",P129="ORG"),0,HlpGetInstructionSize(P129,Q129,R129,$AC$12)))</f>
        <v>0</v>
      </c>
      <c r="V129" s="42" t="str">
        <f t="shared" si="28"/>
        <v/>
      </c>
      <c r="W129" s="16"/>
      <c r="X129" s="28"/>
      <c r="Y129" s="29"/>
      <c r="AA129" s="66"/>
      <c r="AB129" s="11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28"/>
      <c r="AD129" s="129"/>
      <c r="AE129" s="129"/>
      <c r="AF129" s="129"/>
      <c r="AG129" s="129"/>
      <c r="AH129" s="129"/>
      <c r="AI129" s="129"/>
      <c r="AJ129" s="130"/>
    </row>
    <row r="130" spans="11:36">
      <c r="K130" s="76"/>
      <c r="L130" s="48" t="e">
        <f t="shared" si="27"/>
        <v>#VALUE!</v>
      </c>
      <c r="M130" s="32" t="str">
        <f t="shared" si="30"/>
        <v/>
      </c>
      <c r="N130" s="63" t="e">
        <f t="shared" si="29"/>
        <v>#VALUE!</v>
      </c>
      <c r="O130" s="86"/>
      <c r="P130" s="223"/>
      <c r="Q130" s="224"/>
      <c r="R130" s="135"/>
      <c r="S130" s="139" cm="1">
        <f t="array" ref="S130">IF(P130="",0,IF(OR(O130=";",P130="EQU",P130="ORG"),0,HlpGetInstructionSize(P130,Q130,R130,$AC$12)))</f>
        <v>0</v>
      </c>
      <c r="V130" s="42" t="str">
        <f t="shared" si="28"/>
        <v/>
      </c>
      <c r="W130" s="16"/>
      <c r="X130" s="28"/>
      <c r="Y130" s="29"/>
      <c r="AA130" s="66"/>
      <c r="AB130" s="11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28"/>
      <c r="AD130" s="129"/>
      <c r="AE130" s="129"/>
      <c r="AF130" s="129"/>
      <c r="AG130" s="129"/>
      <c r="AH130" s="129"/>
      <c r="AI130" s="129"/>
      <c r="AJ130" s="130"/>
    </row>
    <row r="131" spans="11:36">
      <c r="K131" s="76"/>
      <c r="L131" s="48" t="e">
        <f t="shared" si="27"/>
        <v>#VALUE!</v>
      </c>
      <c r="M131" s="32" t="str">
        <f t="shared" si="30"/>
        <v/>
      </c>
      <c r="N131" s="63" t="e">
        <f t="shared" si="29"/>
        <v>#VALUE!</v>
      </c>
      <c r="O131" s="86"/>
      <c r="P131" s="223"/>
      <c r="Q131" s="224"/>
      <c r="R131" s="135"/>
      <c r="S131" s="139" cm="1">
        <f t="array" ref="S131">IF(P131="",0,IF(OR(O131=";",P131="EQU",P131="ORG"),0,HlpGetInstructionSize(P131,Q131,R131,$AC$12)))</f>
        <v>0</v>
      </c>
      <c r="V131" s="42" t="str">
        <f t="shared" si="28"/>
        <v/>
      </c>
      <c r="W131" s="16"/>
      <c r="X131" s="28"/>
      <c r="Y131" s="29"/>
      <c r="AA131" s="66"/>
      <c r="AB131" s="11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28"/>
      <c r="AD131" s="129"/>
      <c r="AE131" s="129"/>
      <c r="AF131" s="129"/>
      <c r="AG131" s="129"/>
      <c r="AH131" s="129"/>
      <c r="AI131" s="129"/>
      <c r="AJ131" s="130"/>
    </row>
    <row r="132" spans="11:36">
      <c r="K132" s="76"/>
      <c r="L132" s="48" t="e">
        <f t="shared" si="27"/>
        <v>#VALUE!</v>
      </c>
      <c r="M132" s="32" t="str">
        <f t="shared" si="30"/>
        <v/>
      </c>
      <c r="N132" s="63" t="e">
        <f t="shared" si="29"/>
        <v>#VALUE!</v>
      </c>
      <c r="O132" s="86"/>
      <c r="P132" s="223"/>
      <c r="Q132" s="224"/>
      <c r="R132" s="135"/>
      <c r="S132" s="139" cm="1">
        <f t="array" ref="S132">IF(P132="",0,IF(OR(O132=";",P132="EQU",P132="ORG"),0,HlpGetInstructionSize(P132,Q132,R132,$AC$12)))</f>
        <v>0</v>
      </c>
      <c r="V132" s="42" t="str">
        <f t="shared" si="28"/>
        <v/>
      </c>
      <c r="W132" s="16"/>
      <c r="X132" s="28"/>
      <c r="Y132" s="29"/>
      <c r="AA132" s="66"/>
      <c r="AB132" s="11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28"/>
      <c r="AD132" s="129"/>
      <c r="AE132" s="129"/>
      <c r="AF132" s="129"/>
      <c r="AG132" s="129"/>
      <c r="AH132" s="129"/>
      <c r="AI132" s="129"/>
      <c r="AJ132" s="130"/>
    </row>
    <row r="133" spans="11:36">
      <c r="K133" s="76"/>
      <c r="L133" s="48" t="e">
        <f t="shared" si="27"/>
        <v>#VALUE!</v>
      </c>
      <c r="M133" s="32" t="str">
        <f t="shared" si="30"/>
        <v/>
      </c>
      <c r="N133" s="63" t="e">
        <f t="shared" si="29"/>
        <v>#VALUE!</v>
      </c>
      <c r="O133" s="86"/>
      <c r="P133" s="223"/>
      <c r="Q133" s="224"/>
      <c r="R133" s="135"/>
      <c r="S133" s="139" cm="1">
        <f t="array" ref="S133">IF(P133="",0,IF(OR(O133=";",P133="EQU",P133="ORG"),0,HlpGetInstructionSize(P133,Q133,R133,$AC$12)))</f>
        <v>0</v>
      </c>
      <c r="V133" s="42" t="str">
        <f t="shared" si="28"/>
        <v/>
      </c>
      <c r="W133" s="16"/>
      <c r="X133" s="28"/>
      <c r="Y133" s="29"/>
      <c r="AA133" s="66"/>
      <c r="AB133" s="11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28"/>
      <c r="AD133" s="129"/>
      <c r="AE133" s="129"/>
      <c r="AF133" s="129"/>
      <c r="AG133" s="129"/>
      <c r="AH133" s="129"/>
      <c r="AI133" s="129"/>
      <c r="AJ133" s="130"/>
    </row>
    <row r="134" spans="11:36">
      <c r="K134" s="76"/>
      <c r="L134" s="48" t="e">
        <f t="shared" si="27"/>
        <v>#VALUE!</v>
      </c>
      <c r="M134" s="32" t="str">
        <f t="shared" si="30"/>
        <v/>
      </c>
      <c r="N134" s="63" t="e">
        <f t="shared" si="29"/>
        <v>#VALUE!</v>
      </c>
      <c r="O134" s="86"/>
      <c r="P134" s="223"/>
      <c r="Q134" s="224"/>
      <c r="R134" s="135"/>
      <c r="S134" s="139" cm="1">
        <f t="array" ref="S134">IF(P134="",0,IF(OR(O134=";",P134="EQU",P134="ORG"),0,HlpGetInstructionSize(P134,Q134,R134,$AC$12)))</f>
        <v>0</v>
      </c>
      <c r="V134" s="42" t="str">
        <f t="shared" si="28"/>
        <v/>
      </c>
      <c r="W134" s="16"/>
      <c r="X134" s="28"/>
      <c r="Y134" s="29"/>
      <c r="AA134" s="66"/>
      <c r="AB134" s="11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28"/>
      <c r="AD134" s="129"/>
      <c r="AE134" s="129"/>
      <c r="AF134" s="129"/>
      <c r="AG134" s="129"/>
      <c r="AH134" s="129"/>
      <c r="AI134" s="129"/>
      <c r="AJ134" s="130"/>
    </row>
    <row r="135" spans="11:36">
      <c r="K135" s="76"/>
      <c r="L135" s="48" t="e">
        <f t="shared" si="27"/>
        <v>#VALUE!</v>
      </c>
      <c r="M135" s="32" t="str">
        <f t="shared" si="30"/>
        <v/>
      </c>
      <c r="N135" s="63" t="e">
        <f t="shared" si="29"/>
        <v>#VALUE!</v>
      </c>
      <c r="O135" s="86"/>
      <c r="P135" s="223"/>
      <c r="Q135" s="224"/>
      <c r="R135" s="135"/>
      <c r="S135" s="139" cm="1">
        <f t="array" ref="S135">IF(P135="",0,IF(OR(O135=";",P135="EQU",P135="ORG"),0,HlpGetInstructionSize(P135,Q135,R135,$AC$12)))</f>
        <v>0</v>
      </c>
      <c r="V135" s="42" t="str">
        <f t="shared" si="28"/>
        <v/>
      </c>
      <c r="W135" s="16"/>
      <c r="X135" s="28"/>
      <c r="Y135" s="29"/>
      <c r="AA135" s="66"/>
      <c r="AB135" s="11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28"/>
      <c r="AD135" s="129"/>
      <c r="AE135" s="129"/>
      <c r="AF135" s="129"/>
      <c r="AG135" s="129"/>
      <c r="AH135" s="129"/>
      <c r="AI135" s="129"/>
      <c r="AJ135" s="130"/>
    </row>
    <row r="136" spans="11:36">
      <c r="K136" s="76"/>
      <c r="L136" s="48" t="e">
        <f t="shared" si="27"/>
        <v>#VALUE!</v>
      </c>
      <c r="M136" s="32" t="str">
        <f t="shared" si="30"/>
        <v/>
      </c>
      <c r="N136" s="63" t="e">
        <f t="shared" si="29"/>
        <v>#VALUE!</v>
      </c>
      <c r="O136" s="86"/>
      <c r="P136" s="223"/>
      <c r="Q136" s="224"/>
      <c r="R136" s="135"/>
      <c r="S136" s="139" cm="1">
        <f t="array" ref="S136">IF(P136="",0,IF(OR(O136=";",P136="EQU",P136="ORG"),0,HlpGetInstructionSize(P136,Q136,R136,$AC$12)))</f>
        <v>0</v>
      </c>
      <c r="V136" s="42" t="str">
        <f t="shared" si="28"/>
        <v/>
      </c>
      <c r="W136" s="16"/>
      <c r="X136" s="28"/>
      <c r="Y136" s="29"/>
      <c r="AA136" s="66"/>
      <c r="AB136" s="11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28"/>
      <c r="AD136" s="129"/>
      <c r="AE136" s="129"/>
      <c r="AF136" s="129"/>
      <c r="AG136" s="129"/>
      <c r="AH136" s="129"/>
      <c r="AI136" s="129"/>
      <c r="AJ136" s="130"/>
    </row>
    <row r="137" spans="11:36">
      <c r="K137" s="76"/>
      <c r="L137" s="48" t="e">
        <f t="shared" ref="L137:L200" si="31">IF(UPPER(P137)="EQU","E",IF(P137="DB","D",IF(O137&lt;&gt;"","L",IF(N137="","F",""))))</f>
        <v>#VALUE!</v>
      </c>
      <c r="M137" s="32" t="str">
        <f t="shared" si="30"/>
        <v/>
      </c>
      <c r="N137" s="63" t="e">
        <f t="shared" si="29"/>
        <v>#VALUE!</v>
      </c>
      <c r="O137" s="86"/>
      <c r="P137" s="223"/>
      <c r="Q137" s="224"/>
      <c r="R137" s="135"/>
      <c r="S137" s="139" cm="1">
        <f t="array" ref="S137">IF(P137="",0,IF(OR(O137=";",P137="EQU",P137="ORG"),0,HlpGetInstructionSize(P137,Q137,R137,$AC$12)))</f>
        <v>0</v>
      </c>
      <c r="V137" s="42" t="str">
        <f t="shared" ref="V137:V200" si="32">IF(W137&gt;0,RIGHT("0000"&amp;DEC2HEX(W137),4),"")</f>
        <v/>
      </c>
      <c r="W137" s="16"/>
      <c r="X137" s="28"/>
      <c r="Y137" s="29"/>
      <c r="AA137" s="66"/>
      <c r="AB137" s="11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28"/>
      <c r="AD137" s="129"/>
      <c r="AE137" s="129"/>
      <c r="AF137" s="129"/>
      <c r="AG137" s="129"/>
      <c r="AH137" s="129"/>
      <c r="AI137" s="129"/>
      <c r="AJ137" s="130"/>
    </row>
    <row r="138" spans="11:36">
      <c r="K138" s="76"/>
      <c r="L138" s="48" t="e">
        <f t="shared" si="31"/>
        <v>#VALUE!</v>
      </c>
      <c r="M138" s="32" t="str">
        <f t="shared" si="30"/>
        <v/>
      </c>
      <c r="N138" s="63" t="e">
        <f t="shared" ref="N138:N201" si="33">N137+S137</f>
        <v>#VALUE!</v>
      </c>
      <c r="O138" s="86"/>
      <c r="P138" s="223"/>
      <c r="Q138" s="224"/>
      <c r="R138" s="135"/>
      <c r="S138" s="139" cm="1">
        <f t="array" ref="S138">IF(P138="",0,IF(OR(O138=";",P138="EQU",P138="ORG"),0,HlpGetInstructionSize(P138,Q138,R138,$AC$12)))</f>
        <v>0</v>
      </c>
      <c r="V138" s="42" t="str">
        <f t="shared" si="32"/>
        <v/>
      </c>
      <c r="W138" s="16"/>
      <c r="X138" s="28"/>
      <c r="Y138" s="29"/>
      <c r="AA138" s="66"/>
      <c r="AB138" s="11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28"/>
      <c r="AD138" s="129"/>
      <c r="AE138" s="129"/>
      <c r="AF138" s="129"/>
      <c r="AG138" s="129"/>
      <c r="AH138" s="129"/>
      <c r="AI138" s="129"/>
      <c r="AJ138" s="130"/>
    </row>
    <row r="139" spans="11:36">
      <c r="K139" s="76"/>
      <c r="L139" s="48" t="e">
        <f t="shared" si="31"/>
        <v>#VALUE!</v>
      </c>
      <c r="M139" s="32" t="str">
        <f t="shared" si="30"/>
        <v/>
      </c>
      <c r="N139" s="63" t="e">
        <f t="shared" si="33"/>
        <v>#VALUE!</v>
      </c>
      <c r="O139" s="86"/>
      <c r="P139" s="223"/>
      <c r="Q139" s="224"/>
      <c r="R139" s="135"/>
      <c r="S139" s="139" cm="1">
        <f t="array" ref="S139">IF(P139="",0,IF(OR(O139=";",P139="EQU",P139="ORG"),0,HlpGetInstructionSize(P139,Q139,R139,$AC$12)))</f>
        <v>0</v>
      </c>
      <c r="V139" s="42" t="str">
        <f t="shared" si="32"/>
        <v/>
      </c>
      <c r="W139" s="16"/>
      <c r="X139" s="28"/>
      <c r="Y139" s="29"/>
      <c r="AA139" s="66"/>
      <c r="AB139" s="11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28"/>
      <c r="AD139" s="129"/>
      <c r="AE139" s="129"/>
      <c r="AF139" s="129"/>
      <c r="AG139" s="129"/>
      <c r="AH139" s="129"/>
      <c r="AI139" s="129"/>
      <c r="AJ139" s="130"/>
    </row>
    <row r="140" spans="11:36">
      <c r="K140" s="76"/>
      <c r="L140" s="48" t="e">
        <f t="shared" si="31"/>
        <v>#VALUE!</v>
      </c>
      <c r="M140" s="32" t="str">
        <f t="shared" si="30"/>
        <v/>
      </c>
      <c r="N140" s="63" t="e">
        <f t="shared" si="33"/>
        <v>#VALUE!</v>
      </c>
      <c r="O140" s="86"/>
      <c r="P140" s="223"/>
      <c r="Q140" s="224"/>
      <c r="R140" s="135"/>
      <c r="S140" s="139" cm="1">
        <f t="array" ref="S140">IF(P140="",0,IF(OR(O140=";",P140="EQU",P140="ORG"),0,HlpGetInstructionSize(P140,Q140,R140,$AC$12)))</f>
        <v>0</v>
      </c>
      <c r="V140" s="42" t="str">
        <f t="shared" si="32"/>
        <v/>
      </c>
      <c r="W140" s="16"/>
      <c r="X140" s="28"/>
      <c r="Y140" s="29"/>
      <c r="AA140" s="66"/>
      <c r="AB140" s="11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28"/>
      <c r="AD140" s="129"/>
      <c r="AE140" s="129"/>
      <c r="AF140" s="129"/>
      <c r="AG140" s="129"/>
      <c r="AH140" s="129"/>
      <c r="AI140" s="129"/>
      <c r="AJ140" s="130"/>
    </row>
    <row r="141" spans="11:36">
      <c r="K141" s="76"/>
      <c r="L141" s="48" t="e">
        <f t="shared" si="31"/>
        <v>#VALUE!</v>
      </c>
      <c r="M141" s="32" t="str">
        <f t="shared" si="30"/>
        <v/>
      </c>
      <c r="N141" s="63" t="e">
        <f t="shared" si="33"/>
        <v>#VALUE!</v>
      </c>
      <c r="O141" s="86"/>
      <c r="P141" s="223"/>
      <c r="Q141" s="224"/>
      <c r="R141" s="135"/>
      <c r="S141" s="139" cm="1">
        <f t="array" ref="S141">IF(P141="",0,IF(OR(O141=";",P141="EQU",P141="ORG"),0,HlpGetInstructionSize(P141,Q141,R141,$AC$12)))</f>
        <v>0</v>
      </c>
      <c r="V141" s="42" t="str">
        <f t="shared" si="32"/>
        <v/>
      </c>
      <c r="W141" s="16"/>
      <c r="X141" s="28"/>
      <c r="Y141" s="29"/>
      <c r="AA141" s="66"/>
      <c r="AB141" s="11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28"/>
      <c r="AD141" s="129"/>
      <c r="AE141" s="129"/>
      <c r="AF141" s="129"/>
      <c r="AG141" s="129"/>
      <c r="AH141" s="129"/>
      <c r="AI141" s="129"/>
      <c r="AJ141" s="130"/>
    </row>
    <row r="142" spans="11:36">
      <c r="K142" s="76"/>
      <c r="L142" s="48" t="e">
        <f t="shared" si="31"/>
        <v>#VALUE!</v>
      </c>
      <c r="M142" s="32" t="str">
        <f t="shared" si="30"/>
        <v/>
      </c>
      <c r="N142" s="63" t="e">
        <f t="shared" si="33"/>
        <v>#VALUE!</v>
      </c>
      <c r="O142" s="86"/>
      <c r="P142" s="223"/>
      <c r="Q142" s="224"/>
      <c r="R142" s="135"/>
      <c r="S142" s="139" cm="1">
        <f t="array" ref="S142">IF(P142="",0,IF(OR(O142=";",P142="EQU",P142="ORG"),0,HlpGetInstructionSize(P142,Q142,R142,$AC$12)))</f>
        <v>0</v>
      </c>
      <c r="V142" s="42" t="str">
        <f t="shared" si="32"/>
        <v/>
      </c>
      <c r="W142" s="16"/>
      <c r="X142" s="28"/>
      <c r="Y142" s="29"/>
      <c r="AA142" s="66"/>
      <c r="AB142" s="11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28"/>
      <c r="AD142" s="129"/>
      <c r="AE142" s="129"/>
      <c r="AF142" s="129"/>
      <c r="AG142" s="129"/>
      <c r="AH142" s="129"/>
      <c r="AI142" s="129"/>
      <c r="AJ142" s="130"/>
    </row>
    <row r="143" spans="11:36">
      <c r="K143" s="76"/>
      <c r="L143" s="48" t="e">
        <f t="shared" si="31"/>
        <v>#VALUE!</v>
      </c>
      <c r="M143" s="32" t="str">
        <f t="shared" si="30"/>
        <v/>
      </c>
      <c r="N143" s="63" t="e">
        <f t="shared" si="33"/>
        <v>#VALUE!</v>
      </c>
      <c r="O143" s="86"/>
      <c r="P143" s="223"/>
      <c r="Q143" s="224"/>
      <c r="R143" s="135"/>
      <c r="S143" s="139" cm="1">
        <f t="array" ref="S143">IF(P143="",0,IF(OR(O143=";",P143="EQU",P143="ORG"),0,HlpGetInstructionSize(P143,Q143,R143,$AC$12)))</f>
        <v>0</v>
      </c>
      <c r="V143" s="42" t="str">
        <f t="shared" si="32"/>
        <v/>
      </c>
      <c r="W143" s="16"/>
      <c r="X143" s="28"/>
      <c r="Y143" s="29"/>
      <c r="AA143" s="66"/>
      <c r="AB143" s="11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28"/>
      <c r="AD143" s="129"/>
      <c r="AE143" s="129"/>
      <c r="AF143" s="129"/>
      <c r="AG143" s="129"/>
      <c r="AH143" s="129"/>
      <c r="AI143" s="129"/>
      <c r="AJ143" s="130"/>
    </row>
    <row r="144" spans="11:36">
      <c r="K144" s="76"/>
      <c r="L144" s="48" t="e">
        <f t="shared" si="31"/>
        <v>#VALUE!</v>
      </c>
      <c r="M144" s="32" t="str">
        <f t="shared" si="30"/>
        <v/>
      </c>
      <c r="N144" s="63" t="e">
        <f t="shared" si="33"/>
        <v>#VALUE!</v>
      </c>
      <c r="O144" s="86"/>
      <c r="P144" s="223"/>
      <c r="Q144" s="224"/>
      <c r="R144" s="135"/>
      <c r="S144" s="139" cm="1">
        <f t="array" ref="S144">IF(P144="",0,IF(OR(O144=";",P144="EQU",P144="ORG"),0,HlpGetInstructionSize(P144,Q144,R144,$AC$12)))</f>
        <v>0</v>
      </c>
      <c r="V144" s="42" t="str">
        <f t="shared" si="32"/>
        <v/>
      </c>
      <c r="W144" s="16"/>
      <c r="X144" s="28"/>
      <c r="Y144" s="29"/>
      <c r="AA144" s="66"/>
      <c r="AB144" s="11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28"/>
      <c r="AD144" s="129"/>
      <c r="AE144" s="129"/>
      <c r="AF144" s="129"/>
      <c r="AG144" s="129"/>
      <c r="AH144" s="129"/>
      <c r="AI144" s="129"/>
      <c r="AJ144" s="130"/>
    </row>
    <row r="145" spans="11:36">
      <c r="K145" s="76"/>
      <c r="L145" s="48" t="e">
        <f t="shared" si="31"/>
        <v>#VALUE!</v>
      </c>
      <c r="M145" s="32" t="str">
        <f t="shared" si="30"/>
        <v/>
      </c>
      <c r="N145" s="63" t="e">
        <f t="shared" si="33"/>
        <v>#VALUE!</v>
      </c>
      <c r="O145" s="86"/>
      <c r="P145" s="223"/>
      <c r="Q145" s="224"/>
      <c r="R145" s="135"/>
      <c r="S145" s="139" cm="1">
        <f t="array" ref="S145">IF(P145="",0,IF(OR(O145=";",P145="EQU",P145="ORG"),0,HlpGetInstructionSize(P145,Q145,R145,$AC$12)))</f>
        <v>0</v>
      </c>
      <c r="V145" s="42" t="str">
        <f t="shared" si="32"/>
        <v/>
      </c>
      <c r="W145" s="16"/>
      <c r="X145" s="28"/>
      <c r="Y145" s="29"/>
      <c r="AA145" s="66"/>
      <c r="AB145" s="11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28"/>
      <c r="AD145" s="129"/>
      <c r="AE145" s="129"/>
      <c r="AF145" s="129"/>
      <c r="AG145" s="129"/>
      <c r="AH145" s="129"/>
      <c r="AI145" s="129"/>
      <c r="AJ145" s="130"/>
    </row>
    <row r="146" spans="11:36">
      <c r="K146" s="76"/>
      <c r="L146" s="48" t="e">
        <f t="shared" si="31"/>
        <v>#VALUE!</v>
      </c>
      <c r="M146" s="32" t="str">
        <f t="shared" si="30"/>
        <v/>
      </c>
      <c r="N146" s="63" t="e">
        <f t="shared" si="33"/>
        <v>#VALUE!</v>
      </c>
      <c r="O146" s="86"/>
      <c r="P146" s="223"/>
      <c r="Q146" s="224"/>
      <c r="R146" s="135"/>
      <c r="S146" s="139" cm="1">
        <f t="array" ref="S146">IF(P146="",0,IF(OR(O146=";",P146="EQU",P146="ORG"),0,HlpGetInstructionSize(P146,Q146,R146,$AC$12)))</f>
        <v>0</v>
      </c>
      <c r="V146" s="42" t="str">
        <f t="shared" si="32"/>
        <v/>
      </c>
      <c r="W146" s="16"/>
      <c r="X146" s="28"/>
      <c r="Y146" s="29"/>
      <c r="AA146" s="66"/>
      <c r="AB146" s="11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28"/>
      <c r="AD146" s="129"/>
      <c r="AE146" s="129"/>
      <c r="AF146" s="129"/>
      <c r="AG146" s="129"/>
      <c r="AH146" s="129"/>
      <c r="AI146" s="129"/>
      <c r="AJ146" s="130"/>
    </row>
    <row r="147" spans="11:36">
      <c r="K147" s="76"/>
      <c r="L147" s="48" t="e">
        <f t="shared" si="31"/>
        <v>#VALUE!</v>
      </c>
      <c r="M147" s="32" t="str">
        <f t="shared" si="30"/>
        <v/>
      </c>
      <c r="N147" s="63" t="e">
        <f t="shared" si="33"/>
        <v>#VALUE!</v>
      </c>
      <c r="O147" s="86"/>
      <c r="P147" s="223"/>
      <c r="Q147" s="224"/>
      <c r="R147" s="135"/>
      <c r="S147" s="139" cm="1">
        <f t="array" ref="S147">IF(P147="",0,IF(OR(O147=";",P147="EQU",P147="ORG"),0,HlpGetInstructionSize(P147,Q147,R147,$AC$12)))</f>
        <v>0</v>
      </c>
      <c r="V147" s="42" t="str">
        <f t="shared" si="32"/>
        <v/>
      </c>
      <c r="W147" s="16"/>
      <c r="X147" s="28"/>
      <c r="Y147" s="29"/>
      <c r="AA147" s="66"/>
      <c r="AB147" s="11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28"/>
      <c r="AD147" s="129"/>
      <c r="AE147" s="129"/>
      <c r="AF147" s="129"/>
      <c r="AG147" s="129"/>
      <c r="AH147" s="129"/>
      <c r="AI147" s="129"/>
      <c r="AJ147" s="130"/>
    </row>
    <row r="148" spans="11:36">
      <c r="K148" s="76"/>
      <c r="L148" s="48" t="e">
        <f t="shared" si="31"/>
        <v>#VALUE!</v>
      </c>
      <c r="M148" s="32" t="str">
        <f t="shared" si="30"/>
        <v/>
      </c>
      <c r="N148" s="63" t="e">
        <f t="shared" si="33"/>
        <v>#VALUE!</v>
      </c>
      <c r="O148" s="86"/>
      <c r="P148" s="223"/>
      <c r="Q148" s="224"/>
      <c r="R148" s="135"/>
      <c r="S148" s="139" cm="1">
        <f t="array" ref="S148">IF(P148="",0,IF(OR(O148=";",P148="EQU",P148="ORG"),0,HlpGetInstructionSize(P148,Q148,R148,$AC$12)))</f>
        <v>0</v>
      </c>
      <c r="V148" s="42" t="str">
        <f t="shared" si="32"/>
        <v/>
      </c>
      <c r="W148" s="16"/>
      <c r="X148" s="28"/>
      <c r="Y148" s="29"/>
      <c r="AA148" s="66"/>
      <c r="AB148" s="11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28"/>
      <c r="AD148" s="129"/>
      <c r="AE148" s="129"/>
      <c r="AF148" s="129"/>
      <c r="AG148" s="129"/>
      <c r="AH148" s="129"/>
      <c r="AI148" s="129"/>
      <c r="AJ148" s="130"/>
    </row>
    <row r="149" spans="11:36">
      <c r="K149" s="76"/>
      <c r="L149" s="48" t="e">
        <f t="shared" si="31"/>
        <v>#VALUE!</v>
      </c>
      <c r="M149" s="32" t="str">
        <f t="shared" si="30"/>
        <v/>
      </c>
      <c r="N149" s="63" t="e">
        <f t="shared" si="33"/>
        <v>#VALUE!</v>
      </c>
      <c r="O149" s="86"/>
      <c r="P149" s="223"/>
      <c r="Q149" s="224"/>
      <c r="R149" s="135"/>
      <c r="S149" s="139" cm="1">
        <f t="array" ref="S149">IF(P149="",0,IF(OR(O149=";",P149="EQU",P149="ORG"),0,HlpGetInstructionSize(P149,Q149,R149,$AC$12)))</f>
        <v>0</v>
      </c>
      <c r="V149" s="42" t="str">
        <f t="shared" si="32"/>
        <v/>
      </c>
      <c r="W149" s="16"/>
      <c r="X149" s="28"/>
      <c r="Y149" s="29"/>
      <c r="AA149" s="66"/>
      <c r="AB149" s="11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28"/>
      <c r="AD149" s="129"/>
      <c r="AE149" s="129"/>
      <c r="AF149" s="129"/>
      <c r="AG149" s="129"/>
      <c r="AH149" s="129"/>
      <c r="AI149" s="129"/>
      <c r="AJ149" s="130"/>
    </row>
    <row r="150" spans="11:36">
      <c r="K150" s="76"/>
      <c r="L150" s="48" t="e">
        <f t="shared" si="31"/>
        <v>#VALUE!</v>
      </c>
      <c r="M150" s="32" t="str">
        <f t="shared" si="30"/>
        <v/>
      </c>
      <c r="N150" s="63" t="e">
        <f t="shared" si="33"/>
        <v>#VALUE!</v>
      </c>
      <c r="O150" s="86"/>
      <c r="P150" s="223"/>
      <c r="Q150" s="224"/>
      <c r="R150" s="135"/>
      <c r="S150" s="139" cm="1">
        <f t="array" ref="S150">IF(P150="",0,IF(OR(O150=";",P150="EQU",P150="ORG"),0,HlpGetInstructionSize(P150,Q150,R150,$AC$12)))</f>
        <v>0</v>
      </c>
      <c r="V150" s="42" t="str">
        <f t="shared" si="32"/>
        <v/>
      </c>
      <c r="W150" s="16"/>
      <c r="X150" s="28"/>
      <c r="Y150" s="29"/>
      <c r="AA150" s="66"/>
      <c r="AB150" s="11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28"/>
      <c r="AD150" s="129"/>
      <c r="AE150" s="129"/>
      <c r="AF150" s="129"/>
      <c r="AG150" s="129"/>
      <c r="AH150" s="129"/>
      <c r="AI150" s="129"/>
      <c r="AJ150" s="130"/>
    </row>
    <row r="151" spans="11:36">
      <c r="K151" s="76"/>
      <c r="L151" s="48" t="e">
        <f t="shared" si="31"/>
        <v>#VALUE!</v>
      </c>
      <c r="M151" s="32" t="str">
        <f t="shared" si="30"/>
        <v/>
      </c>
      <c r="N151" s="63" t="e">
        <f t="shared" si="33"/>
        <v>#VALUE!</v>
      </c>
      <c r="O151" s="86"/>
      <c r="P151" s="223"/>
      <c r="Q151" s="224"/>
      <c r="R151" s="135"/>
      <c r="S151" s="139" cm="1">
        <f t="array" ref="S151">IF(P151="",0,IF(OR(O151=";",P151="EQU",P151="ORG"),0,HlpGetInstructionSize(P151,Q151,R151,$AC$12)))</f>
        <v>0</v>
      </c>
      <c r="V151" s="42" t="str">
        <f t="shared" si="32"/>
        <v/>
      </c>
      <c r="W151" s="16"/>
      <c r="X151" s="28"/>
      <c r="Y151" s="29"/>
      <c r="AA151" s="66"/>
      <c r="AB151" s="11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28"/>
      <c r="AD151" s="129"/>
      <c r="AE151" s="129"/>
      <c r="AF151" s="129"/>
      <c r="AG151" s="129"/>
      <c r="AH151" s="129"/>
      <c r="AI151" s="129"/>
      <c r="AJ151" s="130"/>
    </row>
    <row r="152" spans="11:36">
      <c r="K152" s="76"/>
      <c r="L152" s="48" t="e">
        <f t="shared" si="31"/>
        <v>#VALUE!</v>
      </c>
      <c r="M152" s="32" t="str">
        <f t="shared" si="30"/>
        <v/>
      </c>
      <c r="N152" s="63" t="e">
        <f t="shared" si="33"/>
        <v>#VALUE!</v>
      </c>
      <c r="O152" s="86"/>
      <c r="P152" s="223"/>
      <c r="Q152" s="224"/>
      <c r="R152" s="135"/>
      <c r="S152" s="139" cm="1">
        <f t="array" ref="S152">IF(P152="",0,IF(OR(O152=";",P152="EQU",P152="ORG"),0,HlpGetInstructionSize(P152,Q152,R152,$AC$12)))</f>
        <v>0</v>
      </c>
      <c r="V152" s="42" t="str">
        <f t="shared" si="32"/>
        <v/>
      </c>
      <c r="W152" s="16"/>
      <c r="X152" s="28"/>
      <c r="Y152" s="29"/>
      <c r="AA152" s="66"/>
      <c r="AB152" s="11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28"/>
      <c r="AD152" s="129"/>
      <c r="AE152" s="129"/>
      <c r="AF152" s="129"/>
      <c r="AG152" s="129"/>
      <c r="AH152" s="129"/>
      <c r="AI152" s="129"/>
      <c r="AJ152" s="130"/>
    </row>
    <row r="153" spans="11:36">
      <c r="K153" s="76"/>
      <c r="L153" s="48" t="e">
        <f t="shared" si="31"/>
        <v>#VALUE!</v>
      </c>
      <c r="M153" s="32" t="str">
        <f t="shared" si="30"/>
        <v/>
      </c>
      <c r="N153" s="63" t="e">
        <f t="shared" si="33"/>
        <v>#VALUE!</v>
      </c>
      <c r="O153" s="86"/>
      <c r="P153" s="223"/>
      <c r="Q153" s="224"/>
      <c r="R153" s="135"/>
      <c r="S153" s="139" cm="1">
        <f t="array" ref="S153">IF(P153="",0,IF(OR(O153=";",P153="EQU",P153="ORG"),0,HlpGetInstructionSize(P153,Q153,R153,$AC$12)))</f>
        <v>0</v>
      </c>
      <c r="V153" s="42" t="str">
        <f t="shared" si="32"/>
        <v/>
      </c>
      <c r="W153" s="16"/>
      <c r="X153" s="28"/>
      <c r="Y153" s="29"/>
      <c r="AA153" s="66"/>
      <c r="AB153" s="11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28"/>
      <c r="AD153" s="129"/>
      <c r="AE153" s="129"/>
      <c r="AF153" s="129"/>
      <c r="AG153" s="129"/>
      <c r="AH153" s="129"/>
      <c r="AI153" s="129"/>
      <c r="AJ153" s="130"/>
    </row>
    <row r="154" spans="11:36">
      <c r="K154" s="76"/>
      <c r="L154" s="48" t="e">
        <f t="shared" si="31"/>
        <v>#VALUE!</v>
      </c>
      <c r="M154" s="32" t="str">
        <f t="shared" si="30"/>
        <v/>
      </c>
      <c r="N154" s="63" t="e">
        <f t="shared" si="33"/>
        <v>#VALUE!</v>
      </c>
      <c r="O154" s="86"/>
      <c r="P154" s="223"/>
      <c r="Q154" s="224"/>
      <c r="R154" s="135"/>
      <c r="S154" s="139" cm="1">
        <f t="array" ref="S154">IF(P154="",0,IF(OR(O154=";",P154="EQU",P154="ORG"),0,HlpGetInstructionSize(P154,Q154,R154,$AC$12)))</f>
        <v>0</v>
      </c>
      <c r="V154" s="42" t="str">
        <f t="shared" si="32"/>
        <v/>
      </c>
      <c r="W154" s="16"/>
      <c r="X154" s="28"/>
      <c r="Y154" s="29"/>
      <c r="AA154" s="66"/>
      <c r="AB154" s="11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28"/>
      <c r="AD154" s="129"/>
      <c r="AE154" s="129"/>
      <c r="AF154" s="129"/>
      <c r="AG154" s="129"/>
      <c r="AH154" s="129"/>
      <c r="AI154" s="129"/>
      <c r="AJ154" s="130"/>
    </row>
    <row r="155" spans="11:36">
      <c r="K155" s="76"/>
      <c r="L155" s="48" t="e">
        <f t="shared" si="31"/>
        <v>#VALUE!</v>
      </c>
      <c r="M155" s="32" t="str">
        <f t="shared" si="30"/>
        <v/>
      </c>
      <c r="N155" s="63" t="e">
        <f t="shared" si="33"/>
        <v>#VALUE!</v>
      </c>
      <c r="O155" s="86"/>
      <c r="P155" s="223"/>
      <c r="Q155" s="224"/>
      <c r="R155" s="135"/>
      <c r="S155" s="139" cm="1">
        <f t="array" ref="S155">IF(P155="",0,IF(OR(O155=";",P155="EQU",P155="ORG"),0,HlpGetInstructionSize(P155,Q155,R155,$AC$12)))</f>
        <v>0</v>
      </c>
      <c r="V155" s="42" t="str">
        <f t="shared" si="32"/>
        <v/>
      </c>
      <c r="W155" s="16"/>
      <c r="X155" s="28"/>
      <c r="Y155" s="29"/>
      <c r="AA155" s="66"/>
      <c r="AB155" s="11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28"/>
      <c r="AD155" s="129"/>
      <c r="AE155" s="129"/>
      <c r="AF155" s="129"/>
      <c r="AG155" s="129"/>
      <c r="AH155" s="129"/>
      <c r="AI155" s="129"/>
      <c r="AJ155" s="130"/>
    </row>
    <row r="156" spans="11:36">
      <c r="K156" s="76"/>
      <c r="L156" s="48" t="e">
        <f t="shared" si="31"/>
        <v>#VALUE!</v>
      </c>
      <c r="M156" s="32" t="str">
        <f t="shared" si="30"/>
        <v/>
      </c>
      <c r="N156" s="63" t="e">
        <f t="shared" si="33"/>
        <v>#VALUE!</v>
      </c>
      <c r="O156" s="86"/>
      <c r="P156" s="223"/>
      <c r="Q156" s="224"/>
      <c r="R156" s="135"/>
      <c r="S156" s="139" cm="1">
        <f t="array" ref="S156">IF(P156="",0,IF(OR(O156=";",P156="EQU",P156="ORG"),0,HlpGetInstructionSize(P156,Q156,R156,$AC$12)))</f>
        <v>0</v>
      </c>
      <c r="V156" s="42" t="str">
        <f t="shared" si="32"/>
        <v/>
      </c>
      <c r="W156" s="16"/>
      <c r="X156" s="28"/>
      <c r="Y156" s="29"/>
      <c r="AA156" s="66"/>
      <c r="AB156" s="11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28"/>
      <c r="AD156" s="129"/>
      <c r="AE156" s="129"/>
      <c r="AF156" s="129"/>
      <c r="AG156" s="129"/>
      <c r="AH156" s="129"/>
      <c r="AI156" s="129"/>
      <c r="AJ156" s="130"/>
    </row>
    <row r="157" spans="11:36">
      <c r="K157" s="76"/>
      <c r="L157" s="48" t="e">
        <f t="shared" si="31"/>
        <v>#VALUE!</v>
      </c>
      <c r="M157" s="32" t="str">
        <f t="shared" ref="M157:M220" si="34">IFERROR(RIGHT("0000"&amp;DEC2HEX(N157),4),"")</f>
        <v/>
      </c>
      <c r="N157" s="63" t="e">
        <f t="shared" si="33"/>
        <v>#VALUE!</v>
      </c>
      <c r="O157" s="86"/>
      <c r="P157" s="223"/>
      <c r="Q157" s="224"/>
      <c r="R157" s="135"/>
      <c r="S157" s="139" cm="1">
        <f t="array" ref="S157">IF(P157="",0,IF(OR(O157=";",P157="EQU",P157="ORG"),0,HlpGetInstructionSize(P157,Q157,R157,$AC$12)))</f>
        <v>0</v>
      </c>
      <c r="V157" s="42" t="str">
        <f t="shared" si="32"/>
        <v/>
      </c>
      <c r="W157" s="16"/>
      <c r="X157" s="28"/>
      <c r="Y157" s="29"/>
      <c r="AA157" s="66"/>
      <c r="AB157" s="11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28"/>
      <c r="AD157" s="129"/>
      <c r="AE157" s="129"/>
      <c r="AF157" s="129"/>
      <c r="AG157" s="129"/>
      <c r="AH157" s="129"/>
      <c r="AI157" s="129"/>
      <c r="AJ157" s="130"/>
    </row>
    <row r="158" spans="11:36">
      <c r="K158" s="76"/>
      <c r="L158" s="48" t="e">
        <f t="shared" si="31"/>
        <v>#VALUE!</v>
      </c>
      <c r="M158" s="32" t="str">
        <f t="shared" si="34"/>
        <v/>
      </c>
      <c r="N158" s="63" t="e">
        <f t="shared" si="33"/>
        <v>#VALUE!</v>
      </c>
      <c r="O158" s="86"/>
      <c r="P158" s="223"/>
      <c r="Q158" s="224"/>
      <c r="R158" s="135"/>
      <c r="S158" s="139" cm="1">
        <f t="array" ref="S158">IF(P158="",0,IF(OR(O158=";",P158="EQU",P158="ORG"),0,HlpGetInstructionSize(P158,Q158,R158,$AC$12)))</f>
        <v>0</v>
      </c>
      <c r="V158" s="42" t="str">
        <f t="shared" si="32"/>
        <v/>
      </c>
      <c r="W158" s="16"/>
      <c r="X158" s="28"/>
      <c r="Y158" s="29"/>
      <c r="AA158" s="66"/>
      <c r="AB158" s="11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28"/>
      <c r="AD158" s="129"/>
      <c r="AE158" s="129"/>
      <c r="AF158" s="129"/>
      <c r="AG158" s="129"/>
      <c r="AH158" s="129"/>
      <c r="AI158" s="129"/>
      <c r="AJ158" s="130"/>
    </row>
    <row r="159" spans="11:36">
      <c r="K159" s="76"/>
      <c r="L159" s="48" t="e">
        <f t="shared" si="31"/>
        <v>#VALUE!</v>
      </c>
      <c r="M159" s="32" t="str">
        <f t="shared" si="34"/>
        <v/>
      </c>
      <c r="N159" s="63" t="e">
        <f t="shared" si="33"/>
        <v>#VALUE!</v>
      </c>
      <c r="O159" s="86"/>
      <c r="P159" s="223"/>
      <c r="Q159" s="224"/>
      <c r="R159" s="135"/>
      <c r="S159" s="139" cm="1">
        <f t="array" ref="S159">IF(P159="",0,IF(OR(O159=";",P159="EQU",P159="ORG"),0,HlpGetInstructionSize(P159,Q159,R159,$AC$12)))</f>
        <v>0</v>
      </c>
      <c r="V159" s="42" t="str">
        <f t="shared" si="32"/>
        <v/>
      </c>
      <c r="W159" s="16"/>
      <c r="X159" s="28"/>
      <c r="Y159" s="29"/>
      <c r="AA159" s="66"/>
      <c r="AB159" s="11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28"/>
      <c r="AD159" s="129"/>
      <c r="AE159" s="129"/>
      <c r="AF159" s="129"/>
      <c r="AG159" s="129"/>
      <c r="AH159" s="129"/>
      <c r="AI159" s="129"/>
      <c r="AJ159" s="130"/>
    </row>
    <row r="160" spans="11:36">
      <c r="K160" s="76"/>
      <c r="L160" s="48" t="e">
        <f t="shared" si="31"/>
        <v>#VALUE!</v>
      </c>
      <c r="M160" s="32" t="str">
        <f t="shared" si="34"/>
        <v/>
      </c>
      <c r="N160" s="63" t="e">
        <f t="shared" si="33"/>
        <v>#VALUE!</v>
      </c>
      <c r="O160" s="86"/>
      <c r="P160" s="223"/>
      <c r="Q160" s="224"/>
      <c r="R160" s="135"/>
      <c r="S160" s="139" cm="1">
        <f t="array" ref="S160">IF(P160="",0,IF(OR(O160=";",P160="EQU",P160="ORG"),0,HlpGetInstructionSize(P160,Q160,R160,$AC$12)))</f>
        <v>0</v>
      </c>
      <c r="V160" s="42" t="str">
        <f t="shared" si="32"/>
        <v/>
      </c>
      <c r="W160" s="16"/>
      <c r="X160" s="28"/>
      <c r="Y160" s="29"/>
      <c r="AA160" s="66"/>
      <c r="AB160" s="11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28"/>
      <c r="AD160" s="129"/>
      <c r="AE160" s="129"/>
      <c r="AF160" s="129"/>
      <c r="AG160" s="129"/>
      <c r="AH160" s="129"/>
      <c r="AI160" s="129"/>
      <c r="AJ160" s="130"/>
    </row>
    <row r="161" spans="11:36">
      <c r="K161" s="76"/>
      <c r="L161" s="48" t="e">
        <f t="shared" si="31"/>
        <v>#VALUE!</v>
      </c>
      <c r="M161" s="32" t="str">
        <f t="shared" si="34"/>
        <v/>
      </c>
      <c r="N161" s="63" t="e">
        <f t="shared" si="33"/>
        <v>#VALUE!</v>
      </c>
      <c r="O161" s="86"/>
      <c r="P161" s="223"/>
      <c r="Q161" s="224"/>
      <c r="R161" s="135"/>
      <c r="S161" s="139" cm="1">
        <f t="array" ref="S161">IF(P161="",0,IF(OR(O161=";",P161="EQU",P161="ORG"),0,HlpGetInstructionSize(P161,Q161,R161,$AC$12)))</f>
        <v>0</v>
      </c>
      <c r="V161" s="42" t="str">
        <f t="shared" si="32"/>
        <v/>
      </c>
      <c r="W161" s="16"/>
      <c r="X161" s="28"/>
      <c r="Y161" s="29"/>
      <c r="AA161" s="66"/>
      <c r="AB161" s="11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28"/>
      <c r="AD161" s="129"/>
      <c r="AE161" s="129"/>
      <c r="AF161" s="129"/>
      <c r="AG161" s="129"/>
      <c r="AH161" s="129"/>
      <c r="AI161" s="129"/>
      <c r="AJ161" s="130"/>
    </row>
    <row r="162" spans="11:36">
      <c r="K162" s="76"/>
      <c r="L162" s="48" t="e">
        <f t="shared" si="31"/>
        <v>#VALUE!</v>
      </c>
      <c r="M162" s="32" t="str">
        <f t="shared" si="34"/>
        <v/>
      </c>
      <c r="N162" s="63" t="e">
        <f t="shared" si="33"/>
        <v>#VALUE!</v>
      </c>
      <c r="O162" s="86"/>
      <c r="P162" s="223"/>
      <c r="Q162" s="224"/>
      <c r="R162" s="135"/>
      <c r="S162" s="139" cm="1">
        <f t="array" ref="S162">IF(P162="",0,IF(OR(O162=";",P162="EQU",P162="ORG"),0,HlpGetInstructionSize(P162,Q162,R162,$AC$12)))</f>
        <v>0</v>
      </c>
      <c r="V162" s="42" t="str">
        <f t="shared" si="32"/>
        <v/>
      </c>
      <c r="W162" s="16"/>
      <c r="X162" s="28"/>
      <c r="Y162" s="29"/>
      <c r="AA162" s="66"/>
      <c r="AB162" s="11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28"/>
      <c r="AD162" s="129"/>
      <c r="AE162" s="129"/>
      <c r="AF162" s="129"/>
      <c r="AG162" s="129"/>
      <c r="AH162" s="129"/>
      <c r="AI162" s="129"/>
      <c r="AJ162" s="130"/>
    </row>
    <row r="163" spans="11:36">
      <c r="K163" s="76"/>
      <c r="L163" s="48" t="e">
        <f t="shared" si="31"/>
        <v>#VALUE!</v>
      </c>
      <c r="M163" s="32" t="str">
        <f t="shared" si="34"/>
        <v/>
      </c>
      <c r="N163" s="63" t="e">
        <f t="shared" si="33"/>
        <v>#VALUE!</v>
      </c>
      <c r="O163" s="86"/>
      <c r="P163" s="223"/>
      <c r="Q163" s="224"/>
      <c r="R163" s="135"/>
      <c r="S163" s="139" cm="1">
        <f t="array" ref="S163">IF(P163="",0,IF(OR(O163=";",P163="EQU",P163="ORG"),0,HlpGetInstructionSize(P163,Q163,R163,$AC$12)))</f>
        <v>0</v>
      </c>
      <c r="V163" s="42" t="str">
        <f t="shared" si="32"/>
        <v/>
      </c>
      <c r="W163" s="16"/>
      <c r="X163" s="28"/>
      <c r="Y163" s="29"/>
      <c r="AA163" s="66"/>
      <c r="AB163" s="11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28"/>
      <c r="AD163" s="129"/>
      <c r="AE163" s="129"/>
      <c r="AF163" s="129"/>
      <c r="AG163" s="129"/>
      <c r="AH163" s="129"/>
      <c r="AI163" s="129"/>
      <c r="AJ163" s="130"/>
    </row>
    <row r="164" spans="11:36">
      <c r="K164" s="76"/>
      <c r="L164" s="48" t="e">
        <f t="shared" si="31"/>
        <v>#VALUE!</v>
      </c>
      <c r="M164" s="32" t="str">
        <f t="shared" si="34"/>
        <v/>
      </c>
      <c r="N164" s="63" t="e">
        <f t="shared" si="33"/>
        <v>#VALUE!</v>
      </c>
      <c r="O164" s="86"/>
      <c r="P164" s="223"/>
      <c r="Q164" s="224"/>
      <c r="R164" s="135"/>
      <c r="S164" s="139" cm="1">
        <f t="array" ref="S164">IF(P164="",0,IF(OR(O164=";",P164="EQU",P164="ORG"),0,HlpGetInstructionSize(P164,Q164,R164,$AC$12)))</f>
        <v>0</v>
      </c>
      <c r="V164" s="42" t="str">
        <f t="shared" si="32"/>
        <v/>
      </c>
      <c r="W164" s="16"/>
      <c r="X164" s="28"/>
      <c r="Y164" s="29"/>
      <c r="AA164" s="66"/>
      <c r="AB164" s="11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28"/>
      <c r="AD164" s="129"/>
      <c r="AE164" s="129"/>
      <c r="AF164" s="129"/>
      <c r="AG164" s="129"/>
      <c r="AH164" s="129"/>
      <c r="AI164" s="129"/>
      <c r="AJ164" s="130"/>
    </row>
    <row r="165" spans="11:36">
      <c r="K165" s="76"/>
      <c r="L165" s="48" t="e">
        <f t="shared" si="31"/>
        <v>#VALUE!</v>
      </c>
      <c r="M165" s="32" t="str">
        <f t="shared" si="34"/>
        <v/>
      </c>
      <c r="N165" s="63" t="e">
        <f t="shared" si="33"/>
        <v>#VALUE!</v>
      </c>
      <c r="O165" s="86"/>
      <c r="P165" s="223"/>
      <c r="Q165" s="224"/>
      <c r="R165" s="135"/>
      <c r="S165" s="139" cm="1">
        <f t="array" ref="S165">IF(P165="",0,IF(OR(O165=";",P165="EQU",P165="ORG"),0,HlpGetInstructionSize(P165,Q165,R165,$AC$12)))</f>
        <v>0</v>
      </c>
      <c r="V165" s="42" t="str">
        <f t="shared" si="32"/>
        <v/>
      </c>
      <c r="W165" s="16"/>
      <c r="X165" s="28"/>
      <c r="Y165" s="29"/>
      <c r="AA165" s="66"/>
      <c r="AB165" s="11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28"/>
      <c r="AD165" s="129"/>
      <c r="AE165" s="129"/>
      <c r="AF165" s="129"/>
      <c r="AG165" s="129"/>
      <c r="AH165" s="129"/>
      <c r="AI165" s="129"/>
      <c r="AJ165" s="130"/>
    </row>
    <row r="166" spans="11:36">
      <c r="K166" s="76"/>
      <c r="L166" s="48" t="e">
        <f t="shared" si="31"/>
        <v>#VALUE!</v>
      </c>
      <c r="M166" s="32" t="str">
        <f t="shared" si="34"/>
        <v/>
      </c>
      <c r="N166" s="63" t="e">
        <f t="shared" si="33"/>
        <v>#VALUE!</v>
      </c>
      <c r="O166" s="86"/>
      <c r="P166" s="223"/>
      <c r="Q166" s="224"/>
      <c r="R166" s="135"/>
      <c r="S166" s="139" cm="1">
        <f t="array" ref="S166">IF(P166="",0,IF(OR(O166=";",P166="EQU",P166="ORG"),0,HlpGetInstructionSize(P166,Q166,R166,$AC$12)))</f>
        <v>0</v>
      </c>
      <c r="V166" s="42" t="str">
        <f t="shared" si="32"/>
        <v/>
      </c>
      <c r="W166" s="16"/>
      <c r="X166" s="28"/>
      <c r="Y166" s="29"/>
      <c r="AA166" s="66"/>
      <c r="AB166" s="11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28"/>
      <c r="AD166" s="129"/>
      <c r="AE166" s="129"/>
      <c r="AF166" s="129"/>
      <c r="AG166" s="129"/>
      <c r="AH166" s="129"/>
      <c r="AI166" s="129"/>
      <c r="AJ166" s="130"/>
    </row>
    <row r="167" spans="11:36">
      <c r="K167" s="76"/>
      <c r="L167" s="48" t="e">
        <f t="shared" si="31"/>
        <v>#VALUE!</v>
      </c>
      <c r="M167" s="32" t="str">
        <f t="shared" si="34"/>
        <v/>
      </c>
      <c r="N167" s="63" t="e">
        <f t="shared" si="33"/>
        <v>#VALUE!</v>
      </c>
      <c r="O167" s="86"/>
      <c r="P167" s="223"/>
      <c r="Q167" s="224"/>
      <c r="R167" s="135"/>
      <c r="S167" s="139" cm="1">
        <f t="array" ref="S167">IF(P167="",0,IF(OR(O167=";",P167="EQU",P167="ORG"),0,HlpGetInstructionSize(P167,Q167,R167,$AC$12)))</f>
        <v>0</v>
      </c>
      <c r="V167" s="42" t="str">
        <f t="shared" si="32"/>
        <v/>
      </c>
      <c r="W167" s="16"/>
      <c r="X167" s="28"/>
      <c r="Y167" s="29"/>
      <c r="AA167" s="66"/>
      <c r="AB167" s="11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28"/>
      <c r="AD167" s="129"/>
      <c r="AE167" s="129"/>
      <c r="AF167" s="129"/>
      <c r="AG167" s="129"/>
      <c r="AH167" s="129"/>
      <c r="AI167" s="129"/>
      <c r="AJ167" s="130"/>
    </row>
    <row r="168" spans="11:36">
      <c r="K168" s="76"/>
      <c r="L168" s="48" t="e">
        <f t="shared" si="31"/>
        <v>#VALUE!</v>
      </c>
      <c r="M168" s="32" t="str">
        <f t="shared" si="34"/>
        <v/>
      </c>
      <c r="N168" s="63" t="e">
        <f t="shared" si="33"/>
        <v>#VALUE!</v>
      </c>
      <c r="O168" s="86"/>
      <c r="P168" s="223"/>
      <c r="Q168" s="224"/>
      <c r="R168" s="135"/>
      <c r="S168" s="139" cm="1">
        <f t="array" ref="S168">IF(P168="",0,IF(OR(O168=";",P168="EQU",P168="ORG"),0,HlpGetInstructionSize(P168,Q168,R168,$AC$12)))</f>
        <v>0</v>
      </c>
      <c r="V168" s="42" t="str">
        <f t="shared" si="32"/>
        <v/>
      </c>
      <c r="W168" s="16"/>
      <c r="X168" s="28"/>
      <c r="Y168" s="29"/>
      <c r="AA168" s="66"/>
      <c r="AB168" s="11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28"/>
      <c r="AD168" s="129"/>
      <c r="AE168" s="129"/>
      <c r="AF168" s="129"/>
      <c r="AG168" s="129"/>
      <c r="AH168" s="129"/>
      <c r="AI168" s="129"/>
      <c r="AJ168" s="130"/>
    </row>
    <row r="169" spans="11:36">
      <c r="K169" s="76"/>
      <c r="L169" s="48" t="e">
        <f t="shared" si="31"/>
        <v>#VALUE!</v>
      </c>
      <c r="M169" s="32" t="str">
        <f t="shared" si="34"/>
        <v/>
      </c>
      <c r="N169" s="63" t="e">
        <f t="shared" si="33"/>
        <v>#VALUE!</v>
      </c>
      <c r="O169" s="86"/>
      <c r="P169" s="223"/>
      <c r="Q169" s="224"/>
      <c r="R169" s="135"/>
      <c r="S169" s="139" cm="1">
        <f t="array" ref="S169">IF(P169="",0,IF(OR(O169=";",P169="EQU",P169="ORG"),0,HlpGetInstructionSize(P169,Q169,R169,$AC$12)))</f>
        <v>0</v>
      </c>
      <c r="V169" s="42" t="str">
        <f t="shared" si="32"/>
        <v/>
      </c>
      <c r="W169" s="16"/>
      <c r="X169" s="28"/>
      <c r="Y169" s="29"/>
      <c r="AA169" s="66"/>
      <c r="AB169" s="11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28"/>
      <c r="AD169" s="129"/>
      <c r="AE169" s="129"/>
      <c r="AF169" s="129"/>
      <c r="AG169" s="129"/>
      <c r="AH169" s="129"/>
      <c r="AI169" s="129"/>
      <c r="AJ169" s="130"/>
    </row>
    <row r="170" spans="11:36">
      <c r="K170" s="76"/>
      <c r="L170" s="48" t="e">
        <f t="shared" si="31"/>
        <v>#VALUE!</v>
      </c>
      <c r="M170" s="32" t="str">
        <f t="shared" si="34"/>
        <v/>
      </c>
      <c r="N170" s="63" t="e">
        <f t="shared" si="33"/>
        <v>#VALUE!</v>
      </c>
      <c r="O170" s="86"/>
      <c r="P170" s="223"/>
      <c r="Q170" s="224"/>
      <c r="R170" s="135"/>
      <c r="S170" s="139" cm="1">
        <f t="array" ref="S170">IF(P170="",0,IF(OR(O170=";",P170="EQU",P170="ORG"),0,HlpGetInstructionSize(P170,Q170,R170,$AC$12)))</f>
        <v>0</v>
      </c>
      <c r="V170" s="42" t="str">
        <f t="shared" si="32"/>
        <v/>
      </c>
      <c r="W170" s="16"/>
      <c r="X170" s="28"/>
      <c r="Y170" s="29"/>
      <c r="AA170" s="66"/>
      <c r="AB170" s="11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28"/>
      <c r="AD170" s="129"/>
      <c r="AE170" s="129"/>
      <c r="AF170" s="129"/>
      <c r="AG170" s="129"/>
      <c r="AH170" s="129"/>
      <c r="AI170" s="129"/>
      <c r="AJ170" s="130"/>
    </row>
    <row r="171" spans="11:36">
      <c r="K171" s="76"/>
      <c r="L171" s="48" t="e">
        <f t="shared" si="31"/>
        <v>#VALUE!</v>
      </c>
      <c r="M171" s="32" t="str">
        <f t="shared" si="34"/>
        <v/>
      </c>
      <c r="N171" s="63" t="e">
        <f t="shared" si="33"/>
        <v>#VALUE!</v>
      </c>
      <c r="O171" s="86"/>
      <c r="P171" s="223"/>
      <c r="Q171" s="224"/>
      <c r="R171" s="135"/>
      <c r="S171" s="139" cm="1">
        <f t="array" ref="S171">IF(P171="",0,IF(OR(O171=";",P171="EQU",P171="ORG"),0,HlpGetInstructionSize(P171,Q171,R171,$AC$12)))</f>
        <v>0</v>
      </c>
      <c r="V171" s="42" t="str">
        <f t="shared" si="32"/>
        <v/>
      </c>
      <c r="W171" s="16"/>
      <c r="X171" s="28"/>
      <c r="Y171" s="29"/>
      <c r="AA171" s="66"/>
      <c r="AB171" s="11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28"/>
      <c r="AD171" s="129"/>
      <c r="AE171" s="129"/>
      <c r="AF171" s="129"/>
      <c r="AG171" s="129"/>
      <c r="AH171" s="129"/>
      <c r="AI171" s="129"/>
      <c r="AJ171" s="130"/>
    </row>
    <row r="172" spans="11:36">
      <c r="K172" s="76"/>
      <c r="L172" s="48" t="e">
        <f t="shared" si="31"/>
        <v>#VALUE!</v>
      </c>
      <c r="M172" s="32" t="str">
        <f t="shared" si="34"/>
        <v/>
      </c>
      <c r="N172" s="63" t="e">
        <f t="shared" si="33"/>
        <v>#VALUE!</v>
      </c>
      <c r="O172" s="86"/>
      <c r="P172" s="223"/>
      <c r="Q172" s="224"/>
      <c r="R172" s="135"/>
      <c r="S172" s="139" cm="1">
        <f t="array" ref="S172">IF(P172="",0,IF(OR(O172=";",P172="EQU",P172="ORG"),0,HlpGetInstructionSize(P172,Q172,R172,$AC$12)))</f>
        <v>0</v>
      </c>
      <c r="V172" s="42" t="str">
        <f t="shared" si="32"/>
        <v/>
      </c>
      <c r="W172" s="16"/>
      <c r="X172" s="28"/>
      <c r="Y172" s="29"/>
      <c r="AA172" s="66"/>
      <c r="AB172" s="11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28"/>
      <c r="AD172" s="129"/>
      <c r="AE172" s="129"/>
      <c r="AF172" s="129"/>
      <c r="AG172" s="129"/>
      <c r="AH172" s="129"/>
      <c r="AI172" s="129"/>
      <c r="AJ172" s="130"/>
    </row>
    <row r="173" spans="11:36">
      <c r="K173" s="76"/>
      <c r="L173" s="48" t="e">
        <f t="shared" si="31"/>
        <v>#VALUE!</v>
      </c>
      <c r="M173" s="32" t="str">
        <f t="shared" si="34"/>
        <v/>
      </c>
      <c r="N173" s="63" t="e">
        <f t="shared" si="33"/>
        <v>#VALUE!</v>
      </c>
      <c r="O173" s="86"/>
      <c r="P173" s="223"/>
      <c r="Q173" s="224"/>
      <c r="R173" s="135"/>
      <c r="S173" s="139" cm="1">
        <f t="array" ref="S173">IF(P173="",0,IF(OR(O173=";",P173="EQU",P173="ORG"),0,HlpGetInstructionSize(P173,Q173,R173,$AC$12)))</f>
        <v>0</v>
      </c>
      <c r="V173" s="42" t="str">
        <f t="shared" si="32"/>
        <v/>
      </c>
      <c r="W173" s="16"/>
      <c r="X173" s="28"/>
      <c r="Y173" s="29"/>
      <c r="AA173" s="66"/>
      <c r="AB173" s="11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28"/>
      <c r="AD173" s="129"/>
      <c r="AE173" s="129"/>
      <c r="AF173" s="129"/>
      <c r="AG173" s="129"/>
      <c r="AH173" s="129"/>
      <c r="AI173" s="129"/>
      <c r="AJ173" s="130"/>
    </row>
    <row r="174" spans="11:36">
      <c r="K174" s="76"/>
      <c r="L174" s="48" t="e">
        <f t="shared" si="31"/>
        <v>#VALUE!</v>
      </c>
      <c r="M174" s="32" t="str">
        <f t="shared" si="34"/>
        <v/>
      </c>
      <c r="N174" s="63" t="e">
        <f t="shared" si="33"/>
        <v>#VALUE!</v>
      </c>
      <c r="O174" s="86"/>
      <c r="P174" s="223"/>
      <c r="Q174" s="224"/>
      <c r="R174" s="135"/>
      <c r="S174" s="139" cm="1">
        <f t="array" ref="S174">IF(P174="",0,IF(OR(O174=";",P174="EQU",P174="ORG"),0,HlpGetInstructionSize(P174,Q174,R174,$AC$12)))</f>
        <v>0</v>
      </c>
      <c r="V174" s="42" t="str">
        <f t="shared" si="32"/>
        <v/>
      </c>
      <c r="W174" s="16"/>
      <c r="X174" s="28"/>
      <c r="Y174" s="29"/>
      <c r="AA174" s="66"/>
      <c r="AB174" s="11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28"/>
      <c r="AD174" s="129"/>
      <c r="AE174" s="129"/>
      <c r="AF174" s="129"/>
      <c r="AG174" s="129"/>
      <c r="AH174" s="129"/>
      <c r="AI174" s="129"/>
      <c r="AJ174" s="130"/>
    </row>
    <row r="175" spans="11:36">
      <c r="K175" s="76"/>
      <c r="L175" s="48" t="e">
        <f t="shared" si="31"/>
        <v>#VALUE!</v>
      </c>
      <c r="M175" s="32" t="str">
        <f t="shared" si="34"/>
        <v/>
      </c>
      <c r="N175" s="63" t="e">
        <f t="shared" si="33"/>
        <v>#VALUE!</v>
      </c>
      <c r="O175" s="86"/>
      <c r="P175" s="223"/>
      <c r="Q175" s="224"/>
      <c r="R175" s="135"/>
      <c r="S175" s="139" cm="1">
        <f t="array" ref="S175">IF(P175="",0,IF(OR(O175=";",P175="EQU",P175="ORG"),0,HlpGetInstructionSize(P175,Q175,R175,$AC$12)))</f>
        <v>0</v>
      </c>
      <c r="V175" s="42" t="str">
        <f t="shared" si="32"/>
        <v/>
      </c>
      <c r="W175" s="16"/>
      <c r="X175" s="28"/>
      <c r="Y175" s="29"/>
      <c r="AA175" s="66"/>
      <c r="AB175" s="11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28"/>
      <c r="AD175" s="129"/>
      <c r="AE175" s="129"/>
      <c r="AF175" s="129"/>
      <c r="AG175" s="129"/>
      <c r="AH175" s="129"/>
      <c r="AI175" s="129"/>
      <c r="AJ175" s="130"/>
    </row>
    <row r="176" spans="11:36">
      <c r="K176" s="76"/>
      <c r="L176" s="48" t="e">
        <f t="shared" si="31"/>
        <v>#VALUE!</v>
      </c>
      <c r="M176" s="32" t="str">
        <f t="shared" si="34"/>
        <v/>
      </c>
      <c r="N176" s="63" t="e">
        <f t="shared" si="33"/>
        <v>#VALUE!</v>
      </c>
      <c r="O176" s="86"/>
      <c r="P176" s="223"/>
      <c r="Q176" s="224"/>
      <c r="R176" s="135"/>
      <c r="S176" s="139" cm="1">
        <f t="array" ref="S176">IF(P176="",0,IF(OR(O176=";",P176="EQU",P176="ORG"),0,HlpGetInstructionSize(P176,Q176,R176,$AC$12)))</f>
        <v>0</v>
      </c>
      <c r="V176" s="42" t="str">
        <f t="shared" si="32"/>
        <v/>
      </c>
      <c r="W176" s="16"/>
      <c r="X176" s="28"/>
      <c r="Y176" s="29"/>
      <c r="AA176" s="66"/>
      <c r="AB176" s="11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28"/>
      <c r="AD176" s="129"/>
      <c r="AE176" s="129"/>
      <c r="AF176" s="129"/>
      <c r="AG176" s="129"/>
      <c r="AH176" s="129"/>
      <c r="AI176" s="129"/>
      <c r="AJ176" s="130"/>
    </row>
    <row r="177" spans="11:36">
      <c r="K177" s="76"/>
      <c r="L177" s="48" t="e">
        <f t="shared" si="31"/>
        <v>#VALUE!</v>
      </c>
      <c r="M177" s="32" t="str">
        <f t="shared" si="34"/>
        <v/>
      </c>
      <c r="N177" s="63" t="e">
        <f t="shared" si="33"/>
        <v>#VALUE!</v>
      </c>
      <c r="O177" s="86"/>
      <c r="P177" s="223"/>
      <c r="Q177" s="224"/>
      <c r="R177" s="135"/>
      <c r="S177" s="139" cm="1">
        <f t="array" ref="S177">IF(P177="",0,IF(OR(O177=";",P177="EQU",P177="ORG"),0,HlpGetInstructionSize(P177,Q177,R177,$AC$12)))</f>
        <v>0</v>
      </c>
      <c r="V177" s="42" t="str">
        <f t="shared" si="32"/>
        <v/>
      </c>
      <c r="W177" s="16"/>
      <c r="X177" s="28"/>
      <c r="Y177" s="29"/>
      <c r="AA177" s="66"/>
      <c r="AB177" s="11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28"/>
      <c r="AD177" s="129"/>
      <c r="AE177" s="129"/>
      <c r="AF177" s="129"/>
      <c r="AG177" s="129"/>
      <c r="AH177" s="129"/>
      <c r="AI177" s="129"/>
      <c r="AJ177" s="130"/>
    </row>
    <row r="178" spans="11:36">
      <c r="K178" s="76"/>
      <c r="L178" s="48" t="e">
        <f t="shared" si="31"/>
        <v>#VALUE!</v>
      </c>
      <c r="M178" s="32" t="str">
        <f t="shared" si="34"/>
        <v/>
      </c>
      <c r="N178" s="63" t="e">
        <f t="shared" si="33"/>
        <v>#VALUE!</v>
      </c>
      <c r="O178" s="86"/>
      <c r="P178" s="223"/>
      <c r="Q178" s="224"/>
      <c r="R178" s="135"/>
      <c r="S178" s="139" cm="1">
        <f t="array" ref="S178">IF(P178="",0,IF(OR(O178=";",P178="EQU",P178="ORG"),0,HlpGetInstructionSize(P178,Q178,R178,$AC$12)))</f>
        <v>0</v>
      </c>
      <c r="V178" s="42" t="str">
        <f t="shared" si="32"/>
        <v/>
      </c>
      <c r="W178" s="16"/>
      <c r="X178" s="28"/>
      <c r="Y178" s="29"/>
      <c r="AA178" s="66"/>
      <c r="AB178" s="11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28"/>
      <c r="AD178" s="129"/>
      <c r="AE178" s="129"/>
      <c r="AF178" s="129"/>
      <c r="AG178" s="129"/>
      <c r="AH178" s="129"/>
      <c r="AI178" s="129"/>
      <c r="AJ178" s="130"/>
    </row>
    <row r="179" spans="11:36">
      <c r="K179" s="76"/>
      <c r="L179" s="48" t="e">
        <f t="shared" si="31"/>
        <v>#VALUE!</v>
      </c>
      <c r="M179" s="32" t="str">
        <f t="shared" si="34"/>
        <v/>
      </c>
      <c r="N179" s="63" t="e">
        <f t="shared" si="33"/>
        <v>#VALUE!</v>
      </c>
      <c r="O179" s="86"/>
      <c r="P179" s="223"/>
      <c r="Q179" s="224"/>
      <c r="R179" s="135"/>
      <c r="S179" s="139" cm="1">
        <f t="array" ref="S179">IF(P179="",0,IF(OR(O179=";",P179="EQU",P179="ORG"),0,HlpGetInstructionSize(P179,Q179,R179,$AC$12)))</f>
        <v>0</v>
      </c>
      <c r="V179" s="42" t="str">
        <f t="shared" si="32"/>
        <v/>
      </c>
      <c r="W179" s="16"/>
      <c r="X179" s="28"/>
      <c r="Y179" s="29"/>
      <c r="AA179" s="66"/>
      <c r="AB179" s="11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28"/>
      <c r="AD179" s="129"/>
      <c r="AE179" s="129"/>
      <c r="AF179" s="129"/>
      <c r="AG179" s="129"/>
      <c r="AH179" s="129"/>
      <c r="AI179" s="129"/>
      <c r="AJ179" s="130"/>
    </row>
    <row r="180" spans="11:36">
      <c r="K180" s="76"/>
      <c r="L180" s="48" t="e">
        <f t="shared" si="31"/>
        <v>#VALUE!</v>
      </c>
      <c r="M180" s="32" t="str">
        <f t="shared" si="34"/>
        <v/>
      </c>
      <c r="N180" s="63" t="e">
        <f t="shared" si="33"/>
        <v>#VALUE!</v>
      </c>
      <c r="O180" s="86"/>
      <c r="P180" s="223"/>
      <c r="Q180" s="224"/>
      <c r="R180" s="135"/>
      <c r="S180" s="139" cm="1">
        <f t="array" ref="S180">IF(P180="",0,IF(OR(O180=";",P180="EQU",P180="ORG"),0,HlpGetInstructionSize(P180,Q180,R180,$AC$12)))</f>
        <v>0</v>
      </c>
      <c r="V180" s="42" t="str">
        <f t="shared" si="32"/>
        <v/>
      </c>
      <c r="W180" s="16"/>
      <c r="X180" s="28"/>
      <c r="Y180" s="29"/>
      <c r="AA180" s="66"/>
      <c r="AB180" s="11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28"/>
      <c r="AD180" s="129"/>
      <c r="AE180" s="129"/>
      <c r="AF180" s="129"/>
      <c r="AG180" s="129"/>
      <c r="AH180" s="129"/>
      <c r="AI180" s="129"/>
      <c r="AJ180" s="130"/>
    </row>
    <row r="181" spans="11:36">
      <c r="K181" s="76"/>
      <c r="L181" s="48" t="e">
        <f t="shared" si="31"/>
        <v>#VALUE!</v>
      </c>
      <c r="M181" s="32" t="str">
        <f t="shared" si="34"/>
        <v/>
      </c>
      <c r="N181" s="63" t="e">
        <f t="shared" si="33"/>
        <v>#VALUE!</v>
      </c>
      <c r="O181" s="86"/>
      <c r="P181" s="223"/>
      <c r="Q181" s="224"/>
      <c r="R181" s="135"/>
      <c r="S181" s="139" cm="1">
        <f t="array" ref="S181">IF(P181="",0,IF(OR(O181=";",P181="EQU",P181="ORG"),0,HlpGetInstructionSize(P181,Q181,R181,$AC$12)))</f>
        <v>0</v>
      </c>
      <c r="V181" s="42" t="str">
        <f t="shared" si="32"/>
        <v/>
      </c>
      <c r="W181" s="16"/>
      <c r="X181" s="28"/>
      <c r="Y181" s="29"/>
      <c r="AA181" s="66"/>
      <c r="AB181" s="11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28"/>
      <c r="AD181" s="129"/>
      <c r="AE181" s="129"/>
      <c r="AF181" s="129"/>
      <c r="AG181" s="129"/>
      <c r="AH181" s="129"/>
      <c r="AI181" s="129"/>
      <c r="AJ181" s="130"/>
    </row>
    <row r="182" spans="11:36">
      <c r="K182" s="76"/>
      <c r="L182" s="48" t="e">
        <f t="shared" si="31"/>
        <v>#VALUE!</v>
      </c>
      <c r="M182" s="32" t="str">
        <f t="shared" si="34"/>
        <v/>
      </c>
      <c r="N182" s="63" t="e">
        <f t="shared" si="33"/>
        <v>#VALUE!</v>
      </c>
      <c r="O182" s="86"/>
      <c r="P182" s="223"/>
      <c r="Q182" s="224"/>
      <c r="R182" s="135"/>
      <c r="S182" s="139" cm="1">
        <f t="array" ref="S182">IF(P182="",0,IF(OR(O182=";",P182="EQU",P182="ORG"),0,HlpGetInstructionSize(P182,Q182,R182,$AC$12)))</f>
        <v>0</v>
      </c>
      <c r="V182" s="42" t="str">
        <f t="shared" si="32"/>
        <v/>
      </c>
      <c r="W182" s="16"/>
      <c r="X182" s="28"/>
      <c r="Y182" s="29"/>
      <c r="AA182" s="66"/>
      <c r="AB182" s="11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28"/>
      <c r="AD182" s="129"/>
      <c r="AE182" s="129"/>
      <c r="AF182" s="129"/>
      <c r="AG182" s="129"/>
      <c r="AH182" s="129"/>
      <c r="AI182" s="129"/>
      <c r="AJ182" s="130"/>
    </row>
    <row r="183" spans="11:36">
      <c r="K183" s="76"/>
      <c r="L183" s="48" t="e">
        <f t="shared" si="31"/>
        <v>#VALUE!</v>
      </c>
      <c r="M183" s="32" t="str">
        <f t="shared" si="34"/>
        <v/>
      </c>
      <c r="N183" s="63" t="e">
        <f t="shared" si="33"/>
        <v>#VALUE!</v>
      </c>
      <c r="O183" s="86"/>
      <c r="P183" s="223"/>
      <c r="Q183" s="224"/>
      <c r="R183" s="135"/>
      <c r="S183" s="139" cm="1">
        <f t="array" ref="S183">IF(P183="",0,IF(OR(O183=";",P183="EQU",P183="ORG"),0,HlpGetInstructionSize(P183,Q183,R183,$AC$12)))</f>
        <v>0</v>
      </c>
      <c r="V183" s="42" t="str">
        <f t="shared" si="32"/>
        <v/>
      </c>
      <c r="W183" s="16"/>
      <c r="X183" s="28"/>
      <c r="Y183" s="29"/>
      <c r="AA183" s="66"/>
      <c r="AB183" s="11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28"/>
      <c r="AD183" s="129"/>
      <c r="AE183" s="129"/>
      <c r="AF183" s="129"/>
      <c r="AG183" s="129"/>
      <c r="AH183" s="129"/>
      <c r="AI183" s="129"/>
      <c r="AJ183" s="130"/>
    </row>
    <row r="184" spans="11:36">
      <c r="K184" s="76"/>
      <c r="L184" s="48" t="e">
        <f t="shared" si="31"/>
        <v>#VALUE!</v>
      </c>
      <c r="M184" s="32" t="str">
        <f t="shared" si="34"/>
        <v/>
      </c>
      <c r="N184" s="63" t="e">
        <f t="shared" si="33"/>
        <v>#VALUE!</v>
      </c>
      <c r="O184" s="86"/>
      <c r="P184" s="223"/>
      <c r="Q184" s="224"/>
      <c r="R184" s="135"/>
      <c r="S184" s="139" cm="1">
        <f t="array" ref="S184">IF(P184="",0,IF(OR(O184=";",P184="EQU",P184="ORG"),0,HlpGetInstructionSize(P184,Q184,R184,$AC$12)))</f>
        <v>0</v>
      </c>
      <c r="V184" s="42" t="str">
        <f t="shared" si="32"/>
        <v/>
      </c>
      <c r="W184" s="16"/>
      <c r="X184" s="28"/>
      <c r="Y184" s="29"/>
      <c r="AA184" s="66"/>
      <c r="AB184" s="11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28"/>
      <c r="AD184" s="129"/>
      <c r="AE184" s="129"/>
      <c r="AF184" s="129"/>
      <c r="AG184" s="129"/>
      <c r="AH184" s="129"/>
      <c r="AI184" s="129"/>
      <c r="AJ184" s="130"/>
    </row>
    <row r="185" spans="11:36">
      <c r="K185" s="76"/>
      <c r="L185" s="48" t="e">
        <f t="shared" si="31"/>
        <v>#VALUE!</v>
      </c>
      <c r="M185" s="32" t="str">
        <f t="shared" si="34"/>
        <v/>
      </c>
      <c r="N185" s="63" t="e">
        <f t="shared" si="33"/>
        <v>#VALUE!</v>
      </c>
      <c r="O185" s="86"/>
      <c r="P185" s="223"/>
      <c r="Q185" s="224"/>
      <c r="R185" s="135"/>
      <c r="S185" s="139" cm="1">
        <f t="array" ref="S185">IF(P185="",0,IF(OR(O185=";",P185="EQU",P185="ORG"),0,HlpGetInstructionSize(P185,Q185,R185,$AC$12)))</f>
        <v>0</v>
      </c>
      <c r="V185" s="42" t="str">
        <f t="shared" si="32"/>
        <v/>
      </c>
      <c r="W185" s="16"/>
      <c r="X185" s="28"/>
      <c r="Y185" s="29"/>
      <c r="AA185" s="66"/>
      <c r="AB185" s="11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28"/>
      <c r="AD185" s="129"/>
      <c r="AE185" s="129"/>
      <c r="AF185" s="129"/>
      <c r="AG185" s="129"/>
      <c r="AH185" s="129"/>
      <c r="AI185" s="129"/>
      <c r="AJ185" s="130"/>
    </row>
    <row r="186" spans="11:36">
      <c r="K186" s="76"/>
      <c r="L186" s="48" t="e">
        <f t="shared" si="31"/>
        <v>#VALUE!</v>
      </c>
      <c r="M186" s="32" t="str">
        <f t="shared" si="34"/>
        <v/>
      </c>
      <c r="N186" s="63" t="e">
        <f t="shared" si="33"/>
        <v>#VALUE!</v>
      </c>
      <c r="O186" s="86"/>
      <c r="P186" s="223"/>
      <c r="Q186" s="224"/>
      <c r="R186" s="135"/>
      <c r="S186" s="139" cm="1">
        <f t="array" ref="S186">IF(P186="",0,IF(OR(O186=";",P186="EQU",P186="ORG"),0,HlpGetInstructionSize(P186,Q186,R186,$AC$12)))</f>
        <v>0</v>
      </c>
      <c r="V186" s="42" t="str">
        <f t="shared" si="32"/>
        <v/>
      </c>
      <c r="W186" s="16"/>
      <c r="X186" s="28"/>
      <c r="Y186" s="29"/>
      <c r="AA186" s="66"/>
      <c r="AB186" s="11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28"/>
      <c r="AD186" s="129"/>
      <c r="AE186" s="129"/>
      <c r="AF186" s="129"/>
      <c r="AG186" s="129"/>
      <c r="AH186" s="129"/>
      <c r="AI186" s="129"/>
      <c r="AJ186" s="130"/>
    </row>
    <row r="187" spans="11:36">
      <c r="K187" s="76"/>
      <c r="L187" s="48" t="e">
        <f t="shared" si="31"/>
        <v>#VALUE!</v>
      </c>
      <c r="M187" s="32" t="str">
        <f t="shared" si="34"/>
        <v/>
      </c>
      <c r="N187" s="63" t="e">
        <f t="shared" si="33"/>
        <v>#VALUE!</v>
      </c>
      <c r="O187" s="86"/>
      <c r="P187" s="223"/>
      <c r="Q187" s="224"/>
      <c r="R187" s="135"/>
      <c r="S187" s="139" cm="1">
        <f t="array" ref="S187">IF(P187="",0,IF(OR(O187=";",P187="EQU",P187="ORG"),0,HlpGetInstructionSize(P187,Q187,R187,$AC$12)))</f>
        <v>0</v>
      </c>
      <c r="V187" s="42" t="str">
        <f t="shared" si="32"/>
        <v/>
      </c>
      <c r="W187" s="16"/>
      <c r="X187" s="28"/>
      <c r="Y187" s="29"/>
      <c r="AA187" s="66"/>
      <c r="AB187" s="11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28"/>
      <c r="AD187" s="129"/>
      <c r="AE187" s="129"/>
      <c r="AF187" s="129"/>
      <c r="AG187" s="129"/>
      <c r="AH187" s="129"/>
      <c r="AI187" s="129"/>
      <c r="AJ187" s="130"/>
    </row>
    <row r="188" spans="11:36">
      <c r="K188" s="76"/>
      <c r="L188" s="48" t="e">
        <f t="shared" si="31"/>
        <v>#VALUE!</v>
      </c>
      <c r="M188" s="32" t="str">
        <f t="shared" si="34"/>
        <v/>
      </c>
      <c r="N188" s="63" t="e">
        <f t="shared" si="33"/>
        <v>#VALUE!</v>
      </c>
      <c r="O188" s="86"/>
      <c r="P188" s="223"/>
      <c r="Q188" s="224"/>
      <c r="R188" s="135"/>
      <c r="S188" s="139" cm="1">
        <f t="array" ref="S188">IF(P188="",0,IF(OR(O188=";",P188="EQU",P188="ORG"),0,HlpGetInstructionSize(P188,Q188,R188,$AC$12)))</f>
        <v>0</v>
      </c>
      <c r="V188" s="42" t="str">
        <f t="shared" si="32"/>
        <v/>
      </c>
      <c r="W188" s="16"/>
      <c r="X188" s="28"/>
      <c r="Y188" s="29"/>
      <c r="AA188" s="66"/>
      <c r="AB188" s="11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28"/>
      <c r="AD188" s="129"/>
      <c r="AE188" s="129"/>
      <c r="AF188" s="129"/>
      <c r="AG188" s="129"/>
      <c r="AH188" s="129"/>
      <c r="AI188" s="129"/>
      <c r="AJ188" s="130"/>
    </row>
    <row r="189" spans="11:36">
      <c r="K189" s="76"/>
      <c r="L189" s="48" t="e">
        <f t="shared" si="31"/>
        <v>#VALUE!</v>
      </c>
      <c r="M189" s="32" t="str">
        <f t="shared" si="34"/>
        <v/>
      </c>
      <c r="N189" s="63" t="e">
        <f t="shared" si="33"/>
        <v>#VALUE!</v>
      </c>
      <c r="O189" s="86"/>
      <c r="P189" s="223"/>
      <c r="Q189" s="224"/>
      <c r="R189" s="135"/>
      <c r="S189" s="139" cm="1">
        <f t="array" ref="S189">IF(P189="",0,IF(OR(O189=";",P189="EQU",P189="ORG"),0,HlpGetInstructionSize(P189,Q189,R189,$AC$12)))</f>
        <v>0</v>
      </c>
      <c r="V189" s="42" t="str">
        <f t="shared" si="32"/>
        <v/>
      </c>
      <c r="W189" s="16"/>
      <c r="X189" s="28"/>
      <c r="Y189" s="29"/>
      <c r="AA189" s="66"/>
      <c r="AB189" s="11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28"/>
      <c r="AD189" s="129"/>
      <c r="AE189" s="129"/>
      <c r="AF189" s="129"/>
      <c r="AG189" s="129"/>
      <c r="AH189" s="129"/>
      <c r="AI189" s="129"/>
      <c r="AJ189" s="130"/>
    </row>
    <row r="190" spans="11:36">
      <c r="K190" s="76"/>
      <c r="L190" s="48" t="e">
        <f t="shared" si="31"/>
        <v>#VALUE!</v>
      </c>
      <c r="M190" s="32" t="str">
        <f t="shared" si="34"/>
        <v/>
      </c>
      <c r="N190" s="63" t="e">
        <f t="shared" si="33"/>
        <v>#VALUE!</v>
      </c>
      <c r="O190" s="86"/>
      <c r="P190" s="223"/>
      <c r="Q190" s="224"/>
      <c r="R190" s="135"/>
      <c r="S190" s="139" cm="1">
        <f t="array" ref="S190">IF(P190="",0,IF(OR(O190=";",P190="EQU",P190="ORG"),0,HlpGetInstructionSize(P190,Q190,R190,$AC$12)))</f>
        <v>0</v>
      </c>
      <c r="V190" s="42" t="str">
        <f t="shared" si="32"/>
        <v/>
      </c>
      <c r="W190" s="16"/>
      <c r="X190" s="28"/>
      <c r="Y190" s="29"/>
      <c r="AA190" s="66"/>
      <c r="AB190" s="11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28"/>
      <c r="AD190" s="129"/>
      <c r="AE190" s="129"/>
      <c r="AF190" s="129"/>
      <c r="AG190" s="129"/>
      <c r="AH190" s="129"/>
      <c r="AI190" s="129"/>
      <c r="AJ190" s="130"/>
    </row>
    <row r="191" spans="11:36">
      <c r="K191" s="76"/>
      <c r="L191" s="48" t="e">
        <f t="shared" si="31"/>
        <v>#VALUE!</v>
      </c>
      <c r="M191" s="32" t="str">
        <f t="shared" si="34"/>
        <v/>
      </c>
      <c r="N191" s="63" t="e">
        <f t="shared" si="33"/>
        <v>#VALUE!</v>
      </c>
      <c r="O191" s="86"/>
      <c r="P191" s="223"/>
      <c r="Q191" s="224"/>
      <c r="R191" s="135"/>
      <c r="S191" s="139" cm="1">
        <f t="array" ref="S191">IF(P191="",0,IF(OR(O191=";",P191="EQU",P191="ORG"),0,HlpGetInstructionSize(P191,Q191,R191,$AC$12)))</f>
        <v>0</v>
      </c>
      <c r="V191" s="42" t="str">
        <f t="shared" si="32"/>
        <v/>
      </c>
      <c r="W191" s="16"/>
      <c r="X191" s="28"/>
      <c r="Y191" s="29"/>
      <c r="AA191" s="66"/>
      <c r="AB191" s="11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28"/>
      <c r="AD191" s="129"/>
      <c r="AE191" s="129"/>
      <c r="AF191" s="129"/>
      <c r="AG191" s="129"/>
      <c r="AH191" s="129"/>
      <c r="AI191" s="129"/>
      <c r="AJ191" s="130"/>
    </row>
    <row r="192" spans="11:36">
      <c r="K192" s="76"/>
      <c r="L192" s="48" t="e">
        <f t="shared" si="31"/>
        <v>#VALUE!</v>
      </c>
      <c r="M192" s="32" t="str">
        <f t="shared" si="34"/>
        <v/>
      </c>
      <c r="N192" s="63" t="e">
        <f t="shared" si="33"/>
        <v>#VALUE!</v>
      </c>
      <c r="O192" s="86"/>
      <c r="P192" s="223"/>
      <c r="Q192" s="224"/>
      <c r="R192" s="135"/>
      <c r="S192" s="139" cm="1">
        <f t="array" ref="S192">IF(P192="",0,IF(OR(O192=";",P192="EQU",P192="ORG"),0,HlpGetInstructionSize(P192,Q192,R192,$AC$12)))</f>
        <v>0</v>
      </c>
      <c r="V192" s="42" t="str">
        <f t="shared" si="32"/>
        <v/>
      </c>
      <c r="W192" s="16"/>
      <c r="X192" s="28"/>
      <c r="Y192" s="29"/>
      <c r="AA192" s="66"/>
      <c r="AB192" s="11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28"/>
      <c r="AD192" s="129"/>
      <c r="AE192" s="129"/>
      <c r="AF192" s="129"/>
      <c r="AG192" s="129"/>
      <c r="AH192" s="129"/>
      <c r="AI192" s="129"/>
      <c r="AJ192" s="130"/>
    </row>
    <row r="193" spans="11:36">
      <c r="K193" s="76"/>
      <c r="L193" s="48" t="e">
        <f t="shared" si="31"/>
        <v>#VALUE!</v>
      </c>
      <c r="M193" s="32" t="str">
        <f t="shared" si="34"/>
        <v/>
      </c>
      <c r="N193" s="63" t="e">
        <f t="shared" si="33"/>
        <v>#VALUE!</v>
      </c>
      <c r="O193" s="86"/>
      <c r="P193" s="223"/>
      <c r="Q193" s="224"/>
      <c r="R193" s="135"/>
      <c r="S193" s="139" cm="1">
        <f t="array" ref="S193">IF(P193="",0,IF(OR(O193=";",P193="EQU",P193="ORG"),0,HlpGetInstructionSize(P193,Q193,R193,$AC$12)))</f>
        <v>0</v>
      </c>
      <c r="V193" s="42" t="str">
        <f t="shared" si="32"/>
        <v/>
      </c>
      <c r="W193" s="16"/>
      <c r="X193" s="28"/>
      <c r="Y193" s="29"/>
      <c r="AA193" s="66"/>
      <c r="AB193" s="11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28"/>
      <c r="AD193" s="129"/>
      <c r="AE193" s="129"/>
      <c r="AF193" s="129"/>
      <c r="AG193" s="129"/>
      <c r="AH193" s="129"/>
      <c r="AI193" s="129"/>
      <c r="AJ193" s="130"/>
    </row>
    <row r="194" spans="11:36">
      <c r="K194" s="76"/>
      <c r="L194" s="48" t="e">
        <f t="shared" si="31"/>
        <v>#VALUE!</v>
      </c>
      <c r="M194" s="32" t="str">
        <f t="shared" si="34"/>
        <v/>
      </c>
      <c r="N194" s="63" t="e">
        <f t="shared" si="33"/>
        <v>#VALUE!</v>
      </c>
      <c r="O194" s="86"/>
      <c r="P194" s="223"/>
      <c r="Q194" s="224"/>
      <c r="R194" s="135"/>
      <c r="S194" s="139" cm="1">
        <f t="array" ref="S194">IF(P194="",0,IF(OR(O194=";",P194="EQU",P194="ORG"),0,HlpGetInstructionSize(P194,Q194,R194,$AC$12)))</f>
        <v>0</v>
      </c>
      <c r="V194" s="42" t="str">
        <f t="shared" si="32"/>
        <v/>
      </c>
      <c r="W194" s="16"/>
      <c r="X194" s="28"/>
      <c r="Y194" s="29"/>
      <c r="AA194" s="66"/>
      <c r="AB194" s="11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28"/>
      <c r="AD194" s="129"/>
      <c r="AE194" s="129"/>
      <c r="AF194" s="129"/>
      <c r="AG194" s="129"/>
      <c r="AH194" s="129"/>
      <c r="AI194" s="129"/>
      <c r="AJ194" s="130"/>
    </row>
    <row r="195" spans="11:36">
      <c r="K195" s="76"/>
      <c r="L195" s="48" t="e">
        <f t="shared" si="31"/>
        <v>#VALUE!</v>
      </c>
      <c r="M195" s="32" t="str">
        <f t="shared" si="34"/>
        <v/>
      </c>
      <c r="N195" s="63" t="e">
        <f t="shared" si="33"/>
        <v>#VALUE!</v>
      </c>
      <c r="O195" s="86"/>
      <c r="P195" s="223"/>
      <c r="Q195" s="224"/>
      <c r="R195" s="135"/>
      <c r="S195" s="139" cm="1">
        <f t="array" ref="S195">IF(P195="",0,IF(OR(O195=";",P195="EQU",P195="ORG"),0,HlpGetInstructionSize(P195,Q195,R195,$AC$12)))</f>
        <v>0</v>
      </c>
      <c r="V195" s="42" t="str">
        <f t="shared" si="32"/>
        <v/>
      </c>
      <c r="W195" s="16"/>
      <c r="X195" s="28"/>
      <c r="Y195" s="29"/>
      <c r="AA195" s="66"/>
      <c r="AB195" s="11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28"/>
      <c r="AD195" s="129"/>
      <c r="AE195" s="129"/>
      <c r="AF195" s="129"/>
      <c r="AG195" s="129"/>
      <c r="AH195" s="129"/>
      <c r="AI195" s="129"/>
      <c r="AJ195" s="130"/>
    </row>
    <row r="196" spans="11:36">
      <c r="K196" s="76"/>
      <c r="L196" s="48" t="e">
        <f t="shared" si="31"/>
        <v>#VALUE!</v>
      </c>
      <c r="M196" s="32" t="str">
        <f t="shared" si="34"/>
        <v/>
      </c>
      <c r="N196" s="63" t="e">
        <f t="shared" si="33"/>
        <v>#VALUE!</v>
      </c>
      <c r="O196" s="86"/>
      <c r="P196" s="223"/>
      <c r="Q196" s="224"/>
      <c r="R196" s="135"/>
      <c r="S196" s="139" cm="1">
        <f t="array" ref="S196">IF(P196="",0,IF(OR(O196=";",P196="EQU",P196="ORG"),0,HlpGetInstructionSize(P196,Q196,R196,$AC$12)))</f>
        <v>0</v>
      </c>
      <c r="V196" s="42" t="str">
        <f t="shared" si="32"/>
        <v/>
      </c>
      <c r="W196" s="16"/>
      <c r="X196" s="28"/>
      <c r="Y196" s="29"/>
      <c r="AA196" s="66"/>
      <c r="AB196" s="11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28"/>
      <c r="AD196" s="129"/>
      <c r="AE196" s="129"/>
      <c r="AF196" s="129"/>
      <c r="AG196" s="129"/>
      <c r="AH196" s="129"/>
      <c r="AI196" s="129"/>
      <c r="AJ196" s="130"/>
    </row>
    <row r="197" spans="11:36">
      <c r="K197" s="76"/>
      <c r="L197" s="48" t="e">
        <f t="shared" si="31"/>
        <v>#VALUE!</v>
      </c>
      <c r="M197" s="32" t="str">
        <f t="shared" si="34"/>
        <v/>
      </c>
      <c r="N197" s="63" t="e">
        <f t="shared" si="33"/>
        <v>#VALUE!</v>
      </c>
      <c r="O197" s="86"/>
      <c r="P197" s="223"/>
      <c r="Q197" s="224"/>
      <c r="R197" s="135"/>
      <c r="S197" s="139" cm="1">
        <f t="array" ref="S197">IF(P197="",0,IF(OR(O197=";",P197="EQU",P197="ORG"),0,HlpGetInstructionSize(P197,Q197,R197,$AC$12)))</f>
        <v>0</v>
      </c>
      <c r="V197" s="42" t="str">
        <f t="shared" si="32"/>
        <v/>
      </c>
      <c r="W197" s="16"/>
      <c r="X197" s="28"/>
      <c r="Y197" s="29"/>
      <c r="AA197" s="66"/>
      <c r="AB197" s="11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28"/>
      <c r="AD197" s="129"/>
      <c r="AE197" s="129"/>
      <c r="AF197" s="129"/>
      <c r="AG197" s="129"/>
      <c r="AH197" s="129"/>
      <c r="AI197" s="129"/>
      <c r="AJ197" s="130"/>
    </row>
    <row r="198" spans="11:36">
      <c r="K198" s="76"/>
      <c r="L198" s="48" t="e">
        <f t="shared" si="31"/>
        <v>#VALUE!</v>
      </c>
      <c r="M198" s="32" t="str">
        <f t="shared" si="34"/>
        <v/>
      </c>
      <c r="N198" s="63" t="e">
        <f t="shared" si="33"/>
        <v>#VALUE!</v>
      </c>
      <c r="O198" s="86"/>
      <c r="P198" s="223"/>
      <c r="Q198" s="224"/>
      <c r="R198" s="135"/>
      <c r="S198" s="139" cm="1">
        <f t="array" ref="S198">IF(P198="",0,IF(OR(O198=";",P198="EQU",P198="ORG"),0,HlpGetInstructionSize(P198,Q198,R198,$AC$12)))</f>
        <v>0</v>
      </c>
      <c r="V198" s="42" t="str">
        <f t="shared" si="32"/>
        <v/>
      </c>
      <c r="W198" s="16"/>
      <c r="X198" s="28"/>
      <c r="Y198" s="29"/>
      <c r="AA198" s="66"/>
      <c r="AB198" s="11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28"/>
      <c r="AD198" s="129"/>
      <c r="AE198" s="129"/>
      <c r="AF198" s="129"/>
      <c r="AG198" s="129"/>
      <c r="AH198" s="129"/>
      <c r="AI198" s="129"/>
      <c r="AJ198" s="130"/>
    </row>
    <row r="199" spans="11:36">
      <c r="K199" s="76"/>
      <c r="L199" s="48" t="e">
        <f t="shared" si="31"/>
        <v>#VALUE!</v>
      </c>
      <c r="M199" s="32" t="str">
        <f t="shared" si="34"/>
        <v/>
      </c>
      <c r="N199" s="63" t="e">
        <f t="shared" si="33"/>
        <v>#VALUE!</v>
      </c>
      <c r="O199" s="86"/>
      <c r="P199" s="223"/>
      <c r="Q199" s="224"/>
      <c r="R199" s="135"/>
      <c r="S199" s="139" cm="1">
        <f t="array" ref="S199">IF(P199="",0,IF(OR(O199=";",P199="EQU",P199="ORG"),0,HlpGetInstructionSize(P199,Q199,R199,$AC$12)))</f>
        <v>0</v>
      </c>
      <c r="V199" s="42" t="str">
        <f t="shared" si="32"/>
        <v/>
      </c>
      <c r="W199" s="16"/>
      <c r="X199" s="28"/>
      <c r="Y199" s="29"/>
      <c r="AA199" s="66"/>
      <c r="AB199" s="11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28"/>
      <c r="AD199" s="129"/>
      <c r="AE199" s="129"/>
      <c r="AF199" s="129"/>
      <c r="AG199" s="129"/>
      <c r="AH199" s="129"/>
      <c r="AI199" s="129"/>
      <c r="AJ199" s="130"/>
    </row>
    <row r="200" spans="11:36">
      <c r="K200" s="76"/>
      <c r="L200" s="48" t="e">
        <f t="shared" si="31"/>
        <v>#VALUE!</v>
      </c>
      <c r="M200" s="32" t="str">
        <f t="shared" si="34"/>
        <v/>
      </c>
      <c r="N200" s="63" t="e">
        <f t="shared" si="33"/>
        <v>#VALUE!</v>
      </c>
      <c r="O200" s="86"/>
      <c r="P200" s="223"/>
      <c r="Q200" s="224"/>
      <c r="R200" s="135"/>
      <c r="S200" s="139" cm="1">
        <f t="array" ref="S200">IF(P200="",0,IF(OR(O200=";",P200="EQU",P200="ORG"),0,HlpGetInstructionSize(P200,Q200,R200,$AC$12)))</f>
        <v>0</v>
      </c>
      <c r="V200" s="42" t="str">
        <f t="shared" si="32"/>
        <v/>
      </c>
      <c r="W200" s="16"/>
      <c r="X200" s="28"/>
      <c r="Y200" s="29"/>
      <c r="AA200" s="66"/>
      <c r="AB200" s="11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28"/>
      <c r="AD200" s="129"/>
      <c r="AE200" s="129"/>
      <c r="AF200" s="129"/>
      <c r="AG200" s="129"/>
      <c r="AH200" s="129"/>
      <c r="AI200" s="129"/>
      <c r="AJ200" s="130"/>
    </row>
    <row r="201" spans="11:36">
      <c r="K201" s="76"/>
      <c r="L201" s="48" t="e">
        <f t="shared" ref="L201:L264" si="35">IF(UPPER(P201)="EQU","E",IF(P201="DB","D",IF(O201&lt;&gt;"","L",IF(N201="","F",""))))</f>
        <v>#VALUE!</v>
      </c>
      <c r="M201" s="32" t="str">
        <f t="shared" si="34"/>
        <v/>
      </c>
      <c r="N201" s="63" t="e">
        <f t="shared" si="33"/>
        <v>#VALUE!</v>
      </c>
      <c r="O201" s="86"/>
      <c r="P201" s="223"/>
      <c r="Q201" s="224"/>
      <c r="R201" s="135"/>
      <c r="S201" s="139" cm="1">
        <f t="array" ref="S201">IF(P201="",0,IF(OR(O201=";",P201="EQU",P201="ORG"),0,HlpGetInstructionSize(P201,Q201,R201,$AC$12)))</f>
        <v>0</v>
      </c>
      <c r="V201" s="42" t="str">
        <f t="shared" ref="V201:V264" si="36">IF(W201&gt;0,RIGHT("0000"&amp;DEC2HEX(W201),4),"")</f>
        <v/>
      </c>
      <c r="W201" s="16"/>
      <c r="X201" s="28"/>
      <c r="Y201" s="29"/>
      <c r="AA201" s="66"/>
      <c r="AB201" s="11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28"/>
      <c r="AD201" s="129"/>
      <c r="AE201" s="129"/>
      <c r="AF201" s="129"/>
      <c r="AG201" s="129"/>
      <c r="AH201" s="129"/>
      <c r="AI201" s="129"/>
      <c r="AJ201" s="130"/>
    </row>
    <row r="202" spans="11:36">
      <c r="K202" s="76"/>
      <c r="L202" s="48" t="e">
        <f t="shared" si="35"/>
        <v>#VALUE!</v>
      </c>
      <c r="M202" s="32" t="str">
        <f t="shared" si="34"/>
        <v/>
      </c>
      <c r="N202" s="63" t="e">
        <f t="shared" ref="N202:N265" si="37">N201+S201</f>
        <v>#VALUE!</v>
      </c>
      <c r="O202" s="86"/>
      <c r="P202" s="223"/>
      <c r="Q202" s="224"/>
      <c r="R202" s="135"/>
      <c r="S202" s="139" cm="1">
        <f t="array" ref="S202">IF(P202="",0,IF(OR(O202=";",P202="EQU",P202="ORG"),0,HlpGetInstructionSize(P202,Q202,R202,$AC$12)))</f>
        <v>0</v>
      </c>
      <c r="V202" s="42" t="str">
        <f t="shared" si="36"/>
        <v/>
      </c>
      <c r="W202" s="16"/>
      <c r="X202" s="28"/>
      <c r="Y202" s="29"/>
      <c r="AA202" s="66"/>
      <c r="AB202" s="11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28"/>
      <c r="AD202" s="129"/>
      <c r="AE202" s="129"/>
      <c r="AF202" s="129"/>
      <c r="AG202" s="129"/>
      <c r="AH202" s="129"/>
      <c r="AI202" s="129"/>
      <c r="AJ202" s="130"/>
    </row>
    <row r="203" spans="11:36">
      <c r="K203" s="76"/>
      <c r="L203" s="48" t="e">
        <f t="shared" si="35"/>
        <v>#VALUE!</v>
      </c>
      <c r="M203" s="32" t="str">
        <f t="shared" si="34"/>
        <v/>
      </c>
      <c r="N203" s="63" t="e">
        <f t="shared" si="37"/>
        <v>#VALUE!</v>
      </c>
      <c r="O203" s="86"/>
      <c r="P203" s="223"/>
      <c r="Q203" s="224"/>
      <c r="R203" s="135"/>
      <c r="S203" s="139" cm="1">
        <f t="array" ref="S203">IF(P203="",0,IF(OR(O203=";",P203="EQU",P203="ORG"),0,HlpGetInstructionSize(P203,Q203,R203,$AC$12)))</f>
        <v>0</v>
      </c>
      <c r="V203" s="42" t="str">
        <f t="shared" si="36"/>
        <v/>
      </c>
      <c r="W203" s="16"/>
      <c r="X203" s="28"/>
      <c r="Y203" s="29"/>
      <c r="AA203" s="66"/>
      <c r="AB203" s="11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28"/>
      <c r="AD203" s="129"/>
      <c r="AE203" s="129"/>
      <c r="AF203" s="129"/>
      <c r="AG203" s="129"/>
      <c r="AH203" s="129"/>
      <c r="AI203" s="129"/>
      <c r="AJ203" s="130"/>
    </row>
    <row r="204" spans="11:36">
      <c r="K204" s="76"/>
      <c r="L204" s="48" t="e">
        <f t="shared" si="35"/>
        <v>#VALUE!</v>
      </c>
      <c r="M204" s="32" t="str">
        <f t="shared" si="34"/>
        <v/>
      </c>
      <c r="N204" s="63" t="e">
        <f t="shared" si="37"/>
        <v>#VALUE!</v>
      </c>
      <c r="O204" s="86"/>
      <c r="P204" s="223"/>
      <c r="Q204" s="224"/>
      <c r="R204" s="135"/>
      <c r="S204" s="139" cm="1">
        <f t="array" ref="S204">IF(P204="",0,IF(OR(O204=";",P204="EQU",P204="ORG"),0,HlpGetInstructionSize(P204,Q204,R204,$AC$12)))</f>
        <v>0</v>
      </c>
      <c r="V204" s="42" t="str">
        <f t="shared" si="36"/>
        <v/>
      </c>
      <c r="W204" s="16"/>
      <c r="X204" s="28"/>
      <c r="Y204" s="29"/>
      <c r="AA204" s="66"/>
      <c r="AB204" s="11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28"/>
      <c r="AD204" s="129"/>
      <c r="AE204" s="129"/>
      <c r="AF204" s="129"/>
      <c r="AG204" s="129"/>
      <c r="AH204" s="129"/>
      <c r="AI204" s="129"/>
      <c r="AJ204" s="130"/>
    </row>
    <row r="205" spans="11:36">
      <c r="K205" s="76"/>
      <c r="L205" s="48" t="e">
        <f t="shared" si="35"/>
        <v>#VALUE!</v>
      </c>
      <c r="M205" s="32" t="str">
        <f t="shared" si="34"/>
        <v/>
      </c>
      <c r="N205" s="63" t="e">
        <f t="shared" si="37"/>
        <v>#VALUE!</v>
      </c>
      <c r="O205" s="86"/>
      <c r="P205" s="223"/>
      <c r="Q205" s="224"/>
      <c r="R205" s="135"/>
      <c r="S205" s="139" cm="1">
        <f t="array" ref="S205">IF(P205="",0,IF(OR(O205=";",P205="EQU",P205="ORG"),0,HlpGetInstructionSize(P205,Q205,R205,$AC$12)))</f>
        <v>0</v>
      </c>
      <c r="V205" s="42" t="str">
        <f t="shared" si="36"/>
        <v/>
      </c>
      <c r="W205" s="16"/>
      <c r="X205" s="28"/>
      <c r="Y205" s="29"/>
      <c r="AA205" s="66"/>
      <c r="AB205" s="11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28"/>
      <c r="AD205" s="129"/>
      <c r="AE205" s="129"/>
      <c r="AF205" s="129"/>
      <c r="AG205" s="129"/>
      <c r="AH205" s="129"/>
      <c r="AI205" s="129"/>
      <c r="AJ205" s="130"/>
    </row>
    <row r="206" spans="11:36">
      <c r="K206" s="76"/>
      <c r="L206" s="48" t="e">
        <f t="shared" si="35"/>
        <v>#VALUE!</v>
      </c>
      <c r="M206" s="32" t="str">
        <f t="shared" si="34"/>
        <v/>
      </c>
      <c r="N206" s="63" t="e">
        <f t="shared" si="37"/>
        <v>#VALUE!</v>
      </c>
      <c r="O206" s="86"/>
      <c r="P206" s="223"/>
      <c r="Q206" s="224"/>
      <c r="R206" s="135"/>
      <c r="S206" s="139" cm="1">
        <f t="array" ref="S206">IF(P206="",0,IF(OR(O206=";",P206="EQU",P206="ORG"),0,HlpGetInstructionSize(P206,Q206,R206,$AC$12)))</f>
        <v>0</v>
      </c>
      <c r="V206" s="42" t="str">
        <f t="shared" si="36"/>
        <v/>
      </c>
      <c r="W206" s="16"/>
      <c r="X206" s="28"/>
      <c r="Y206" s="29"/>
      <c r="AA206" s="66"/>
      <c r="AB206" s="11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28"/>
      <c r="AD206" s="129"/>
      <c r="AE206" s="129"/>
      <c r="AF206" s="129"/>
      <c r="AG206" s="129"/>
      <c r="AH206" s="129"/>
      <c r="AI206" s="129"/>
      <c r="AJ206" s="130"/>
    </row>
    <row r="207" spans="11:36">
      <c r="K207" s="76"/>
      <c r="L207" s="48" t="e">
        <f t="shared" si="35"/>
        <v>#VALUE!</v>
      </c>
      <c r="M207" s="32" t="str">
        <f t="shared" si="34"/>
        <v/>
      </c>
      <c r="N207" s="63" t="e">
        <f t="shared" si="37"/>
        <v>#VALUE!</v>
      </c>
      <c r="O207" s="86"/>
      <c r="P207" s="223"/>
      <c r="Q207" s="224"/>
      <c r="R207" s="135"/>
      <c r="S207" s="139" cm="1">
        <f t="array" ref="S207">IF(P207="",0,IF(OR(O207=";",P207="EQU",P207="ORG"),0,HlpGetInstructionSize(P207,Q207,R207,$AC$12)))</f>
        <v>0</v>
      </c>
      <c r="V207" s="42" t="str">
        <f t="shared" si="36"/>
        <v/>
      </c>
      <c r="W207" s="16"/>
      <c r="X207" s="28"/>
      <c r="Y207" s="29"/>
      <c r="AA207" s="66"/>
      <c r="AB207" s="11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28"/>
      <c r="AD207" s="129"/>
      <c r="AE207" s="129"/>
      <c r="AF207" s="129"/>
      <c r="AG207" s="129"/>
      <c r="AH207" s="129"/>
      <c r="AI207" s="129"/>
      <c r="AJ207" s="130"/>
    </row>
    <row r="208" spans="11:36">
      <c r="K208" s="76"/>
      <c r="L208" s="48" t="e">
        <f t="shared" si="35"/>
        <v>#VALUE!</v>
      </c>
      <c r="M208" s="32" t="str">
        <f t="shared" si="34"/>
        <v/>
      </c>
      <c r="N208" s="63" t="e">
        <f t="shared" si="37"/>
        <v>#VALUE!</v>
      </c>
      <c r="O208" s="86"/>
      <c r="P208" s="223"/>
      <c r="Q208" s="224"/>
      <c r="R208" s="135"/>
      <c r="S208" s="139" cm="1">
        <f t="array" ref="S208">IF(P208="",0,IF(OR(O208=";",P208="EQU",P208="ORG"),0,HlpGetInstructionSize(P208,Q208,R208,$AC$12)))</f>
        <v>0</v>
      </c>
      <c r="V208" s="42" t="str">
        <f t="shared" si="36"/>
        <v/>
      </c>
      <c r="W208" s="16"/>
      <c r="X208" s="28"/>
      <c r="Y208" s="29"/>
      <c r="AA208" s="66"/>
      <c r="AB208" s="11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28"/>
      <c r="AD208" s="129"/>
      <c r="AE208" s="129"/>
      <c r="AF208" s="129"/>
      <c r="AG208" s="129"/>
      <c r="AH208" s="129"/>
      <c r="AI208" s="129"/>
      <c r="AJ208" s="130"/>
    </row>
    <row r="209" spans="11:36">
      <c r="K209" s="76"/>
      <c r="L209" s="48" t="e">
        <f t="shared" si="35"/>
        <v>#VALUE!</v>
      </c>
      <c r="M209" s="32" t="str">
        <f t="shared" si="34"/>
        <v/>
      </c>
      <c r="N209" s="63" t="e">
        <f t="shared" si="37"/>
        <v>#VALUE!</v>
      </c>
      <c r="O209" s="86"/>
      <c r="P209" s="223"/>
      <c r="Q209" s="224"/>
      <c r="R209" s="135"/>
      <c r="S209" s="139" cm="1">
        <f t="array" ref="S209">IF(P209="",0,IF(OR(O209=";",P209="EQU",P209="ORG"),0,HlpGetInstructionSize(P209,Q209,R209,$AC$12)))</f>
        <v>0</v>
      </c>
      <c r="V209" s="42" t="str">
        <f t="shared" si="36"/>
        <v/>
      </c>
      <c r="W209" s="16"/>
      <c r="X209" s="28"/>
      <c r="Y209" s="29"/>
      <c r="AA209" s="66"/>
      <c r="AB209" s="11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28"/>
      <c r="AD209" s="129"/>
      <c r="AE209" s="129"/>
      <c r="AF209" s="129"/>
      <c r="AG209" s="129"/>
      <c r="AH209" s="129"/>
      <c r="AI209" s="129"/>
      <c r="AJ209" s="130"/>
    </row>
    <row r="210" spans="11:36">
      <c r="K210" s="76"/>
      <c r="L210" s="48" t="e">
        <f t="shared" si="35"/>
        <v>#VALUE!</v>
      </c>
      <c r="M210" s="32" t="str">
        <f t="shared" si="34"/>
        <v/>
      </c>
      <c r="N210" s="63" t="e">
        <f t="shared" si="37"/>
        <v>#VALUE!</v>
      </c>
      <c r="O210" s="86"/>
      <c r="P210" s="223"/>
      <c r="Q210" s="224"/>
      <c r="R210" s="135"/>
      <c r="S210" s="139" cm="1">
        <f t="array" ref="S210">IF(P210="",0,IF(OR(O210=";",P210="EQU",P210="ORG"),0,HlpGetInstructionSize(P210,Q210,R210,$AC$12)))</f>
        <v>0</v>
      </c>
      <c r="V210" s="42" t="str">
        <f t="shared" si="36"/>
        <v/>
      </c>
      <c r="W210" s="16"/>
      <c r="X210" s="28"/>
      <c r="Y210" s="29"/>
      <c r="AA210" s="66"/>
      <c r="AB210" s="11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28"/>
      <c r="AD210" s="129"/>
      <c r="AE210" s="129"/>
      <c r="AF210" s="129"/>
      <c r="AG210" s="129"/>
      <c r="AH210" s="129"/>
      <c r="AI210" s="129"/>
      <c r="AJ210" s="130"/>
    </row>
    <row r="211" spans="11:36">
      <c r="K211" s="76"/>
      <c r="L211" s="48" t="e">
        <f t="shared" si="35"/>
        <v>#VALUE!</v>
      </c>
      <c r="M211" s="32" t="str">
        <f t="shared" si="34"/>
        <v/>
      </c>
      <c r="N211" s="63" t="e">
        <f t="shared" si="37"/>
        <v>#VALUE!</v>
      </c>
      <c r="O211" s="86"/>
      <c r="P211" s="223"/>
      <c r="Q211" s="224"/>
      <c r="R211" s="135"/>
      <c r="S211" s="139" cm="1">
        <f t="array" ref="S211">IF(P211="",0,IF(OR(O211=";",P211="EQU",P211="ORG"),0,HlpGetInstructionSize(P211,Q211,R211,$AC$12)))</f>
        <v>0</v>
      </c>
      <c r="V211" s="42" t="str">
        <f t="shared" si="36"/>
        <v/>
      </c>
      <c r="W211" s="16"/>
      <c r="X211" s="28"/>
      <c r="Y211" s="29"/>
      <c r="AA211" s="66"/>
      <c r="AB211" s="11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28"/>
      <c r="AD211" s="129"/>
      <c r="AE211" s="129"/>
      <c r="AF211" s="129"/>
      <c r="AG211" s="129"/>
      <c r="AH211" s="129"/>
      <c r="AI211" s="129"/>
      <c r="AJ211" s="130"/>
    </row>
    <row r="212" spans="11:36">
      <c r="K212" s="76"/>
      <c r="L212" s="48" t="e">
        <f t="shared" si="35"/>
        <v>#VALUE!</v>
      </c>
      <c r="M212" s="32" t="str">
        <f t="shared" si="34"/>
        <v/>
      </c>
      <c r="N212" s="63" t="e">
        <f t="shared" si="37"/>
        <v>#VALUE!</v>
      </c>
      <c r="O212" s="86"/>
      <c r="P212" s="223"/>
      <c r="Q212" s="224"/>
      <c r="R212" s="135"/>
      <c r="S212" s="139" cm="1">
        <f t="array" ref="S212">IF(P212="",0,IF(OR(O212=";",P212="EQU",P212="ORG"),0,HlpGetInstructionSize(P212,Q212,R212,$AC$12)))</f>
        <v>0</v>
      </c>
      <c r="V212" s="42" t="str">
        <f t="shared" si="36"/>
        <v/>
      </c>
      <c r="W212" s="16"/>
      <c r="X212" s="28"/>
      <c r="Y212" s="29"/>
      <c r="AA212" s="66"/>
      <c r="AB212" s="11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28"/>
      <c r="AD212" s="129"/>
      <c r="AE212" s="129"/>
      <c r="AF212" s="129"/>
      <c r="AG212" s="129"/>
      <c r="AH212" s="129"/>
      <c r="AI212" s="129"/>
      <c r="AJ212" s="130"/>
    </row>
    <row r="213" spans="11:36">
      <c r="K213" s="76"/>
      <c r="L213" s="48" t="e">
        <f t="shared" si="35"/>
        <v>#VALUE!</v>
      </c>
      <c r="M213" s="32" t="str">
        <f t="shared" si="34"/>
        <v/>
      </c>
      <c r="N213" s="63" t="e">
        <f t="shared" si="37"/>
        <v>#VALUE!</v>
      </c>
      <c r="O213" s="86"/>
      <c r="P213" s="223"/>
      <c r="Q213" s="224"/>
      <c r="R213" s="135"/>
      <c r="S213" s="139" cm="1">
        <f t="array" ref="S213">IF(P213="",0,IF(OR(O213=";",P213="EQU",P213="ORG"),0,HlpGetInstructionSize(P213,Q213,R213,$AC$12)))</f>
        <v>0</v>
      </c>
      <c r="V213" s="42" t="str">
        <f t="shared" si="36"/>
        <v/>
      </c>
      <c r="W213" s="16"/>
      <c r="X213" s="28"/>
      <c r="Y213" s="29"/>
      <c r="AA213" s="66"/>
      <c r="AB213" s="11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28"/>
      <c r="AD213" s="129"/>
      <c r="AE213" s="129"/>
      <c r="AF213" s="129"/>
      <c r="AG213" s="129"/>
      <c r="AH213" s="129"/>
      <c r="AI213" s="129"/>
      <c r="AJ213" s="130"/>
    </row>
    <row r="214" spans="11:36">
      <c r="K214" s="76"/>
      <c r="L214" s="48" t="e">
        <f t="shared" si="35"/>
        <v>#VALUE!</v>
      </c>
      <c r="M214" s="32" t="str">
        <f t="shared" si="34"/>
        <v/>
      </c>
      <c r="N214" s="63" t="e">
        <f t="shared" si="37"/>
        <v>#VALUE!</v>
      </c>
      <c r="O214" s="86"/>
      <c r="P214" s="223"/>
      <c r="Q214" s="224"/>
      <c r="R214" s="135"/>
      <c r="S214" s="139" cm="1">
        <f t="array" ref="S214">IF(P214="",0,IF(OR(O214=";",P214="EQU",P214="ORG"),0,HlpGetInstructionSize(P214,Q214,R214,$AC$12)))</f>
        <v>0</v>
      </c>
      <c r="V214" s="42" t="str">
        <f t="shared" si="36"/>
        <v/>
      </c>
      <c r="W214" s="16"/>
      <c r="X214" s="28"/>
      <c r="Y214" s="29"/>
      <c r="AA214" s="66"/>
      <c r="AB214" s="11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28"/>
      <c r="AD214" s="129"/>
      <c r="AE214" s="129"/>
      <c r="AF214" s="129"/>
      <c r="AG214" s="129"/>
      <c r="AH214" s="129"/>
      <c r="AI214" s="129"/>
      <c r="AJ214" s="130"/>
    </row>
    <row r="215" spans="11:36">
      <c r="K215" s="76"/>
      <c r="L215" s="48" t="e">
        <f t="shared" si="35"/>
        <v>#VALUE!</v>
      </c>
      <c r="M215" s="32" t="str">
        <f t="shared" si="34"/>
        <v/>
      </c>
      <c r="N215" s="63" t="e">
        <f t="shared" si="37"/>
        <v>#VALUE!</v>
      </c>
      <c r="O215" s="86"/>
      <c r="P215" s="223"/>
      <c r="Q215" s="224"/>
      <c r="R215" s="135"/>
      <c r="S215" s="139" cm="1">
        <f t="array" ref="S215">IF(P215="",0,IF(OR(O215=";",P215="EQU",P215="ORG"),0,HlpGetInstructionSize(P215,Q215,R215,$AC$12)))</f>
        <v>0</v>
      </c>
      <c r="V215" s="42" t="str">
        <f t="shared" si="36"/>
        <v/>
      </c>
      <c r="W215" s="16"/>
      <c r="X215" s="28"/>
      <c r="Y215" s="29"/>
      <c r="AA215" s="66"/>
      <c r="AB215" s="11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28"/>
      <c r="AD215" s="129"/>
      <c r="AE215" s="129"/>
      <c r="AF215" s="129"/>
      <c r="AG215" s="129"/>
      <c r="AH215" s="129"/>
      <c r="AI215" s="129"/>
      <c r="AJ215" s="130"/>
    </row>
    <row r="216" spans="11:36">
      <c r="K216" s="76"/>
      <c r="L216" s="48" t="e">
        <f t="shared" si="35"/>
        <v>#VALUE!</v>
      </c>
      <c r="M216" s="32" t="str">
        <f t="shared" si="34"/>
        <v/>
      </c>
      <c r="N216" s="63" t="e">
        <f t="shared" si="37"/>
        <v>#VALUE!</v>
      </c>
      <c r="O216" s="86"/>
      <c r="P216" s="223"/>
      <c r="Q216" s="224"/>
      <c r="R216" s="135"/>
      <c r="S216" s="139" cm="1">
        <f t="array" ref="S216">IF(P216="",0,IF(OR(O216=";",P216="EQU",P216="ORG"),0,HlpGetInstructionSize(P216,Q216,R216,$AC$12)))</f>
        <v>0</v>
      </c>
      <c r="V216" s="42" t="str">
        <f t="shared" si="36"/>
        <v/>
      </c>
      <c r="W216" s="16"/>
      <c r="X216" s="28"/>
      <c r="Y216" s="29"/>
      <c r="AA216" s="66"/>
      <c r="AB216" s="11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28"/>
      <c r="AD216" s="129"/>
      <c r="AE216" s="129"/>
      <c r="AF216" s="129"/>
      <c r="AG216" s="129"/>
      <c r="AH216" s="129"/>
      <c r="AI216" s="129"/>
      <c r="AJ216" s="130"/>
    </row>
    <row r="217" spans="11:36">
      <c r="K217" s="76"/>
      <c r="L217" s="48" t="e">
        <f t="shared" si="35"/>
        <v>#VALUE!</v>
      </c>
      <c r="M217" s="32" t="str">
        <f t="shared" si="34"/>
        <v/>
      </c>
      <c r="N217" s="63" t="e">
        <f t="shared" si="37"/>
        <v>#VALUE!</v>
      </c>
      <c r="O217" s="86"/>
      <c r="P217" s="223"/>
      <c r="Q217" s="224"/>
      <c r="R217" s="135"/>
      <c r="S217" s="139" cm="1">
        <f t="array" ref="S217">IF(P217="",0,IF(OR(O217=";",P217="EQU",P217="ORG"),0,HlpGetInstructionSize(P217,Q217,R217,$AC$12)))</f>
        <v>0</v>
      </c>
      <c r="V217" s="42" t="str">
        <f t="shared" si="36"/>
        <v/>
      </c>
      <c r="W217" s="16"/>
      <c r="X217" s="28"/>
      <c r="Y217" s="29"/>
      <c r="AA217" s="66"/>
      <c r="AB217" s="11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28"/>
      <c r="AD217" s="129"/>
      <c r="AE217" s="129"/>
      <c r="AF217" s="129"/>
      <c r="AG217" s="129"/>
      <c r="AH217" s="129"/>
      <c r="AI217" s="129"/>
      <c r="AJ217" s="130"/>
    </row>
    <row r="218" spans="11:36">
      <c r="K218" s="76"/>
      <c r="L218" s="48" t="e">
        <f t="shared" si="35"/>
        <v>#VALUE!</v>
      </c>
      <c r="M218" s="32" t="str">
        <f t="shared" si="34"/>
        <v/>
      </c>
      <c r="N218" s="63" t="e">
        <f t="shared" si="37"/>
        <v>#VALUE!</v>
      </c>
      <c r="O218" s="86"/>
      <c r="P218" s="223"/>
      <c r="Q218" s="224"/>
      <c r="R218" s="135"/>
      <c r="S218" s="139" cm="1">
        <f t="array" ref="S218">IF(P218="",0,IF(OR(O218=";",P218="EQU",P218="ORG"),0,HlpGetInstructionSize(P218,Q218,R218,$AC$12)))</f>
        <v>0</v>
      </c>
      <c r="V218" s="42" t="str">
        <f t="shared" si="36"/>
        <v/>
      </c>
      <c r="W218" s="16"/>
      <c r="X218" s="28"/>
      <c r="Y218" s="29"/>
      <c r="AA218" s="66"/>
      <c r="AB218" s="11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28"/>
      <c r="AD218" s="129"/>
      <c r="AE218" s="129"/>
      <c r="AF218" s="129"/>
      <c r="AG218" s="129"/>
      <c r="AH218" s="129"/>
      <c r="AI218" s="129"/>
      <c r="AJ218" s="130"/>
    </row>
    <row r="219" spans="11:36">
      <c r="K219" s="76"/>
      <c r="L219" s="48" t="e">
        <f t="shared" si="35"/>
        <v>#VALUE!</v>
      </c>
      <c r="M219" s="32" t="str">
        <f t="shared" si="34"/>
        <v/>
      </c>
      <c r="N219" s="63" t="e">
        <f t="shared" si="37"/>
        <v>#VALUE!</v>
      </c>
      <c r="O219" s="86"/>
      <c r="P219" s="223"/>
      <c r="Q219" s="224"/>
      <c r="R219" s="135"/>
      <c r="S219" s="139" cm="1">
        <f t="array" ref="S219">IF(P219="",0,IF(OR(O219=";",P219="EQU",P219="ORG"),0,HlpGetInstructionSize(P219,Q219,R219,$AC$12)))</f>
        <v>0</v>
      </c>
      <c r="V219" s="42" t="str">
        <f t="shared" si="36"/>
        <v/>
      </c>
      <c r="W219" s="16"/>
      <c r="X219" s="28"/>
      <c r="Y219" s="29"/>
      <c r="AA219" s="66"/>
      <c r="AB219" s="11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28"/>
      <c r="AD219" s="129"/>
      <c r="AE219" s="129"/>
      <c r="AF219" s="129"/>
      <c r="AG219" s="129"/>
      <c r="AH219" s="129"/>
      <c r="AI219" s="129"/>
      <c r="AJ219" s="130"/>
    </row>
    <row r="220" spans="11:36">
      <c r="K220" s="76"/>
      <c r="L220" s="48" t="e">
        <f t="shared" si="35"/>
        <v>#VALUE!</v>
      </c>
      <c r="M220" s="32" t="str">
        <f t="shared" si="34"/>
        <v/>
      </c>
      <c r="N220" s="63" t="e">
        <f t="shared" si="37"/>
        <v>#VALUE!</v>
      </c>
      <c r="O220" s="86"/>
      <c r="P220" s="223"/>
      <c r="Q220" s="224"/>
      <c r="R220" s="135"/>
      <c r="S220" s="139" cm="1">
        <f t="array" ref="S220">IF(P220="",0,IF(OR(O220=";",P220="EQU",P220="ORG"),0,HlpGetInstructionSize(P220,Q220,R220,$AC$12)))</f>
        <v>0</v>
      </c>
      <c r="V220" s="42" t="str">
        <f t="shared" si="36"/>
        <v/>
      </c>
      <c r="W220" s="16"/>
      <c r="X220" s="28"/>
      <c r="Y220" s="29"/>
      <c r="AA220" s="66"/>
      <c r="AB220" s="11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28"/>
      <c r="AD220" s="129"/>
      <c r="AE220" s="129"/>
      <c r="AF220" s="129"/>
      <c r="AG220" s="129"/>
      <c r="AH220" s="129"/>
      <c r="AI220" s="129"/>
      <c r="AJ220" s="130"/>
    </row>
    <row r="221" spans="11:36">
      <c r="K221" s="76"/>
      <c r="L221" s="48" t="e">
        <f t="shared" si="35"/>
        <v>#VALUE!</v>
      </c>
      <c r="M221" s="32" t="str">
        <f t="shared" ref="M221:M284" si="38">IFERROR(RIGHT("0000"&amp;DEC2HEX(N221),4),"")</f>
        <v/>
      </c>
      <c r="N221" s="63" t="e">
        <f t="shared" si="37"/>
        <v>#VALUE!</v>
      </c>
      <c r="O221" s="86"/>
      <c r="P221" s="223"/>
      <c r="Q221" s="224"/>
      <c r="R221" s="135"/>
      <c r="S221" s="139" cm="1">
        <f t="array" ref="S221">IF(P221="",0,IF(OR(O221=";",P221="EQU",P221="ORG"),0,HlpGetInstructionSize(P221,Q221,R221,$AC$12)))</f>
        <v>0</v>
      </c>
      <c r="V221" s="42" t="str">
        <f t="shared" si="36"/>
        <v/>
      </c>
      <c r="W221" s="16"/>
      <c r="X221" s="28"/>
      <c r="Y221" s="29"/>
      <c r="AA221" s="66"/>
      <c r="AB221" s="11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28"/>
      <c r="AD221" s="129"/>
      <c r="AE221" s="129"/>
      <c r="AF221" s="129"/>
      <c r="AG221" s="129"/>
      <c r="AH221" s="129"/>
      <c r="AI221" s="129"/>
      <c r="AJ221" s="130"/>
    </row>
    <row r="222" spans="11:36">
      <c r="K222" s="76"/>
      <c r="L222" s="48" t="e">
        <f t="shared" si="35"/>
        <v>#VALUE!</v>
      </c>
      <c r="M222" s="32" t="str">
        <f t="shared" si="38"/>
        <v/>
      </c>
      <c r="N222" s="63" t="e">
        <f t="shared" si="37"/>
        <v>#VALUE!</v>
      </c>
      <c r="O222" s="86"/>
      <c r="P222" s="223"/>
      <c r="Q222" s="224"/>
      <c r="R222" s="135"/>
      <c r="S222" s="139" cm="1">
        <f t="array" ref="S222">IF(P222="",0,IF(OR(O222=";",P222="EQU",P222="ORG"),0,HlpGetInstructionSize(P222,Q222,R222,$AC$12)))</f>
        <v>0</v>
      </c>
      <c r="V222" s="42" t="str">
        <f t="shared" si="36"/>
        <v/>
      </c>
      <c r="W222" s="16"/>
      <c r="X222" s="28"/>
      <c r="Y222" s="29"/>
      <c r="AA222" s="66"/>
      <c r="AB222" s="11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28"/>
      <c r="AD222" s="129"/>
      <c r="AE222" s="129"/>
      <c r="AF222" s="129"/>
      <c r="AG222" s="129"/>
      <c r="AH222" s="129"/>
      <c r="AI222" s="129"/>
      <c r="AJ222" s="130"/>
    </row>
    <row r="223" spans="11:36">
      <c r="K223" s="76"/>
      <c r="L223" s="48" t="e">
        <f t="shared" si="35"/>
        <v>#VALUE!</v>
      </c>
      <c r="M223" s="32" t="str">
        <f t="shared" si="38"/>
        <v/>
      </c>
      <c r="N223" s="63" t="e">
        <f t="shared" si="37"/>
        <v>#VALUE!</v>
      </c>
      <c r="O223" s="86"/>
      <c r="P223" s="223"/>
      <c r="Q223" s="224"/>
      <c r="R223" s="135"/>
      <c r="S223" s="139" cm="1">
        <f t="array" ref="S223">IF(P223="",0,IF(OR(O223=";",P223="EQU",P223="ORG"),0,HlpGetInstructionSize(P223,Q223,R223,$AC$12)))</f>
        <v>0</v>
      </c>
      <c r="V223" s="42" t="str">
        <f t="shared" si="36"/>
        <v/>
      </c>
      <c r="W223" s="16"/>
      <c r="X223" s="28"/>
      <c r="Y223" s="29"/>
      <c r="AA223" s="66"/>
      <c r="AB223" s="11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28"/>
      <c r="AD223" s="129"/>
      <c r="AE223" s="129"/>
      <c r="AF223" s="129"/>
      <c r="AG223" s="129"/>
      <c r="AH223" s="129"/>
      <c r="AI223" s="129"/>
      <c r="AJ223" s="130"/>
    </row>
    <row r="224" spans="11:36">
      <c r="K224" s="76"/>
      <c r="L224" s="48" t="e">
        <f t="shared" si="35"/>
        <v>#VALUE!</v>
      </c>
      <c r="M224" s="32" t="str">
        <f t="shared" si="38"/>
        <v/>
      </c>
      <c r="N224" s="63" t="e">
        <f t="shared" si="37"/>
        <v>#VALUE!</v>
      </c>
      <c r="O224" s="86"/>
      <c r="P224" s="223"/>
      <c r="Q224" s="224"/>
      <c r="R224" s="135"/>
      <c r="S224" s="139" cm="1">
        <f t="array" ref="S224">IF(P224="",0,IF(OR(O224=";",P224="EQU",P224="ORG"),0,HlpGetInstructionSize(P224,Q224,R224,$AC$12)))</f>
        <v>0</v>
      </c>
      <c r="V224" s="42" t="str">
        <f t="shared" si="36"/>
        <v/>
      </c>
      <c r="W224" s="16"/>
      <c r="X224" s="28"/>
      <c r="Y224" s="29"/>
      <c r="AA224" s="66"/>
      <c r="AB224" s="11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28"/>
      <c r="AD224" s="129"/>
      <c r="AE224" s="129"/>
      <c r="AF224" s="129"/>
      <c r="AG224" s="129"/>
      <c r="AH224" s="129"/>
      <c r="AI224" s="129"/>
      <c r="AJ224" s="130"/>
    </row>
    <row r="225" spans="11:36">
      <c r="K225" s="76"/>
      <c r="L225" s="48" t="e">
        <f t="shared" si="35"/>
        <v>#VALUE!</v>
      </c>
      <c r="M225" s="32" t="str">
        <f t="shared" si="38"/>
        <v/>
      </c>
      <c r="N225" s="63" t="e">
        <f t="shared" si="37"/>
        <v>#VALUE!</v>
      </c>
      <c r="O225" s="86"/>
      <c r="P225" s="223"/>
      <c r="Q225" s="224"/>
      <c r="R225" s="135"/>
      <c r="S225" s="139" cm="1">
        <f t="array" ref="S225">IF(P225="",0,IF(OR(O225=";",P225="EQU",P225="ORG"),0,HlpGetInstructionSize(P225,Q225,R225,$AC$12)))</f>
        <v>0</v>
      </c>
      <c r="V225" s="42" t="str">
        <f t="shared" si="36"/>
        <v/>
      </c>
      <c r="W225" s="16"/>
      <c r="X225" s="28"/>
      <c r="Y225" s="29"/>
      <c r="AA225" s="66"/>
      <c r="AB225" s="11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28"/>
      <c r="AD225" s="129"/>
      <c r="AE225" s="129"/>
      <c r="AF225" s="129"/>
      <c r="AG225" s="129"/>
      <c r="AH225" s="129"/>
      <c r="AI225" s="129"/>
      <c r="AJ225" s="130"/>
    </row>
    <row r="226" spans="11:36">
      <c r="K226" s="76"/>
      <c r="L226" s="48" t="e">
        <f t="shared" si="35"/>
        <v>#VALUE!</v>
      </c>
      <c r="M226" s="32" t="str">
        <f t="shared" si="38"/>
        <v/>
      </c>
      <c r="N226" s="63" t="e">
        <f t="shared" si="37"/>
        <v>#VALUE!</v>
      </c>
      <c r="O226" s="86"/>
      <c r="P226" s="223"/>
      <c r="Q226" s="224"/>
      <c r="R226" s="135"/>
      <c r="S226" s="139" cm="1">
        <f t="array" ref="S226">IF(P226="",0,IF(OR(O226=";",P226="EQU",P226="ORG"),0,HlpGetInstructionSize(P226,Q226,R226,$AC$12)))</f>
        <v>0</v>
      </c>
      <c r="V226" s="42" t="str">
        <f t="shared" si="36"/>
        <v/>
      </c>
      <c r="W226" s="16"/>
      <c r="X226" s="28"/>
      <c r="Y226" s="29"/>
      <c r="AA226" s="66"/>
      <c r="AB226" s="11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28"/>
      <c r="AD226" s="129"/>
      <c r="AE226" s="129"/>
      <c r="AF226" s="129"/>
      <c r="AG226" s="129"/>
      <c r="AH226" s="129"/>
      <c r="AI226" s="129"/>
      <c r="AJ226" s="130"/>
    </row>
    <row r="227" spans="11:36">
      <c r="K227" s="76"/>
      <c r="L227" s="48" t="e">
        <f t="shared" si="35"/>
        <v>#VALUE!</v>
      </c>
      <c r="M227" s="32" t="str">
        <f t="shared" si="38"/>
        <v/>
      </c>
      <c r="N227" s="63" t="e">
        <f t="shared" si="37"/>
        <v>#VALUE!</v>
      </c>
      <c r="O227" s="86"/>
      <c r="P227" s="223"/>
      <c r="Q227" s="224"/>
      <c r="R227" s="135"/>
      <c r="S227" s="139" cm="1">
        <f t="array" ref="S227">IF(P227="",0,IF(OR(O227=";",P227="EQU",P227="ORG"),0,HlpGetInstructionSize(P227,Q227,R227,$AC$12)))</f>
        <v>0</v>
      </c>
      <c r="V227" s="42" t="str">
        <f t="shared" si="36"/>
        <v/>
      </c>
      <c r="W227" s="16"/>
      <c r="X227" s="28"/>
      <c r="Y227" s="29"/>
      <c r="AA227" s="66"/>
      <c r="AB227" s="11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28"/>
      <c r="AD227" s="129"/>
      <c r="AE227" s="129"/>
      <c r="AF227" s="129"/>
      <c r="AG227" s="129"/>
      <c r="AH227" s="129"/>
      <c r="AI227" s="129"/>
      <c r="AJ227" s="130"/>
    </row>
    <row r="228" spans="11:36">
      <c r="K228" s="76"/>
      <c r="L228" s="48" t="e">
        <f t="shared" si="35"/>
        <v>#VALUE!</v>
      </c>
      <c r="M228" s="32" t="str">
        <f t="shared" si="38"/>
        <v/>
      </c>
      <c r="N228" s="63" t="e">
        <f t="shared" si="37"/>
        <v>#VALUE!</v>
      </c>
      <c r="O228" s="86"/>
      <c r="P228" s="223"/>
      <c r="Q228" s="224"/>
      <c r="R228" s="135"/>
      <c r="S228" s="139" cm="1">
        <f t="array" ref="S228">IF(P228="",0,IF(OR(O228=";",P228="EQU",P228="ORG"),0,HlpGetInstructionSize(P228,Q228,R228,$AC$12)))</f>
        <v>0</v>
      </c>
      <c r="V228" s="42" t="str">
        <f t="shared" si="36"/>
        <v/>
      </c>
      <c r="W228" s="16"/>
      <c r="X228" s="28"/>
      <c r="Y228" s="29"/>
      <c r="AA228" s="66"/>
      <c r="AB228" s="11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28"/>
      <c r="AD228" s="129"/>
      <c r="AE228" s="129"/>
      <c r="AF228" s="129"/>
      <c r="AG228" s="129"/>
      <c r="AH228" s="129"/>
      <c r="AI228" s="129"/>
      <c r="AJ228" s="130"/>
    </row>
    <row r="229" spans="11:36">
      <c r="K229" s="76"/>
      <c r="L229" s="48" t="e">
        <f t="shared" si="35"/>
        <v>#VALUE!</v>
      </c>
      <c r="M229" s="32" t="str">
        <f t="shared" si="38"/>
        <v/>
      </c>
      <c r="N229" s="63" t="e">
        <f t="shared" si="37"/>
        <v>#VALUE!</v>
      </c>
      <c r="O229" s="86"/>
      <c r="P229" s="223"/>
      <c r="Q229" s="224"/>
      <c r="R229" s="135"/>
      <c r="S229" s="139" cm="1">
        <f t="array" ref="S229">IF(P229="",0,IF(OR(O229=";",P229="EQU",P229="ORG"),0,HlpGetInstructionSize(P229,Q229,R229,$AC$12)))</f>
        <v>0</v>
      </c>
      <c r="V229" s="42" t="str">
        <f t="shared" si="36"/>
        <v/>
      </c>
      <c r="W229" s="16"/>
      <c r="X229" s="28"/>
      <c r="Y229" s="29"/>
      <c r="AA229" s="66"/>
      <c r="AB229" s="11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28"/>
      <c r="AD229" s="129"/>
      <c r="AE229" s="129"/>
      <c r="AF229" s="129"/>
      <c r="AG229" s="129"/>
      <c r="AH229" s="129"/>
      <c r="AI229" s="129"/>
      <c r="AJ229" s="130"/>
    </row>
    <row r="230" spans="11:36">
      <c r="K230" s="76"/>
      <c r="L230" s="48" t="e">
        <f t="shared" si="35"/>
        <v>#VALUE!</v>
      </c>
      <c r="M230" s="32" t="str">
        <f t="shared" si="38"/>
        <v/>
      </c>
      <c r="N230" s="63" t="e">
        <f t="shared" si="37"/>
        <v>#VALUE!</v>
      </c>
      <c r="O230" s="86"/>
      <c r="P230" s="223"/>
      <c r="Q230" s="224"/>
      <c r="R230" s="135"/>
      <c r="S230" s="139" cm="1">
        <f t="array" ref="S230">IF(P230="",0,IF(OR(O230=";",P230="EQU",P230="ORG"),0,HlpGetInstructionSize(P230,Q230,R230,$AC$12)))</f>
        <v>0</v>
      </c>
      <c r="V230" s="42" t="str">
        <f t="shared" si="36"/>
        <v/>
      </c>
      <c r="W230" s="16"/>
      <c r="X230" s="28"/>
      <c r="Y230" s="29"/>
      <c r="AA230" s="66"/>
      <c r="AB230" s="11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28"/>
      <c r="AD230" s="129"/>
      <c r="AE230" s="129"/>
      <c r="AF230" s="129"/>
      <c r="AG230" s="129"/>
      <c r="AH230" s="129"/>
      <c r="AI230" s="129"/>
      <c r="AJ230" s="130"/>
    </row>
    <row r="231" spans="11:36">
      <c r="K231" s="76"/>
      <c r="L231" s="48" t="e">
        <f t="shared" si="35"/>
        <v>#VALUE!</v>
      </c>
      <c r="M231" s="32" t="str">
        <f t="shared" si="38"/>
        <v/>
      </c>
      <c r="N231" s="63" t="e">
        <f t="shared" si="37"/>
        <v>#VALUE!</v>
      </c>
      <c r="O231" s="86"/>
      <c r="P231" s="223"/>
      <c r="Q231" s="224"/>
      <c r="R231" s="135"/>
      <c r="S231" s="139" cm="1">
        <f t="array" ref="S231">IF(P231="",0,IF(OR(O231=";",P231="EQU",P231="ORG"),0,HlpGetInstructionSize(P231,Q231,R231,$AC$12)))</f>
        <v>0</v>
      </c>
      <c r="V231" s="42" t="str">
        <f t="shared" si="36"/>
        <v/>
      </c>
      <c r="W231" s="16"/>
      <c r="X231" s="28"/>
      <c r="Y231" s="29"/>
      <c r="AA231" s="66"/>
      <c r="AB231" s="11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28"/>
      <c r="AD231" s="129"/>
      <c r="AE231" s="129"/>
      <c r="AF231" s="129"/>
      <c r="AG231" s="129"/>
      <c r="AH231" s="129"/>
      <c r="AI231" s="129"/>
      <c r="AJ231" s="130"/>
    </row>
    <row r="232" spans="11:36">
      <c r="K232" s="76"/>
      <c r="L232" s="48" t="e">
        <f t="shared" si="35"/>
        <v>#VALUE!</v>
      </c>
      <c r="M232" s="32" t="str">
        <f t="shared" si="38"/>
        <v/>
      </c>
      <c r="N232" s="63" t="e">
        <f t="shared" si="37"/>
        <v>#VALUE!</v>
      </c>
      <c r="O232" s="86"/>
      <c r="P232" s="223"/>
      <c r="Q232" s="224"/>
      <c r="R232" s="135"/>
      <c r="S232" s="139" cm="1">
        <f t="array" ref="S232">IF(P232="",0,IF(OR(O232=";",P232="EQU",P232="ORG"),0,HlpGetInstructionSize(P232,Q232,R232,$AC$12)))</f>
        <v>0</v>
      </c>
      <c r="V232" s="42" t="str">
        <f t="shared" si="36"/>
        <v/>
      </c>
      <c r="W232" s="16"/>
      <c r="X232" s="28"/>
      <c r="Y232" s="29"/>
      <c r="AA232" s="66"/>
      <c r="AB232" s="11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28"/>
      <c r="AD232" s="129"/>
      <c r="AE232" s="129"/>
      <c r="AF232" s="129"/>
      <c r="AG232" s="129"/>
      <c r="AH232" s="129"/>
      <c r="AI232" s="129"/>
      <c r="AJ232" s="130"/>
    </row>
    <row r="233" spans="11:36">
      <c r="K233" s="76"/>
      <c r="L233" s="48" t="e">
        <f t="shared" si="35"/>
        <v>#VALUE!</v>
      </c>
      <c r="M233" s="32" t="str">
        <f t="shared" si="38"/>
        <v/>
      </c>
      <c r="N233" s="63" t="e">
        <f t="shared" si="37"/>
        <v>#VALUE!</v>
      </c>
      <c r="O233" s="86"/>
      <c r="P233" s="223"/>
      <c r="Q233" s="224"/>
      <c r="R233" s="135"/>
      <c r="S233" s="139" cm="1">
        <f t="array" ref="S233">IF(P233="",0,IF(OR(O233=";",P233="EQU",P233="ORG"),0,HlpGetInstructionSize(P233,Q233,R233,$AC$12)))</f>
        <v>0</v>
      </c>
      <c r="V233" s="42" t="str">
        <f t="shared" si="36"/>
        <v/>
      </c>
      <c r="W233" s="16"/>
      <c r="X233" s="28"/>
      <c r="Y233" s="29"/>
      <c r="AA233" s="66"/>
      <c r="AB233" s="11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28"/>
      <c r="AD233" s="129"/>
      <c r="AE233" s="129"/>
      <c r="AF233" s="129"/>
      <c r="AG233" s="129"/>
      <c r="AH233" s="129"/>
      <c r="AI233" s="129"/>
      <c r="AJ233" s="130"/>
    </row>
    <row r="234" spans="11:36">
      <c r="K234" s="76"/>
      <c r="L234" s="48" t="e">
        <f t="shared" si="35"/>
        <v>#VALUE!</v>
      </c>
      <c r="M234" s="32" t="str">
        <f t="shared" si="38"/>
        <v/>
      </c>
      <c r="N234" s="63" t="e">
        <f t="shared" si="37"/>
        <v>#VALUE!</v>
      </c>
      <c r="O234" s="86"/>
      <c r="P234" s="223"/>
      <c r="Q234" s="224"/>
      <c r="R234" s="135"/>
      <c r="S234" s="139" cm="1">
        <f t="array" ref="S234">IF(P234="",0,IF(OR(O234=";",P234="EQU",P234="ORG"),0,HlpGetInstructionSize(P234,Q234,R234,$AC$12)))</f>
        <v>0</v>
      </c>
      <c r="V234" s="42" t="str">
        <f t="shared" si="36"/>
        <v/>
      </c>
      <c r="W234" s="16"/>
      <c r="X234" s="28"/>
      <c r="Y234" s="29"/>
      <c r="AA234" s="66"/>
      <c r="AB234" s="11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28"/>
      <c r="AD234" s="129"/>
      <c r="AE234" s="129"/>
      <c r="AF234" s="129"/>
      <c r="AG234" s="129"/>
      <c r="AH234" s="129"/>
      <c r="AI234" s="129"/>
      <c r="AJ234" s="130"/>
    </row>
    <row r="235" spans="11:36">
      <c r="K235" s="76"/>
      <c r="L235" s="48" t="e">
        <f t="shared" si="35"/>
        <v>#VALUE!</v>
      </c>
      <c r="M235" s="32" t="str">
        <f t="shared" si="38"/>
        <v/>
      </c>
      <c r="N235" s="63" t="e">
        <f t="shared" si="37"/>
        <v>#VALUE!</v>
      </c>
      <c r="O235" s="86"/>
      <c r="P235" s="223"/>
      <c r="Q235" s="224"/>
      <c r="R235" s="135"/>
      <c r="S235" s="139" cm="1">
        <f t="array" ref="S235">IF(P235="",0,IF(OR(O235=";",P235="EQU",P235="ORG"),0,HlpGetInstructionSize(P235,Q235,R235,$AC$12)))</f>
        <v>0</v>
      </c>
      <c r="V235" s="42" t="str">
        <f t="shared" si="36"/>
        <v/>
      </c>
      <c r="W235" s="16"/>
      <c r="X235" s="28"/>
      <c r="Y235" s="29"/>
      <c r="AA235" s="66"/>
      <c r="AB235" s="11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28"/>
      <c r="AD235" s="129"/>
      <c r="AE235" s="129"/>
      <c r="AF235" s="129"/>
      <c r="AG235" s="129"/>
      <c r="AH235" s="129"/>
      <c r="AI235" s="129"/>
      <c r="AJ235" s="130"/>
    </row>
    <row r="236" spans="11:36">
      <c r="K236" s="76"/>
      <c r="L236" s="48" t="e">
        <f t="shared" si="35"/>
        <v>#VALUE!</v>
      </c>
      <c r="M236" s="32" t="str">
        <f t="shared" si="38"/>
        <v/>
      </c>
      <c r="N236" s="63" t="e">
        <f t="shared" si="37"/>
        <v>#VALUE!</v>
      </c>
      <c r="O236" s="86"/>
      <c r="P236" s="223"/>
      <c r="Q236" s="224"/>
      <c r="R236" s="135"/>
      <c r="S236" s="139" cm="1">
        <f t="array" ref="S236">IF(P236="",0,IF(OR(O236=";",P236="EQU",P236="ORG"),0,HlpGetInstructionSize(P236,Q236,R236,$AC$12)))</f>
        <v>0</v>
      </c>
      <c r="V236" s="42" t="str">
        <f t="shared" si="36"/>
        <v/>
      </c>
      <c r="W236" s="16"/>
      <c r="X236" s="28"/>
      <c r="Y236" s="29"/>
      <c r="AA236" s="66"/>
      <c r="AB236" s="11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28"/>
      <c r="AD236" s="129"/>
      <c r="AE236" s="129"/>
      <c r="AF236" s="129"/>
      <c r="AG236" s="129"/>
      <c r="AH236" s="129"/>
      <c r="AI236" s="129"/>
      <c r="AJ236" s="130"/>
    </row>
    <row r="237" spans="11:36">
      <c r="K237" s="76"/>
      <c r="L237" s="48" t="e">
        <f t="shared" si="35"/>
        <v>#VALUE!</v>
      </c>
      <c r="M237" s="32" t="str">
        <f t="shared" si="38"/>
        <v/>
      </c>
      <c r="N237" s="63" t="e">
        <f t="shared" si="37"/>
        <v>#VALUE!</v>
      </c>
      <c r="O237" s="86"/>
      <c r="P237" s="223"/>
      <c r="Q237" s="224"/>
      <c r="R237" s="135"/>
      <c r="S237" s="139" cm="1">
        <f t="array" ref="S237">IF(P237="",0,IF(OR(O237=";",P237="EQU",P237="ORG"),0,HlpGetInstructionSize(P237,Q237,R237,$AC$12)))</f>
        <v>0</v>
      </c>
      <c r="V237" s="42" t="str">
        <f t="shared" si="36"/>
        <v/>
      </c>
      <c r="W237" s="16"/>
      <c r="X237" s="28"/>
      <c r="Y237" s="29"/>
      <c r="AA237" s="66"/>
      <c r="AB237" s="11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28"/>
      <c r="AD237" s="129"/>
      <c r="AE237" s="129"/>
      <c r="AF237" s="129"/>
      <c r="AG237" s="129"/>
      <c r="AH237" s="129"/>
      <c r="AI237" s="129"/>
      <c r="AJ237" s="130"/>
    </row>
    <row r="238" spans="11:36">
      <c r="K238" s="76"/>
      <c r="L238" s="48" t="e">
        <f t="shared" si="35"/>
        <v>#VALUE!</v>
      </c>
      <c r="M238" s="32" t="str">
        <f t="shared" si="38"/>
        <v/>
      </c>
      <c r="N238" s="63" t="e">
        <f t="shared" si="37"/>
        <v>#VALUE!</v>
      </c>
      <c r="O238" s="86"/>
      <c r="P238" s="223"/>
      <c r="Q238" s="224"/>
      <c r="R238" s="135"/>
      <c r="S238" s="139" cm="1">
        <f t="array" ref="S238">IF(P238="",0,IF(OR(O238=";",P238="EQU",P238="ORG"),0,HlpGetInstructionSize(P238,Q238,R238,$AC$12)))</f>
        <v>0</v>
      </c>
      <c r="V238" s="42" t="str">
        <f t="shared" si="36"/>
        <v/>
      </c>
      <c r="W238" s="16"/>
      <c r="X238" s="28"/>
      <c r="Y238" s="29"/>
      <c r="AA238" s="66"/>
      <c r="AB238" s="11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28"/>
      <c r="AD238" s="129"/>
      <c r="AE238" s="129"/>
      <c r="AF238" s="129"/>
      <c r="AG238" s="129"/>
      <c r="AH238" s="129"/>
      <c r="AI238" s="129"/>
      <c r="AJ238" s="130"/>
    </row>
    <row r="239" spans="11:36">
      <c r="K239" s="76"/>
      <c r="L239" s="48" t="e">
        <f t="shared" si="35"/>
        <v>#VALUE!</v>
      </c>
      <c r="M239" s="32" t="str">
        <f t="shared" si="38"/>
        <v/>
      </c>
      <c r="N239" s="63" t="e">
        <f t="shared" si="37"/>
        <v>#VALUE!</v>
      </c>
      <c r="O239" s="86"/>
      <c r="P239" s="223"/>
      <c r="Q239" s="224"/>
      <c r="R239" s="135"/>
      <c r="S239" s="139" cm="1">
        <f t="array" ref="S239">IF(P239="",0,IF(OR(O239=";",P239="EQU",P239="ORG"),0,HlpGetInstructionSize(P239,Q239,R239,$AC$12)))</f>
        <v>0</v>
      </c>
      <c r="V239" s="42" t="str">
        <f t="shared" si="36"/>
        <v/>
      </c>
      <c r="W239" s="16"/>
      <c r="X239" s="28"/>
      <c r="Y239" s="29"/>
      <c r="AA239" s="66"/>
      <c r="AB239" s="11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28"/>
      <c r="AD239" s="129"/>
      <c r="AE239" s="129"/>
      <c r="AF239" s="129"/>
      <c r="AG239" s="129"/>
      <c r="AH239" s="129"/>
      <c r="AI239" s="129"/>
      <c r="AJ239" s="130"/>
    </row>
    <row r="240" spans="11:36">
      <c r="K240" s="76"/>
      <c r="L240" s="48" t="e">
        <f t="shared" si="35"/>
        <v>#VALUE!</v>
      </c>
      <c r="M240" s="32" t="str">
        <f t="shared" si="38"/>
        <v/>
      </c>
      <c r="N240" s="63" t="e">
        <f t="shared" si="37"/>
        <v>#VALUE!</v>
      </c>
      <c r="O240" s="86"/>
      <c r="P240" s="223"/>
      <c r="Q240" s="224"/>
      <c r="R240" s="135"/>
      <c r="S240" s="139" cm="1">
        <f t="array" ref="S240">IF(P240="",0,IF(OR(O240=";",P240="EQU",P240="ORG"),0,HlpGetInstructionSize(P240,Q240,R240,$AC$12)))</f>
        <v>0</v>
      </c>
      <c r="V240" s="42" t="str">
        <f t="shared" si="36"/>
        <v/>
      </c>
      <c r="W240" s="16"/>
      <c r="X240" s="28"/>
      <c r="Y240" s="29"/>
      <c r="AA240" s="66"/>
      <c r="AB240" s="11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28"/>
      <c r="AD240" s="129"/>
      <c r="AE240" s="129"/>
      <c r="AF240" s="129"/>
      <c r="AG240" s="129"/>
      <c r="AH240" s="129"/>
      <c r="AI240" s="129"/>
      <c r="AJ240" s="130"/>
    </row>
    <row r="241" spans="11:36">
      <c r="K241" s="76"/>
      <c r="L241" s="48" t="e">
        <f t="shared" si="35"/>
        <v>#VALUE!</v>
      </c>
      <c r="M241" s="32" t="str">
        <f t="shared" si="38"/>
        <v/>
      </c>
      <c r="N241" s="63" t="e">
        <f t="shared" si="37"/>
        <v>#VALUE!</v>
      </c>
      <c r="O241" s="86"/>
      <c r="P241" s="223"/>
      <c r="Q241" s="224"/>
      <c r="R241" s="135"/>
      <c r="S241" s="139" cm="1">
        <f t="array" ref="S241">IF(P241="",0,IF(OR(O241=";",P241="EQU",P241="ORG"),0,HlpGetInstructionSize(P241,Q241,R241,$AC$12)))</f>
        <v>0</v>
      </c>
      <c r="V241" s="42" t="str">
        <f t="shared" si="36"/>
        <v/>
      </c>
      <c r="W241" s="16"/>
      <c r="X241" s="28"/>
      <c r="Y241" s="29"/>
      <c r="AA241" s="66"/>
      <c r="AB241" s="11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28"/>
      <c r="AD241" s="129"/>
      <c r="AE241" s="129"/>
      <c r="AF241" s="129"/>
      <c r="AG241" s="129"/>
      <c r="AH241" s="129"/>
      <c r="AI241" s="129"/>
      <c r="AJ241" s="130"/>
    </row>
    <row r="242" spans="11:36">
      <c r="K242" s="76"/>
      <c r="L242" s="48" t="e">
        <f t="shared" si="35"/>
        <v>#VALUE!</v>
      </c>
      <c r="M242" s="32" t="str">
        <f t="shared" si="38"/>
        <v/>
      </c>
      <c r="N242" s="63" t="e">
        <f t="shared" si="37"/>
        <v>#VALUE!</v>
      </c>
      <c r="O242" s="86"/>
      <c r="P242" s="223"/>
      <c r="Q242" s="224"/>
      <c r="R242" s="135"/>
      <c r="S242" s="139" cm="1">
        <f t="array" ref="S242">IF(P242="",0,IF(OR(O242=";",P242="EQU",P242="ORG"),0,HlpGetInstructionSize(P242,Q242,R242,$AC$12)))</f>
        <v>0</v>
      </c>
      <c r="V242" s="42" t="str">
        <f t="shared" si="36"/>
        <v/>
      </c>
      <c r="W242" s="16"/>
      <c r="X242" s="28"/>
      <c r="Y242" s="29"/>
      <c r="AA242" s="66"/>
      <c r="AB242" s="11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28"/>
      <c r="AD242" s="129"/>
      <c r="AE242" s="129"/>
      <c r="AF242" s="129"/>
      <c r="AG242" s="129"/>
      <c r="AH242" s="129"/>
      <c r="AI242" s="129"/>
      <c r="AJ242" s="130"/>
    </row>
    <row r="243" spans="11:36">
      <c r="K243" s="76"/>
      <c r="L243" s="48" t="e">
        <f t="shared" si="35"/>
        <v>#VALUE!</v>
      </c>
      <c r="M243" s="32" t="str">
        <f t="shared" si="38"/>
        <v/>
      </c>
      <c r="N243" s="63" t="e">
        <f t="shared" si="37"/>
        <v>#VALUE!</v>
      </c>
      <c r="O243" s="86"/>
      <c r="P243" s="223"/>
      <c r="Q243" s="224"/>
      <c r="R243" s="135"/>
      <c r="S243" s="139" cm="1">
        <f t="array" ref="S243">IF(P243="",0,IF(OR(O243=";",P243="EQU",P243="ORG"),0,HlpGetInstructionSize(P243,Q243,R243,$AC$12)))</f>
        <v>0</v>
      </c>
      <c r="V243" s="42" t="str">
        <f t="shared" si="36"/>
        <v/>
      </c>
      <c r="W243" s="16"/>
      <c r="X243" s="28"/>
      <c r="Y243" s="29"/>
      <c r="AA243" s="66"/>
      <c r="AB243" s="11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28"/>
      <c r="AD243" s="129"/>
      <c r="AE243" s="129"/>
      <c r="AF243" s="129"/>
      <c r="AG243" s="129"/>
      <c r="AH243" s="129"/>
      <c r="AI243" s="129"/>
      <c r="AJ243" s="130"/>
    </row>
    <row r="244" spans="11:36">
      <c r="K244" s="76"/>
      <c r="L244" s="48" t="e">
        <f t="shared" si="35"/>
        <v>#VALUE!</v>
      </c>
      <c r="M244" s="32" t="str">
        <f t="shared" si="38"/>
        <v/>
      </c>
      <c r="N244" s="63" t="e">
        <f t="shared" si="37"/>
        <v>#VALUE!</v>
      </c>
      <c r="O244" s="86"/>
      <c r="P244" s="223"/>
      <c r="Q244" s="224"/>
      <c r="R244" s="135"/>
      <c r="S244" s="139" cm="1">
        <f t="array" ref="S244">IF(P244="",0,IF(OR(O244=";",P244="EQU",P244="ORG"),0,HlpGetInstructionSize(P244,Q244,R244,$AC$12)))</f>
        <v>0</v>
      </c>
      <c r="V244" s="42" t="str">
        <f t="shared" si="36"/>
        <v/>
      </c>
      <c r="W244" s="16"/>
      <c r="X244" s="28"/>
      <c r="Y244" s="29"/>
      <c r="AA244" s="66"/>
      <c r="AB244" s="11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28"/>
      <c r="AD244" s="129"/>
      <c r="AE244" s="129"/>
      <c r="AF244" s="129"/>
      <c r="AG244" s="129"/>
      <c r="AH244" s="129"/>
      <c r="AI244" s="129"/>
      <c r="AJ244" s="130"/>
    </row>
    <row r="245" spans="11:36">
      <c r="K245" s="76"/>
      <c r="L245" s="48" t="e">
        <f t="shared" si="35"/>
        <v>#VALUE!</v>
      </c>
      <c r="M245" s="32" t="str">
        <f t="shared" si="38"/>
        <v/>
      </c>
      <c r="N245" s="63" t="e">
        <f t="shared" si="37"/>
        <v>#VALUE!</v>
      </c>
      <c r="O245" s="86"/>
      <c r="P245" s="223"/>
      <c r="Q245" s="224"/>
      <c r="R245" s="135"/>
      <c r="S245" s="139" cm="1">
        <f t="array" ref="S245">IF(P245="",0,IF(OR(O245=";",P245="EQU",P245="ORG"),0,HlpGetInstructionSize(P245,Q245,R245,$AC$12)))</f>
        <v>0</v>
      </c>
      <c r="V245" s="42" t="str">
        <f t="shared" si="36"/>
        <v/>
      </c>
      <c r="W245" s="16"/>
      <c r="X245" s="28"/>
      <c r="Y245" s="29"/>
      <c r="AA245" s="66"/>
      <c r="AB245" s="11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28"/>
      <c r="AD245" s="129"/>
      <c r="AE245" s="129"/>
      <c r="AF245" s="129"/>
      <c r="AG245" s="129"/>
      <c r="AH245" s="129"/>
      <c r="AI245" s="129"/>
      <c r="AJ245" s="130"/>
    </row>
    <row r="246" spans="11:36">
      <c r="K246" s="76"/>
      <c r="L246" s="48" t="e">
        <f t="shared" si="35"/>
        <v>#VALUE!</v>
      </c>
      <c r="M246" s="32" t="str">
        <f t="shared" si="38"/>
        <v/>
      </c>
      <c r="N246" s="63" t="e">
        <f t="shared" si="37"/>
        <v>#VALUE!</v>
      </c>
      <c r="O246" s="86"/>
      <c r="P246" s="223"/>
      <c r="Q246" s="224"/>
      <c r="R246" s="135"/>
      <c r="S246" s="139" cm="1">
        <f t="array" ref="S246">IF(P246="",0,IF(OR(O246=";",P246="EQU",P246="ORG"),0,HlpGetInstructionSize(P246,Q246,R246,$AC$12)))</f>
        <v>0</v>
      </c>
      <c r="V246" s="42" t="str">
        <f t="shared" si="36"/>
        <v/>
      </c>
      <c r="W246" s="16"/>
      <c r="X246" s="28"/>
      <c r="Y246" s="29"/>
      <c r="AA246" s="66"/>
      <c r="AB246" s="11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28"/>
      <c r="AD246" s="129"/>
      <c r="AE246" s="129"/>
      <c r="AF246" s="129"/>
      <c r="AG246" s="129"/>
      <c r="AH246" s="129"/>
      <c r="AI246" s="129"/>
      <c r="AJ246" s="130"/>
    </row>
    <row r="247" spans="11:36">
      <c r="K247" s="76"/>
      <c r="L247" s="48" t="e">
        <f t="shared" si="35"/>
        <v>#VALUE!</v>
      </c>
      <c r="M247" s="32" t="str">
        <f t="shared" si="38"/>
        <v/>
      </c>
      <c r="N247" s="63" t="e">
        <f t="shared" si="37"/>
        <v>#VALUE!</v>
      </c>
      <c r="O247" s="86"/>
      <c r="P247" s="223"/>
      <c r="Q247" s="224"/>
      <c r="R247" s="135"/>
      <c r="S247" s="139" cm="1">
        <f t="array" ref="S247">IF(P247="",0,IF(OR(O247=";",P247="EQU",P247="ORG"),0,HlpGetInstructionSize(P247,Q247,R247,$AC$12)))</f>
        <v>0</v>
      </c>
      <c r="V247" s="42" t="str">
        <f t="shared" si="36"/>
        <v/>
      </c>
      <c r="W247" s="16"/>
      <c r="X247" s="28"/>
      <c r="Y247" s="29"/>
      <c r="AA247" s="66"/>
      <c r="AB247" s="11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28"/>
      <c r="AD247" s="129"/>
      <c r="AE247" s="129"/>
      <c r="AF247" s="129"/>
      <c r="AG247" s="129"/>
      <c r="AH247" s="129"/>
      <c r="AI247" s="129"/>
      <c r="AJ247" s="130"/>
    </row>
    <row r="248" spans="11:36">
      <c r="K248" s="76"/>
      <c r="L248" s="48" t="e">
        <f t="shared" si="35"/>
        <v>#VALUE!</v>
      </c>
      <c r="M248" s="32" t="str">
        <f t="shared" si="38"/>
        <v/>
      </c>
      <c r="N248" s="63" t="e">
        <f t="shared" si="37"/>
        <v>#VALUE!</v>
      </c>
      <c r="O248" s="86"/>
      <c r="P248" s="223"/>
      <c r="Q248" s="224"/>
      <c r="R248" s="135"/>
      <c r="S248" s="139" cm="1">
        <f t="array" ref="S248">IF(P248="",0,IF(OR(O248=";",P248="EQU",P248="ORG"),0,HlpGetInstructionSize(P248,Q248,R248,$AC$12)))</f>
        <v>0</v>
      </c>
      <c r="V248" s="42" t="str">
        <f t="shared" si="36"/>
        <v/>
      </c>
      <c r="W248" s="16"/>
      <c r="X248" s="28"/>
      <c r="Y248" s="29"/>
      <c r="AA248" s="66"/>
      <c r="AB248" s="11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28"/>
      <c r="AD248" s="129"/>
      <c r="AE248" s="129"/>
      <c r="AF248" s="129"/>
      <c r="AG248" s="129"/>
      <c r="AH248" s="129"/>
      <c r="AI248" s="129"/>
      <c r="AJ248" s="130"/>
    </row>
    <row r="249" spans="11:36">
      <c r="K249" s="76"/>
      <c r="L249" s="48" t="e">
        <f t="shared" si="35"/>
        <v>#VALUE!</v>
      </c>
      <c r="M249" s="32" t="str">
        <f t="shared" si="38"/>
        <v/>
      </c>
      <c r="N249" s="63" t="e">
        <f t="shared" si="37"/>
        <v>#VALUE!</v>
      </c>
      <c r="O249" s="86"/>
      <c r="P249" s="223"/>
      <c r="Q249" s="224"/>
      <c r="R249" s="135"/>
      <c r="S249" s="139" cm="1">
        <f t="array" ref="S249">IF(P249="",0,IF(OR(O249=";",P249="EQU",P249="ORG"),0,HlpGetInstructionSize(P249,Q249,R249,$AC$12)))</f>
        <v>0</v>
      </c>
      <c r="V249" s="42" t="str">
        <f t="shared" si="36"/>
        <v/>
      </c>
      <c r="W249" s="16"/>
      <c r="X249" s="28"/>
      <c r="Y249" s="29"/>
      <c r="AA249" s="66"/>
      <c r="AB249" s="11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28"/>
      <c r="AD249" s="129"/>
      <c r="AE249" s="129"/>
      <c r="AF249" s="129"/>
      <c r="AG249" s="129"/>
      <c r="AH249" s="129"/>
      <c r="AI249" s="129"/>
      <c r="AJ249" s="130"/>
    </row>
    <row r="250" spans="11:36">
      <c r="K250" s="76"/>
      <c r="L250" s="48" t="e">
        <f t="shared" si="35"/>
        <v>#VALUE!</v>
      </c>
      <c r="M250" s="32" t="str">
        <f t="shared" si="38"/>
        <v/>
      </c>
      <c r="N250" s="63" t="e">
        <f t="shared" si="37"/>
        <v>#VALUE!</v>
      </c>
      <c r="O250" s="86"/>
      <c r="P250" s="223"/>
      <c r="Q250" s="224"/>
      <c r="R250" s="135"/>
      <c r="S250" s="139" cm="1">
        <f t="array" ref="S250">IF(P250="",0,IF(OR(O250=";",P250="EQU",P250="ORG"),0,HlpGetInstructionSize(P250,Q250,R250,$AC$12)))</f>
        <v>0</v>
      </c>
      <c r="V250" s="42" t="str">
        <f t="shared" si="36"/>
        <v/>
      </c>
      <c r="W250" s="16"/>
      <c r="X250" s="28"/>
      <c r="Y250" s="29"/>
      <c r="AA250" s="66"/>
      <c r="AB250" s="11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28"/>
      <c r="AD250" s="129"/>
      <c r="AE250" s="129"/>
      <c r="AF250" s="129"/>
      <c r="AG250" s="129"/>
      <c r="AH250" s="129"/>
      <c r="AI250" s="129"/>
      <c r="AJ250" s="130"/>
    </row>
    <row r="251" spans="11:36">
      <c r="K251" s="76"/>
      <c r="L251" s="48" t="e">
        <f t="shared" si="35"/>
        <v>#VALUE!</v>
      </c>
      <c r="M251" s="32" t="str">
        <f t="shared" si="38"/>
        <v/>
      </c>
      <c r="N251" s="63" t="e">
        <f t="shared" si="37"/>
        <v>#VALUE!</v>
      </c>
      <c r="O251" s="86"/>
      <c r="P251" s="223"/>
      <c r="Q251" s="224"/>
      <c r="R251" s="135"/>
      <c r="S251" s="139" cm="1">
        <f t="array" ref="S251">IF(P251="",0,IF(OR(O251=";",P251="EQU",P251="ORG"),0,HlpGetInstructionSize(P251,Q251,R251,$AC$12)))</f>
        <v>0</v>
      </c>
      <c r="V251" s="42" t="str">
        <f t="shared" si="36"/>
        <v/>
      </c>
      <c r="W251" s="16"/>
      <c r="X251" s="28"/>
      <c r="Y251" s="29"/>
      <c r="AA251" s="66"/>
      <c r="AB251" s="11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28"/>
      <c r="AD251" s="129"/>
      <c r="AE251" s="129"/>
      <c r="AF251" s="129"/>
      <c r="AG251" s="129"/>
      <c r="AH251" s="129"/>
      <c r="AI251" s="129"/>
      <c r="AJ251" s="130"/>
    </row>
    <row r="252" spans="11:36">
      <c r="K252" s="76"/>
      <c r="L252" s="48" t="e">
        <f t="shared" si="35"/>
        <v>#VALUE!</v>
      </c>
      <c r="M252" s="32" t="str">
        <f t="shared" si="38"/>
        <v/>
      </c>
      <c r="N252" s="63" t="e">
        <f t="shared" si="37"/>
        <v>#VALUE!</v>
      </c>
      <c r="O252" s="86"/>
      <c r="P252" s="223"/>
      <c r="Q252" s="224"/>
      <c r="R252" s="135"/>
      <c r="S252" s="139" cm="1">
        <f t="array" ref="S252">IF(P252="",0,IF(OR(O252=";",P252="EQU",P252="ORG"),0,HlpGetInstructionSize(P252,Q252,R252,$AC$12)))</f>
        <v>0</v>
      </c>
      <c r="V252" s="42" t="str">
        <f t="shared" si="36"/>
        <v/>
      </c>
      <c r="W252" s="16"/>
      <c r="X252" s="28"/>
      <c r="Y252" s="29"/>
      <c r="AA252" s="66"/>
      <c r="AB252" s="11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28"/>
      <c r="AD252" s="129"/>
      <c r="AE252" s="129"/>
      <c r="AF252" s="129"/>
      <c r="AG252" s="129"/>
      <c r="AH252" s="129"/>
      <c r="AI252" s="129"/>
      <c r="AJ252" s="130"/>
    </row>
    <row r="253" spans="11:36">
      <c r="K253" s="76"/>
      <c r="L253" s="48" t="e">
        <f t="shared" si="35"/>
        <v>#VALUE!</v>
      </c>
      <c r="M253" s="32" t="str">
        <f t="shared" si="38"/>
        <v/>
      </c>
      <c r="N253" s="63" t="e">
        <f t="shared" si="37"/>
        <v>#VALUE!</v>
      </c>
      <c r="O253" s="86"/>
      <c r="P253" s="223"/>
      <c r="Q253" s="224"/>
      <c r="R253" s="135"/>
      <c r="S253" s="139" cm="1">
        <f t="array" ref="S253">IF(P253="",0,IF(OR(O253=";",P253="EQU",P253="ORG"),0,HlpGetInstructionSize(P253,Q253,R253,$AC$12)))</f>
        <v>0</v>
      </c>
      <c r="V253" s="42" t="str">
        <f t="shared" si="36"/>
        <v/>
      </c>
      <c r="W253" s="16"/>
      <c r="X253" s="28"/>
      <c r="Y253" s="29"/>
      <c r="AA253" s="66"/>
      <c r="AB253" s="11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28"/>
      <c r="AD253" s="129"/>
      <c r="AE253" s="129"/>
      <c r="AF253" s="129"/>
      <c r="AG253" s="129"/>
      <c r="AH253" s="129"/>
      <c r="AI253" s="129"/>
      <c r="AJ253" s="130"/>
    </row>
    <row r="254" spans="11:36">
      <c r="K254" s="76"/>
      <c r="L254" s="48" t="e">
        <f t="shared" si="35"/>
        <v>#VALUE!</v>
      </c>
      <c r="M254" s="32" t="str">
        <f t="shared" si="38"/>
        <v/>
      </c>
      <c r="N254" s="63" t="e">
        <f t="shared" si="37"/>
        <v>#VALUE!</v>
      </c>
      <c r="O254" s="86"/>
      <c r="P254" s="223"/>
      <c r="Q254" s="224"/>
      <c r="R254" s="135"/>
      <c r="S254" s="139" cm="1">
        <f t="array" ref="S254">IF(P254="",0,IF(OR(O254=";",P254="EQU",P254="ORG"),0,HlpGetInstructionSize(P254,Q254,R254,$AC$12)))</f>
        <v>0</v>
      </c>
      <c r="V254" s="42" t="str">
        <f t="shared" si="36"/>
        <v/>
      </c>
      <c r="W254" s="16"/>
      <c r="X254" s="28"/>
      <c r="Y254" s="29"/>
      <c r="AA254" s="66"/>
      <c r="AB254" s="11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28"/>
      <c r="AD254" s="129"/>
      <c r="AE254" s="129"/>
      <c r="AF254" s="129"/>
      <c r="AG254" s="129"/>
      <c r="AH254" s="129"/>
      <c r="AI254" s="129"/>
      <c r="AJ254" s="130"/>
    </row>
    <row r="255" spans="11:36">
      <c r="K255" s="76"/>
      <c r="L255" s="48" t="e">
        <f t="shared" si="35"/>
        <v>#VALUE!</v>
      </c>
      <c r="M255" s="32" t="str">
        <f t="shared" si="38"/>
        <v/>
      </c>
      <c r="N255" s="63" t="e">
        <f t="shared" si="37"/>
        <v>#VALUE!</v>
      </c>
      <c r="O255" s="86"/>
      <c r="P255" s="223"/>
      <c r="Q255" s="224"/>
      <c r="R255" s="135"/>
      <c r="S255" s="139" cm="1">
        <f t="array" ref="S255">IF(P255="",0,IF(OR(O255=";",P255="EQU",P255="ORG"),0,HlpGetInstructionSize(P255,Q255,R255,$AC$12)))</f>
        <v>0</v>
      </c>
      <c r="V255" s="42" t="str">
        <f t="shared" si="36"/>
        <v/>
      </c>
      <c r="W255" s="16"/>
      <c r="X255" s="28"/>
      <c r="Y255" s="29"/>
      <c r="AA255" s="66"/>
      <c r="AB255" s="11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28"/>
      <c r="AD255" s="129"/>
      <c r="AE255" s="129"/>
      <c r="AF255" s="129"/>
      <c r="AG255" s="129"/>
      <c r="AH255" s="129"/>
      <c r="AI255" s="129"/>
      <c r="AJ255" s="130"/>
    </row>
    <row r="256" spans="11:36">
      <c r="K256" s="76"/>
      <c r="L256" s="48" t="e">
        <f t="shared" si="35"/>
        <v>#VALUE!</v>
      </c>
      <c r="M256" s="32" t="str">
        <f t="shared" si="38"/>
        <v/>
      </c>
      <c r="N256" s="63" t="e">
        <f t="shared" si="37"/>
        <v>#VALUE!</v>
      </c>
      <c r="O256" s="86"/>
      <c r="P256" s="223"/>
      <c r="Q256" s="224"/>
      <c r="R256" s="135"/>
      <c r="S256" s="139" cm="1">
        <f t="array" ref="S256">IF(P256="",0,IF(OR(O256=";",P256="EQU",P256="ORG"),0,HlpGetInstructionSize(P256,Q256,R256,$AC$12)))</f>
        <v>0</v>
      </c>
      <c r="V256" s="42" t="str">
        <f t="shared" si="36"/>
        <v/>
      </c>
      <c r="W256" s="16"/>
      <c r="X256" s="28"/>
      <c r="Y256" s="29"/>
      <c r="AA256" s="66"/>
      <c r="AB256" s="11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28"/>
      <c r="AD256" s="129"/>
      <c r="AE256" s="129"/>
      <c r="AF256" s="129"/>
      <c r="AG256" s="129"/>
      <c r="AH256" s="129"/>
      <c r="AI256" s="129"/>
      <c r="AJ256" s="130"/>
    </row>
    <row r="257" spans="11:36">
      <c r="K257" s="76"/>
      <c r="L257" s="48" t="e">
        <f t="shared" si="35"/>
        <v>#VALUE!</v>
      </c>
      <c r="M257" s="32" t="str">
        <f t="shared" si="38"/>
        <v/>
      </c>
      <c r="N257" s="63" t="e">
        <f t="shared" si="37"/>
        <v>#VALUE!</v>
      </c>
      <c r="O257" s="86"/>
      <c r="P257" s="223"/>
      <c r="Q257" s="224"/>
      <c r="R257" s="135"/>
      <c r="S257" s="139" cm="1">
        <f t="array" ref="S257">IF(P257="",0,IF(OR(O257=";",P257="EQU",P257="ORG"),0,HlpGetInstructionSize(P257,Q257,R257,$AC$12)))</f>
        <v>0</v>
      </c>
      <c r="V257" s="42" t="str">
        <f t="shared" si="36"/>
        <v/>
      </c>
      <c r="W257" s="16"/>
      <c r="X257" s="28"/>
      <c r="Y257" s="29"/>
      <c r="AA257" s="66"/>
      <c r="AB257" s="11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28"/>
      <c r="AD257" s="129"/>
      <c r="AE257" s="129"/>
      <c r="AF257" s="129"/>
      <c r="AG257" s="129"/>
      <c r="AH257" s="129"/>
      <c r="AI257" s="129"/>
      <c r="AJ257" s="130"/>
    </row>
    <row r="258" spans="11:36">
      <c r="K258" s="76"/>
      <c r="L258" s="48" t="e">
        <f t="shared" si="35"/>
        <v>#VALUE!</v>
      </c>
      <c r="M258" s="32" t="str">
        <f t="shared" si="38"/>
        <v/>
      </c>
      <c r="N258" s="63" t="e">
        <f t="shared" si="37"/>
        <v>#VALUE!</v>
      </c>
      <c r="O258" s="86"/>
      <c r="P258" s="223"/>
      <c r="Q258" s="224"/>
      <c r="R258" s="135"/>
      <c r="S258" s="139" cm="1">
        <f t="array" ref="S258">IF(P258="",0,IF(OR(O258=";",P258="EQU",P258="ORG"),0,HlpGetInstructionSize(P258,Q258,R258,$AC$12)))</f>
        <v>0</v>
      </c>
      <c r="V258" s="42" t="str">
        <f t="shared" si="36"/>
        <v/>
      </c>
      <c r="W258" s="16"/>
      <c r="X258" s="28"/>
      <c r="Y258" s="29"/>
      <c r="AA258" s="66"/>
      <c r="AB258" s="11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28"/>
      <c r="AD258" s="129"/>
      <c r="AE258" s="129"/>
      <c r="AF258" s="129"/>
      <c r="AG258" s="129"/>
      <c r="AH258" s="129"/>
      <c r="AI258" s="129"/>
      <c r="AJ258" s="130"/>
    </row>
    <row r="259" spans="11:36">
      <c r="K259" s="76"/>
      <c r="L259" s="48" t="e">
        <f t="shared" si="35"/>
        <v>#VALUE!</v>
      </c>
      <c r="M259" s="32" t="str">
        <f t="shared" si="38"/>
        <v/>
      </c>
      <c r="N259" s="63" t="e">
        <f t="shared" si="37"/>
        <v>#VALUE!</v>
      </c>
      <c r="O259" s="86"/>
      <c r="P259" s="223"/>
      <c r="Q259" s="224"/>
      <c r="R259" s="135"/>
      <c r="S259" s="139" cm="1">
        <f t="array" ref="S259">IF(P259="",0,IF(OR(O259=";",P259="EQU",P259="ORG"),0,HlpGetInstructionSize(P259,Q259,R259,$AC$12)))</f>
        <v>0</v>
      </c>
      <c r="V259" s="42" t="str">
        <f t="shared" si="36"/>
        <v/>
      </c>
      <c r="W259" s="16"/>
      <c r="X259" s="28"/>
      <c r="Y259" s="29"/>
      <c r="AA259" s="66"/>
      <c r="AB259" s="11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28"/>
      <c r="AD259" s="129"/>
      <c r="AE259" s="129"/>
      <c r="AF259" s="129"/>
      <c r="AG259" s="129"/>
      <c r="AH259" s="129"/>
      <c r="AI259" s="129"/>
      <c r="AJ259" s="130"/>
    </row>
    <row r="260" spans="11:36">
      <c r="K260" s="76"/>
      <c r="L260" s="48" t="e">
        <f t="shared" si="35"/>
        <v>#VALUE!</v>
      </c>
      <c r="M260" s="32" t="str">
        <f t="shared" si="38"/>
        <v/>
      </c>
      <c r="N260" s="63" t="e">
        <f t="shared" si="37"/>
        <v>#VALUE!</v>
      </c>
      <c r="O260" s="86"/>
      <c r="P260" s="223"/>
      <c r="Q260" s="224"/>
      <c r="R260" s="135"/>
      <c r="S260" s="139" cm="1">
        <f t="array" ref="S260">IF(P260="",0,IF(OR(O260=";",P260="EQU",P260="ORG"),0,HlpGetInstructionSize(P260,Q260,R260,$AC$12)))</f>
        <v>0</v>
      </c>
      <c r="V260" s="42" t="str">
        <f t="shared" si="36"/>
        <v/>
      </c>
      <c r="W260" s="16"/>
      <c r="X260" s="28"/>
      <c r="Y260" s="29"/>
      <c r="AA260" s="66"/>
      <c r="AB260" s="11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28"/>
      <c r="AD260" s="129"/>
      <c r="AE260" s="129"/>
      <c r="AF260" s="129"/>
      <c r="AG260" s="129"/>
      <c r="AH260" s="129"/>
      <c r="AI260" s="129"/>
      <c r="AJ260" s="130"/>
    </row>
    <row r="261" spans="11:36">
      <c r="K261" s="76"/>
      <c r="L261" s="48" t="e">
        <f t="shared" si="35"/>
        <v>#VALUE!</v>
      </c>
      <c r="M261" s="32" t="str">
        <f t="shared" si="38"/>
        <v/>
      </c>
      <c r="N261" s="63" t="e">
        <f t="shared" si="37"/>
        <v>#VALUE!</v>
      </c>
      <c r="O261" s="86"/>
      <c r="P261" s="223"/>
      <c r="Q261" s="224"/>
      <c r="R261" s="135"/>
      <c r="S261" s="139" cm="1">
        <f t="array" ref="S261">IF(P261="",0,IF(OR(O261=";",P261="EQU",P261="ORG"),0,HlpGetInstructionSize(P261,Q261,R261,$AC$12)))</f>
        <v>0</v>
      </c>
      <c r="V261" s="42" t="str">
        <f t="shared" si="36"/>
        <v/>
      </c>
      <c r="W261" s="16"/>
      <c r="X261" s="28"/>
      <c r="Y261" s="29"/>
      <c r="AA261" s="66"/>
      <c r="AB261" s="11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28"/>
      <c r="AD261" s="129"/>
      <c r="AE261" s="129"/>
      <c r="AF261" s="129"/>
      <c r="AG261" s="129"/>
      <c r="AH261" s="129"/>
      <c r="AI261" s="129"/>
      <c r="AJ261" s="130"/>
    </row>
    <row r="262" spans="11:36">
      <c r="K262" s="76"/>
      <c r="L262" s="48" t="e">
        <f t="shared" si="35"/>
        <v>#VALUE!</v>
      </c>
      <c r="M262" s="32" t="str">
        <f t="shared" si="38"/>
        <v/>
      </c>
      <c r="N262" s="63" t="e">
        <f t="shared" si="37"/>
        <v>#VALUE!</v>
      </c>
      <c r="O262" s="86"/>
      <c r="P262" s="223"/>
      <c r="Q262" s="224"/>
      <c r="R262" s="135"/>
      <c r="S262" s="139" cm="1">
        <f t="array" ref="S262">IF(P262="",0,IF(OR(O262=";",P262="EQU",P262="ORG"),0,HlpGetInstructionSize(P262,Q262,R262,$AC$12)))</f>
        <v>0</v>
      </c>
      <c r="V262" s="42" t="str">
        <f t="shared" si="36"/>
        <v/>
      </c>
      <c r="W262" s="16"/>
      <c r="X262" s="28"/>
      <c r="Y262" s="29"/>
      <c r="AA262" s="66"/>
      <c r="AB262" s="11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28"/>
      <c r="AD262" s="129"/>
      <c r="AE262" s="129"/>
      <c r="AF262" s="129"/>
      <c r="AG262" s="129"/>
      <c r="AH262" s="129"/>
      <c r="AI262" s="129"/>
      <c r="AJ262" s="130"/>
    </row>
    <row r="263" spans="11:36">
      <c r="K263" s="76"/>
      <c r="L263" s="48" t="e">
        <f t="shared" si="35"/>
        <v>#VALUE!</v>
      </c>
      <c r="M263" s="32" t="str">
        <f t="shared" si="38"/>
        <v/>
      </c>
      <c r="N263" s="63" t="e">
        <f t="shared" si="37"/>
        <v>#VALUE!</v>
      </c>
      <c r="O263" s="86"/>
      <c r="P263" s="223"/>
      <c r="Q263" s="224"/>
      <c r="R263" s="135"/>
      <c r="S263" s="139" cm="1">
        <f t="array" ref="S263">IF(P263="",0,IF(OR(O263=";",P263="EQU",P263="ORG"),0,HlpGetInstructionSize(P263,Q263,R263,$AC$12)))</f>
        <v>0</v>
      </c>
      <c r="V263" s="42" t="str">
        <f t="shared" si="36"/>
        <v/>
      </c>
      <c r="W263" s="16"/>
      <c r="X263" s="28"/>
      <c r="Y263" s="29"/>
      <c r="AA263" s="66"/>
      <c r="AB263" s="11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28"/>
      <c r="AD263" s="129"/>
      <c r="AE263" s="129"/>
      <c r="AF263" s="129"/>
      <c r="AG263" s="129"/>
      <c r="AH263" s="129"/>
      <c r="AI263" s="129"/>
      <c r="AJ263" s="130"/>
    </row>
    <row r="264" spans="11:36">
      <c r="K264" s="76"/>
      <c r="L264" s="48" t="e">
        <f t="shared" si="35"/>
        <v>#VALUE!</v>
      </c>
      <c r="M264" s="32" t="str">
        <f t="shared" si="38"/>
        <v/>
      </c>
      <c r="N264" s="63" t="e">
        <f t="shared" si="37"/>
        <v>#VALUE!</v>
      </c>
      <c r="O264" s="86"/>
      <c r="P264" s="223"/>
      <c r="Q264" s="224"/>
      <c r="R264" s="135"/>
      <c r="S264" s="139" cm="1">
        <f t="array" ref="S264">IF(P264="",0,IF(OR(O264=";",P264="EQU",P264="ORG"),0,HlpGetInstructionSize(P264,Q264,R264,$AC$12)))</f>
        <v>0</v>
      </c>
      <c r="V264" s="42" t="str">
        <f t="shared" si="36"/>
        <v/>
      </c>
      <c r="W264" s="16"/>
      <c r="X264" s="28"/>
      <c r="Y264" s="29"/>
      <c r="AA264" s="66"/>
      <c r="AB264" s="11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28"/>
      <c r="AD264" s="129"/>
      <c r="AE264" s="129"/>
      <c r="AF264" s="129"/>
      <c r="AG264" s="129"/>
      <c r="AH264" s="129"/>
      <c r="AI264" s="129"/>
      <c r="AJ264" s="130"/>
    </row>
    <row r="265" spans="11:36">
      <c r="K265" s="76"/>
      <c r="L265" s="48" t="e">
        <f t="shared" ref="L265:L328" si="39">IF(UPPER(P265)="EQU","E",IF(P265="DB","D",IF(O265&lt;&gt;"","L",IF(N265="","F",""))))</f>
        <v>#VALUE!</v>
      </c>
      <c r="M265" s="32" t="str">
        <f t="shared" si="38"/>
        <v/>
      </c>
      <c r="N265" s="63" t="e">
        <f t="shared" si="37"/>
        <v>#VALUE!</v>
      </c>
      <c r="O265" s="86"/>
      <c r="P265" s="223"/>
      <c r="Q265" s="224"/>
      <c r="R265" s="135"/>
      <c r="S265" s="139" cm="1">
        <f t="array" ref="S265">IF(P265="",0,IF(OR(O265=";",P265="EQU",P265="ORG"),0,HlpGetInstructionSize(P265,Q265,R265,$AC$12)))</f>
        <v>0</v>
      </c>
      <c r="V265" s="42" t="str">
        <f t="shared" ref="V265:V328" si="40">IF(W265&gt;0,RIGHT("0000"&amp;DEC2HEX(W265),4),"")</f>
        <v/>
      </c>
      <c r="W265" s="16"/>
      <c r="X265" s="28"/>
      <c r="Y265" s="29"/>
      <c r="AA265" s="66"/>
      <c r="AB265" s="11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28"/>
      <c r="AD265" s="129"/>
      <c r="AE265" s="129"/>
      <c r="AF265" s="129"/>
      <c r="AG265" s="129"/>
      <c r="AH265" s="129"/>
      <c r="AI265" s="129"/>
      <c r="AJ265" s="130"/>
    </row>
    <row r="266" spans="11:36">
      <c r="K266" s="76"/>
      <c r="L266" s="48" t="e">
        <f t="shared" si="39"/>
        <v>#VALUE!</v>
      </c>
      <c r="M266" s="32" t="str">
        <f t="shared" si="38"/>
        <v/>
      </c>
      <c r="N266" s="63" t="e">
        <f t="shared" ref="N266:N329" si="41">N265+S265</f>
        <v>#VALUE!</v>
      </c>
      <c r="O266" s="86"/>
      <c r="P266" s="223"/>
      <c r="Q266" s="224"/>
      <c r="R266" s="135"/>
      <c r="S266" s="139" cm="1">
        <f t="array" ref="S266">IF(P266="",0,IF(OR(O266=";",P266="EQU",P266="ORG"),0,HlpGetInstructionSize(P266,Q266,R266,$AC$12)))</f>
        <v>0</v>
      </c>
      <c r="V266" s="42" t="str">
        <f t="shared" si="40"/>
        <v/>
      </c>
      <c r="W266" s="16"/>
      <c r="X266" s="28"/>
      <c r="Y266" s="29"/>
      <c r="AA266" s="66"/>
      <c r="AB266" s="11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28"/>
      <c r="AD266" s="129"/>
      <c r="AE266" s="129"/>
      <c r="AF266" s="129"/>
      <c r="AG266" s="129"/>
      <c r="AH266" s="129"/>
      <c r="AI266" s="129"/>
      <c r="AJ266" s="130"/>
    </row>
    <row r="267" spans="11:36">
      <c r="K267" s="76"/>
      <c r="L267" s="48" t="e">
        <f t="shared" si="39"/>
        <v>#VALUE!</v>
      </c>
      <c r="M267" s="32" t="str">
        <f t="shared" si="38"/>
        <v/>
      </c>
      <c r="N267" s="63" t="e">
        <f t="shared" si="41"/>
        <v>#VALUE!</v>
      </c>
      <c r="O267" s="86"/>
      <c r="P267" s="223"/>
      <c r="Q267" s="224"/>
      <c r="R267" s="135"/>
      <c r="S267" s="139" cm="1">
        <f t="array" ref="S267">IF(P267="",0,IF(OR(O267=";",P267="EQU",P267="ORG"),0,HlpGetInstructionSize(P267,Q267,R267,$AC$12)))</f>
        <v>0</v>
      </c>
      <c r="V267" s="42" t="str">
        <f t="shared" si="40"/>
        <v/>
      </c>
      <c r="W267" s="16"/>
      <c r="X267" s="28"/>
      <c r="Y267" s="29"/>
      <c r="AA267" s="66"/>
      <c r="AB267" s="11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28"/>
      <c r="AD267" s="129"/>
      <c r="AE267" s="129"/>
      <c r="AF267" s="129"/>
      <c r="AG267" s="129"/>
      <c r="AH267" s="129"/>
      <c r="AI267" s="129"/>
      <c r="AJ267" s="130"/>
    </row>
    <row r="268" spans="11:36">
      <c r="K268" s="76"/>
      <c r="L268" s="48" t="e">
        <f t="shared" si="39"/>
        <v>#VALUE!</v>
      </c>
      <c r="M268" s="32" t="str">
        <f t="shared" si="38"/>
        <v/>
      </c>
      <c r="N268" s="63" t="e">
        <f t="shared" si="41"/>
        <v>#VALUE!</v>
      </c>
      <c r="O268" s="86"/>
      <c r="P268" s="223"/>
      <c r="Q268" s="224"/>
      <c r="R268" s="135"/>
      <c r="S268" s="139" cm="1">
        <f t="array" ref="S268">IF(P268="",0,IF(OR(O268=";",P268="EQU",P268="ORG"),0,HlpGetInstructionSize(P268,Q268,R268,$AC$12)))</f>
        <v>0</v>
      </c>
      <c r="V268" s="42" t="str">
        <f t="shared" si="40"/>
        <v/>
      </c>
      <c r="W268" s="16"/>
      <c r="X268" s="28"/>
      <c r="Y268" s="29"/>
      <c r="AA268" s="66"/>
      <c r="AB268" s="11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28"/>
      <c r="AD268" s="129"/>
      <c r="AE268" s="129"/>
      <c r="AF268" s="129"/>
      <c r="AG268" s="129"/>
      <c r="AH268" s="129"/>
      <c r="AI268" s="129"/>
      <c r="AJ268" s="130"/>
    </row>
    <row r="269" spans="11:36">
      <c r="K269" s="76"/>
      <c r="L269" s="48" t="e">
        <f t="shared" si="39"/>
        <v>#VALUE!</v>
      </c>
      <c r="M269" s="32" t="str">
        <f t="shared" si="38"/>
        <v/>
      </c>
      <c r="N269" s="63" t="e">
        <f t="shared" si="41"/>
        <v>#VALUE!</v>
      </c>
      <c r="O269" s="86"/>
      <c r="P269" s="223"/>
      <c r="Q269" s="224"/>
      <c r="R269" s="135"/>
      <c r="S269" s="139" cm="1">
        <f t="array" ref="S269">IF(P269="",0,IF(OR(O269=";",P269="EQU",P269="ORG"),0,HlpGetInstructionSize(P269,Q269,R269,$AC$12)))</f>
        <v>0</v>
      </c>
      <c r="V269" s="42" t="str">
        <f t="shared" si="40"/>
        <v/>
      </c>
      <c r="W269" s="16"/>
      <c r="X269" s="28"/>
      <c r="Y269" s="29"/>
      <c r="AA269" s="66"/>
      <c r="AB269" s="11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28"/>
      <c r="AD269" s="129"/>
      <c r="AE269" s="129"/>
      <c r="AF269" s="129"/>
      <c r="AG269" s="129"/>
      <c r="AH269" s="129"/>
      <c r="AI269" s="129"/>
      <c r="AJ269" s="130"/>
    </row>
    <row r="270" spans="11:36">
      <c r="K270" s="76"/>
      <c r="L270" s="48" t="e">
        <f t="shared" si="39"/>
        <v>#VALUE!</v>
      </c>
      <c r="M270" s="32" t="str">
        <f t="shared" si="38"/>
        <v/>
      </c>
      <c r="N270" s="63" t="e">
        <f t="shared" si="41"/>
        <v>#VALUE!</v>
      </c>
      <c r="O270" s="86"/>
      <c r="P270" s="223"/>
      <c r="Q270" s="224"/>
      <c r="R270" s="135"/>
      <c r="S270" s="139" cm="1">
        <f t="array" ref="S270">IF(P270="",0,IF(OR(O270=";",P270="EQU",P270="ORG"),0,HlpGetInstructionSize(P270,Q270,R270,$AC$12)))</f>
        <v>0</v>
      </c>
      <c r="V270" s="42" t="str">
        <f t="shared" si="40"/>
        <v/>
      </c>
      <c r="W270" s="16"/>
      <c r="X270" s="28"/>
      <c r="Y270" s="29"/>
      <c r="AA270" s="66"/>
      <c r="AB270" s="11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28"/>
      <c r="AD270" s="129"/>
      <c r="AE270" s="129"/>
      <c r="AF270" s="129"/>
      <c r="AG270" s="129"/>
      <c r="AH270" s="129"/>
      <c r="AI270" s="129"/>
      <c r="AJ270" s="130"/>
    </row>
    <row r="271" spans="11:36">
      <c r="K271" s="76"/>
      <c r="L271" s="48" t="e">
        <f t="shared" si="39"/>
        <v>#VALUE!</v>
      </c>
      <c r="M271" s="32" t="str">
        <f t="shared" si="38"/>
        <v/>
      </c>
      <c r="N271" s="63" t="e">
        <f t="shared" si="41"/>
        <v>#VALUE!</v>
      </c>
      <c r="O271" s="86"/>
      <c r="P271" s="223"/>
      <c r="Q271" s="224"/>
      <c r="R271" s="135"/>
      <c r="S271" s="139" cm="1">
        <f t="array" ref="S271">IF(P271="",0,IF(OR(O271=";",P271="EQU",P271="ORG"),0,HlpGetInstructionSize(P271,Q271,R271,$AC$12)))</f>
        <v>0</v>
      </c>
      <c r="V271" s="42" t="str">
        <f t="shared" si="40"/>
        <v/>
      </c>
      <c r="W271" s="16"/>
      <c r="X271" s="28"/>
      <c r="Y271" s="29"/>
      <c r="AA271" s="66"/>
      <c r="AB271" s="11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28"/>
      <c r="AD271" s="129"/>
      <c r="AE271" s="129"/>
      <c r="AF271" s="129"/>
      <c r="AG271" s="129"/>
      <c r="AH271" s="129"/>
      <c r="AI271" s="129"/>
      <c r="AJ271" s="130"/>
    </row>
    <row r="272" spans="11:36">
      <c r="K272" s="76"/>
      <c r="L272" s="48" t="e">
        <f t="shared" si="39"/>
        <v>#VALUE!</v>
      </c>
      <c r="M272" s="32" t="str">
        <f t="shared" si="38"/>
        <v/>
      </c>
      <c r="N272" s="63" t="e">
        <f t="shared" si="41"/>
        <v>#VALUE!</v>
      </c>
      <c r="O272" s="86"/>
      <c r="P272" s="223"/>
      <c r="Q272" s="224"/>
      <c r="R272" s="135"/>
      <c r="S272" s="139" cm="1">
        <f t="array" ref="S272">IF(P272="",0,IF(OR(O272=";",P272="EQU",P272="ORG"),0,HlpGetInstructionSize(P272,Q272,R272,$AC$12)))</f>
        <v>0</v>
      </c>
      <c r="V272" s="42" t="str">
        <f t="shared" si="40"/>
        <v/>
      </c>
      <c r="W272" s="16"/>
      <c r="X272" s="28"/>
      <c r="Y272" s="29"/>
      <c r="AA272" s="66"/>
      <c r="AB272" s="11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28"/>
      <c r="AD272" s="129"/>
      <c r="AE272" s="129"/>
      <c r="AF272" s="129"/>
      <c r="AG272" s="129"/>
      <c r="AH272" s="129"/>
      <c r="AI272" s="129"/>
      <c r="AJ272" s="130"/>
    </row>
    <row r="273" spans="11:36">
      <c r="K273" s="76"/>
      <c r="L273" s="48" t="e">
        <f t="shared" si="39"/>
        <v>#VALUE!</v>
      </c>
      <c r="M273" s="32" t="str">
        <f t="shared" si="38"/>
        <v/>
      </c>
      <c r="N273" s="63" t="e">
        <f t="shared" si="41"/>
        <v>#VALUE!</v>
      </c>
      <c r="O273" s="86"/>
      <c r="P273" s="223"/>
      <c r="Q273" s="224"/>
      <c r="R273" s="135"/>
      <c r="S273" s="139" cm="1">
        <f t="array" ref="S273">IF(P273="",0,IF(OR(O273=";",P273="EQU",P273="ORG"),0,HlpGetInstructionSize(P273,Q273,R273,$AC$12)))</f>
        <v>0</v>
      </c>
      <c r="V273" s="42" t="str">
        <f t="shared" si="40"/>
        <v/>
      </c>
      <c r="W273" s="16"/>
      <c r="X273" s="28"/>
      <c r="Y273" s="29"/>
      <c r="AA273" s="66"/>
      <c r="AB273" s="11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28"/>
      <c r="AD273" s="129"/>
      <c r="AE273" s="129"/>
      <c r="AF273" s="129"/>
      <c r="AG273" s="129"/>
      <c r="AH273" s="129"/>
      <c r="AI273" s="129"/>
      <c r="AJ273" s="130"/>
    </row>
    <row r="274" spans="11:36">
      <c r="K274" s="76"/>
      <c r="L274" s="48" t="e">
        <f t="shared" si="39"/>
        <v>#VALUE!</v>
      </c>
      <c r="M274" s="32" t="str">
        <f t="shared" si="38"/>
        <v/>
      </c>
      <c r="N274" s="63" t="e">
        <f t="shared" si="41"/>
        <v>#VALUE!</v>
      </c>
      <c r="O274" s="86"/>
      <c r="P274" s="223"/>
      <c r="Q274" s="224"/>
      <c r="R274" s="135"/>
      <c r="S274" s="139" cm="1">
        <f t="array" ref="S274">IF(P274="",0,IF(OR(O274=";",P274="EQU",P274="ORG"),0,HlpGetInstructionSize(P274,Q274,R274,$AC$12)))</f>
        <v>0</v>
      </c>
      <c r="V274" s="42" t="str">
        <f t="shared" si="40"/>
        <v/>
      </c>
      <c r="W274" s="16"/>
      <c r="X274" s="28"/>
      <c r="Y274" s="29"/>
      <c r="AA274" s="66"/>
      <c r="AB274" s="11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28"/>
      <c r="AD274" s="129"/>
      <c r="AE274" s="129"/>
      <c r="AF274" s="129"/>
      <c r="AG274" s="129"/>
      <c r="AH274" s="129"/>
      <c r="AI274" s="129"/>
      <c r="AJ274" s="130"/>
    </row>
    <row r="275" spans="11:36">
      <c r="K275" s="76"/>
      <c r="L275" s="48" t="e">
        <f t="shared" si="39"/>
        <v>#VALUE!</v>
      </c>
      <c r="M275" s="32" t="str">
        <f t="shared" si="38"/>
        <v/>
      </c>
      <c r="N275" s="63" t="e">
        <f t="shared" si="41"/>
        <v>#VALUE!</v>
      </c>
      <c r="O275" s="86"/>
      <c r="P275" s="223"/>
      <c r="Q275" s="224"/>
      <c r="R275" s="135"/>
      <c r="S275" s="139" cm="1">
        <f t="array" ref="S275">IF(P275="",0,IF(OR(O275=";",P275="EQU",P275="ORG"),0,HlpGetInstructionSize(P275,Q275,R275,$AC$12)))</f>
        <v>0</v>
      </c>
      <c r="V275" s="42" t="str">
        <f t="shared" si="40"/>
        <v/>
      </c>
      <c r="W275" s="16"/>
      <c r="X275" s="28"/>
      <c r="Y275" s="29"/>
      <c r="AA275" s="66"/>
      <c r="AB275" s="11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28"/>
      <c r="AD275" s="129"/>
      <c r="AE275" s="129"/>
      <c r="AF275" s="129"/>
      <c r="AG275" s="129"/>
      <c r="AH275" s="129"/>
      <c r="AI275" s="129"/>
      <c r="AJ275" s="130"/>
    </row>
    <row r="276" spans="11:36">
      <c r="K276" s="76"/>
      <c r="L276" s="48" t="e">
        <f t="shared" si="39"/>
        <v>#VALUE!</v>
      </c>
      <c r="M276" s="32" t="str">
        <f t="shared" si="38"/>
        <v/>
      </c>
      <c r="N276" s="63" t="e">
        <f t="shared" si="41"/>
        <v>#VALUE!</v>
      </c>
      <c r="O276" s="86"/>
      <c r="P276" s="223"/>
      <c r="Q276" s="224"/>
      <c r="R276" s="135"/>
      <c r="S276" s="139" cm="1">
        <f t="array" ref="S276">IF(P276="",0,IF(OR(O276=";",P276="EQU",P276="ORG"),0,HlpGetInstructionSize(P276,Q276,R276,$AC$12)))</f>
        <v>0</v>
      </c>
      <c r="V276" s="42" t="str">
        <f t="shared" si="40"/>
        <v/>
      </c>
      <c r="W276" s="16"/>
      <c r="X276" s="28"/>
      <c r="Y276" s="29"/>
      <c r="AA276" s="66"/>
      <c r="AB276" s="11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28"/>
      <c r="AD276" s="129"/>
      <c r="AE276" s="129"/>
      <c r="AF276" s="129"/>
      <c r="AG276" s="129"/>
      <c r="AH276" s="129"/>
      <c r="AI276" s="129"/>
      <c r="AJ276" s="130"/>
    </row>
    <row r="277" spans="11:36">
      <c r="K277" s="76"/>
      <c r="L277" s="48" t="e">
        <f t="shared" si="39"/>
        <v>#VALUE!</v>
      </c>
      <c r="M277" s="32" t="str">
        <f t="shared" si="38"/>
        <v/>
      </c>
      <c r="N277" s="63" t="e">
        <f t="shared" si="41"/>
        <v>#VALUE!</v>
      </c>
      <c r="O277" s="86"/>
      <c r="P277" s="223"/>
      <c r="Q277" s="224"/>
      <c r="R277" s="135"/>
      <c r="S277" s="139" cm="1">
        <f t="array" ref="S277">IF(P277="",0,IF(OR(O277=";",P277="EQU",P277="ORG"),0,HlpGetInstructionSize(P277,Q277,R277,$AC$12)))</f>
        <v>0</v>
      </c>
      <c r="V277" s="42" t="str">
        <f t="shared" si="40"/>
        <v/>
      </c>
      <c r="W277" s="16"/>
      <c r="X277" s="28"/>
      <c r="Y277" s="29"/>
      <c r="AA277" s="66"/>
      <c r="AB277" s="11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28"/>
      <c r="AD277" s="129"/>
      <c r="AE277" s="129"/>
      <c r="AF277" s="129"/>
      <c r="AG277" s="129"/>
      <c r="AH277" s="129"/>
      <c r="AI277" s="129"/>
      <c r="AJ277" s="130"/>
    </row>
    <row r="278" spans="11:36">
      <c r="K278" s="76"/>
      <c r="L278" s="48" t="e">
        <f t="shared" si="39"/>
        <v>#VALUE!</v>
      </c>
      <c r="M278" s="32" t="str">
        <f t="shared" si="38"/>
        <v/>
      </c>
      <c r="N278" s="63" t="e">
        <f t="shared" si="41"/>
        <v>#VALUE!</v>
      </c>
      <c r="O278" s="86"/>
      <c r="P278" s="223"/>
      <c r="Q278" s="224"/>
      <c r="R278" s="135"/>
      <c r="S278" s="139" cm="1">
        <f t="array" ref="S278">IF(P278="",0,IF(OR(O278=";",P278="EQU",P278="ORG"),0,HlpGetInstructionSize(P278,Q278,R278,$AC$12)))</f>
        <v>0</v>
      </c>
      <c r="V278" s="42" t="str">
        <f t="shared" si="40"/>
        <v/>
      </c>
      <c r="W278" s="16"/>
      <c r="X278" s="28"/>
      <c r="Y278" s="29"/>
      <c r="AA278" s="66"/>
      <c r="AB278" s="11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28"/>
      <c r="AD278" s="129"/>
      <c r="AE278" s="129"/>
      <c r="AF278" s="129"/>
      <c r="AG278" s="129"/>
      <c r="AH278" s="129"/>
      <c r="AI278" s="129"/>
      <c r="AJ278" s="130"/>
    </row>
    <row r="279" spans="11:36">
      <c r="K279" s="76"/>
      <c r="L279" s="48" t="e">
        <f t="shared" si="39"/>
        <v>#VALUE!</v>
      </c>
      <c r="M279" s="32" t="str">
        <f t="shared" si="38"/>
        <v/>
      </c>
      <c r="N279" s="63" t="e">
        <f t="shared" si="41"/>
        <v>#VALUE!</v>
      </c>
      <c r="O279" s="86"/>
      <c r="P279" s="223"/>
      <c r="Q279" s="224"/>
      <c r="R279" s="135"/>
      <c r="S279" s="139" cm="1">
        <f t="array" ref="S279">IF(P279="",0,IF(OR(O279=";",P279="EQU",P279="ORG"),0,HlpGetInstructionSize(P279,Q279,R279,$AC$12)))</f>
        <v>0</v>
      </c>
      <c r="V279" s="42" t="str">
        <f t="shared" si="40"/>
        <v/>
      </c>
      <c r="W279" s="16"/>
      <c r="X279" s="28"/>
      <c r="Y279" s="29"/>
      <c r="AA279" s="66"/>
      <c r="AB279" s="11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28"/>
      <c r="AD279" s="129"/>
      <c r="AE279" s="129"/>
      <c r="AF279" s="129"/>
      <c r="AG279" s="129"/>
      <c r="AH279" s="129"/>
      <c r="AI279" s="129"/>
      <c r="AJ279" s="130"/>
    </row>
    <row r="280" spans="11:36">
      <c r="K280" s="76"/>
      <c r="L280" s="48" t="e">
        <f t="shared" si="39"/>
        <v>#VALUE!</v>
      </c>
      <c r="M280" s="32" t="str">
        <f t="shared" si="38"/>
        <v/>
      </c>
      <c r="N280" s="63" t="e">
        <f t="shared" si="41"/>
        <v>#VALUE!</v>
      </c>
      <c r="O280" s="86"/>
      <c r="P280" s="223"/>
      <c r="Q280" s="224"/>
      <c r="R280" s="135"/>
      <c r="S280" s="139" cm="1">
        <f t="array" ref="S280">IF(P280="",0,IF(OR(O280=";",P280="EQU",P280="ORG"),0,HlpGetInstructionSize(P280,Q280,R280,$AC$12)))</f>
        <v>0</v>
      </c>
      <c r="V280" s="42" t="str">
        <f t="shared" si="40"/>
        <v/>
      </c>
      <c r="W280" s="16"/>
      <c r="X280" s="28"/>
      <c r="Y280" s="29"/>
      <c r="AA280" s="66"/>
      <c r="AB280" s="11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28"/>
      <c r="AD280" s="129"/>
      <c r="AE280" s="129"/>
      <c r="AF280" s="129"/>
      <c r="AG280" s="129"/>
      <c r="AH280" s="129"/>
      <c r="AI280" s="129"/>
      <c r="AJ280" s="130"/>
    </row>
    <row r="281" spans="11:36">
      <c r="K281" s="76"/>
      <c r="L281" s="48" t="e">
        <f t="shared" si="39"/>
        <v>#VALUE!</v>
      </c>
      <c r="M281" s="32" t="str">
        <f t="shared" si="38"/>
        <v/>
      </c>
      <c r="N281" s="63" t="e">
        <f t="shared" si="41"/>
        <v>#VALUE!</v>
      </c>
      <c r="O281" s="86"/>
      <c r="P281" s="223"/>
      <c r="Q281" s="224"/>
      <c r="R281" s="135"/>
      <c r="S281" s="139" cm="1">
        <f t="array" ref="S281">IF(P281="",0,IF(OR(O281=";",P281="EQU",P281="ORG"),0,HlpGetInstructionSize(P281,Q281,R281,$AC$12)))</f>
        <v>0</v>
      </c>
      <c r="V281" s="42" t="str">
        <f t="shared" si="40"/>
        <v/>
      </c>
      <c r="W281" s="16"/>
      <c r="X281" s="28"/>
      <c r="Y281" s="29"/>
      <c r="AA281" s="66"/>
      <c r="AB281" s="11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28"/>
      <c r="AD281" s="129"/>
      <c r="AE281" s="129"/>
      <c r="AF281" s="129"/>
      <c r="AG281" s="129"/>
      <c r="AH281" s="129"/>
      <c r="AI281" s="129"/>
      <c r="AJ281" s="130"/>
    </row>
    <row r="282" spans="11:36">
      <c r="K282" s="76"/>
      <c r="L282" s="48" t="e">
        <f t="shared" si="39"/>
        <v>#VALUE!</v>
      </c>
      <c r="M282" s="32" t="str">
        <f t="shared" si="38"/>
        <v/>
      </c>
      <c r="N282" s="63" t="e">
        <f t="shared" si="41"/>
        <v>#VALUE!</v>
      </c>
      <c r="O282" s="86"/>
      <c r="P282" s="223"/>
      <c r="Q282" s="224"/>
      <c r="R282" s="135"/>
      <c r="S282" s="139" cm="1">
        <f t="array" ref="S282">IF(P282="",0,IF(OR(O282=";",P282="EQU",P282="ORG"),0,HlpGetInstructionSize(P282,Q282,R282,$AC$12)))</f>
        <v>0</v>
      </c>
      <c r="V282" s="42" t="str">
        <f t="shared" si="40"/>
        <v/>
      </c>
      <c r="W282" s="16"/>
      <c r="X282" s="28"/>
      <c r="Y282" s="29"/>
      <c r="AA282" s="66"/>
      <c r="AB282" s="11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28"/>
      <c r="AD282" s="129"/>
      <c r="AE282" s="129"/>
      <c r="AF282" s="129"/>
      <c r="AG282" s="129"/>
      <c r="AH282" s="129"/>
      <c r="AI282" s="129"/>
      <c r="AJ282" s="130"/>
    </row>
    <row r="283" spans="11:36">
      <c r="K283" s="76"/>
      <c r="L283" s="48" t="e">
        <f t="shared" si="39"/>
        <v>#VALUE!</v>
      </c>
      <c r="M283" s="32" t="str">
        <f t="shared" si="38"/>
        <v/>
      </c>
      <c r="N283" s="63" t="e">
        <f t="shared" si="41"/>
        <v>#VALUE!</v>
      </c>
      <c r="O283" s="86"/>
      <c r="P283" s="223"/>
      <c r="Q283" s="224"/>
      <c r="R283" s="135"/>
      <c r="S283" s="139" cm="1">
        <f t="array" ref="S283">IF(P283="",0,IF(OR(O283=";",P283="EQU",P283="ORG"),0,HlpGetInstructionSize(P283,Q283,R283,$AC$12)))</f>
        <v>0</v>
      </c>
      <c r="V283" s="42" t="str">
        <f t="shared" si="40"/>
        <v/>
      </c>
      <c r="W283" s="16"/>
      <c r="X283" s="28"/>
      <c r="Y283" s="29"/>
      <c r="AA283" s="66"/>
      <c r="AB283" s="11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28"/>
      <c r="AD283" s="129"/>
      <c r="AE283" s="129"/>
      <c r="AF283" s="129"/>
      <c r="AG283" s="129"/>
      <c r="AH283" s="129"/>
      <c r="AI283" s="129"/>
      <c r="AJ283" s="130"/>
    </row>
    <row r="284" spans="11:36">
      <c r="K284" s="76"/>
      <c r="L284" s="48" t="e">
        <f t="shared" si="39"/>
        <v>#VALUE!</v>
      </c>
      <c r="M284" s="32" t="str">
        <f t="shared" si="38"/>
        <v/>
      </c>
      <c r="N284" s="63" t="e">
        <f t="shared" si="41"/>
        <v>#VALUE!</v>
      </c>
      <c r="O284" s="86"/>
      <c r="P284" s="223"/>
      <c r="Q284" s="224"/>
      <c r="R284" s="135"/>
      <c r="S284" s="139" cm="1">
        <f t="array" ref="S284">IF(P284="",0,IF(OR(O284=";",P284="EQU",P284="ORG"),0,HlpGetInstructionSize(P284,Q284,R284,$AC$12)))</f>
        <v>0</v>
      </c>
      <c r="V284" s="42" t="str">
        <f t="shared" si="40"/>
        <v/>
      </c>
      <c r="W284" s="16"/>
      <c r="X284" s="28"/>
      <c r="Y284" s="29"/>
      <c r="AA284" s="66"/>
      <c r="AB284" s="11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28"/>
      <c r="AD284" s="129"/>
      <c r="AE284" s="129"/>
      <c r="AF284" s="129"/>
      <c r="AG284" s="129"/>
      <c r="AH284" s="129"/>
      <c r="AI284" s="129"/>
      <c r="AJ284" s="130"/>
    </row>
    <row r="285" spans="11:36">
      <c r="K285" s="76"/>
      <c r="L285" s="48" t="e">
        <f t="shared" si="39"/>
        <v>#VALUE!</v>
      </c>
      <c r="M285" s="32" t="str">
        <f t="shared" ref="M285:M348" si="42">IFERROR(RIGHT("0000"&amp;DEC2HEX(N285),4),"")</f>
        <v/>
      </c>
      <c r="N285" s="63" t="e">
        <f t="shared" si="41"/>
        <v>#VALUE!</v>
      </c>
      <c r="O285" s="86"/>
      <c r="P285" s="223"/>
      <c r="Q285" s="224"/>
      <c r="R285" s="135"/>
      <c r="S285" s="139" cm="1">
        <f t="array" ref="S285">IF(P285="",0,IF(OR(O285=";",P285="EQU",P285="ORG"),0,HlpGetInstructionSize(P285,Q285,R285,$AC$12)))</f>
        <v>0</v>
      </c>
      <c r="V285" s="42" t="str">
        <f t="shared" si="40"/>
        <v/>
      </c>
      <c r="W285" s="16"/>
      <c r="X285" s="28"/>
      <c r="Y285" s="29"/>
      <c r="AA285" s="66"/>
      <c r="AB285" s="11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28"/>
      <c r="AD285" s="129"/>
      <c r="AE285" s="129"/>
      <c r="AF285" s="129"/>
      <c r="AG285" s="129"/>
      <c r="AH285" s="129"/>
      <c r="AI285" s="129"/>
      <c r="AJ285" s="130"/>
    </row>
    <row r="286" spans="11:36">
      <c r="K286" s="76"/>
      <c r="L286" s="48" t="e">
        <f t="shared" si="39"/>
        <v>#VALUE!</v>
      </c>
      <c r="M286" s="32" t="str">
        <f t="shared" si="42"/>
        <v/>
      </c>
      <c r="N286" s="63" t="e">
        <f t="shared" si="41"/>
        <v>#VALUE!</v>
      </c>
      <c r="O286" s="86"/>
      <c r="P286" s="223"/>
      <c r="Q286" s="224"/>
      <c r="R286" s="135"/>
      <c r="S286" s="139" cm="1">
        <f t="array" ref="S286">IF(P286="",0,IF(OR(O286=";",P286="EQU",P286="ORG"),0,HlpGetInstructionSize(P286,Q286,R286,$AC$12)))</f>
        <v>0</v>
      </c>
      <c r="V286" s="42" t="str">
        <f t="shared" si="40"/>
        <v/>
      </c>
      <c r="W286" s="16"/>
      <c r="X286" s="28"/>
      <c r="Y286" s="29"/>
      <c r="AA286" s="66"/>
      <c r="AB286" s="11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28"/>
      <c r="AD286" s="129"/>
      <c r="AE286" s="129"/>
      <c r="AF286" s="129"/>
      <c r="AG286" s="129"/>
      <c r="AH286" s="129"/>
      <c r="AI286" s="129"/>
      <c r="AJ286" s="130"/>
    </row>
    <row r="287" spans="11:36">
      <c r="K287" s="76"/>
      <c r="L287" s="48" t="e">
        <f t="shared" si="39"/>
        <v>#VALUE!</v>
      </c>
      <c r="M287" s="32" t="str">
        <f t="shared" si="42"/>
        <v/>
      </c>
      <c r="N287" s="63" t="e">
        <f t="shared" si="41"/>
        <v>#VALUE!</v>
      </c>
      <c r="O287" s="86"/>
      <c r="P287" s="223"/>
      <c r="Q287" s="224"/>
      <c r="R287" s="135"/>
      <c r="S287" s="139" cm="1">
        <f t="array" ref="S287">IF(P287="",0,IF(OR(O287=";",P287="EQU",P287="ORG"),0,HlpGetInstructionSize(P287,Q287,R287,$AC$12)))</f>
        <v>0</v>
      </c>
      <c r="V287" s="42" t="str">
        <f t="shared" si="40"/>
        <v/>
      </c>
      <c r="W287" s="16"/>
      <c r="X287" s="28"/>
      <c r="Y287" s="29"/>
      <c r="AA287" s="66"/>
      <c r="AB287" s="11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28"/>
      <c r="AD287" s="129"/>
      <c r="AE287" s="129"/>
      <c r="AF287" s="129"/>
      <c r="AG287" s="129"/>
      <c r="AH287" s="129"/>
      <c r="AI287" s="129"/>
      <c r="AJ287" s="130"/>
    </row>
    <row r="288" spans="11:36">
      <c r="K288" s="76"/>
      <c r="L288" s="48" t="e">
        <f t="shared" si="39"/>
        <v>#VALUE!</v>
      </c>
      <c r="M288" s="32" t="str">
        <f t="shared" si="42"/>
        <v/>
      </c>
      <c r="N288" s="63" t="e">
        <f t="shared" si="41"/>
        <v>#VALUE!</v>
      </c>
      <c r="O288" s="86"/>
      <c r="P288" s="223"/>
      <c r="Q288" s="224"/>
      <c r="R288" s="135"/>
      <c r="S288" s="139" cm="1">
        <f t="array" ref="S288">IF(P288="",0,IF(OR(O288=";",P288="EQU",P288="ORG"),0,HlpGetInstructionSize(P288,Q288,R288,$AC$12)))</f>
        <v>0</v>
      </c>
      <c r="V288" s="42" t="str">
        <f t="shared" si="40"/>
        <v/>
      </c>
      <c r="W288" s="16"/>
      <c r="X288" s="28"/>
      <c r="Y288" s="29"/>
      <c r="AA288" s="66"/>
      <c r="AB288" s="11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28"/>
      <c r="AD288" s="129"/>
      <c r="AE288" s="129"/>
      <c r="AF288" s="129"/>
      <c r="AG288" s="129"/>
      <c r="AH288" s="129"/>
      <c r="AI288" s="129"/>
      <c r="AJ288" s="130"/>
    </row>
    <row r="289" spans="11:36">
      <c r="K289" s="76"/>
      <c r="L289" s="48" t="e">
        <f t="shared" si="39"/>
        <v>#VALUE!</v>
      </c>
      <c r="M289" s="32" t="str">
        <f t="shared" si="42"/>
        <v/>
      </c>
      <c r="N289" s="63" t="e">
        <f t="shared" si="41"/>
        <v>#VALUE!</v>
      </c>
      <c r="O289" s="86"/>
      <c r="P289" s="223"/>
      <c r="Q289" s="224"/>
      <c r="R289" s="135"/>
      <c r="S289" s="139" cm="1">
        <f t="array" ref="S289">IF(P289="",0,IF(OR(O289=";",P289="EQU",P289="ORG"),0,HlpGetInstructionSize(P289,Q289,R289,$AC$12)))</f>
        <v>0</v>
      </c>
      <c r="V289" s="42" t="str">
        <f t="shared" si="40"/>
        <v/>
      </c>
      <c r="W289" s="16"/>
      <c r="X289" s="28"/>
      <c r="Y289" s="29"/>
      <c r="AA289" s="66"/>
      <c r="AB289" s="11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28"/>
      <c r="AD289" s="129"/>
      <c r="AE289" s="129"/>
      <c r="AF289" s="129"/>
      <c r="AG289" s="129"/>
      <c r="AH289" s="129"/>
      <c r="AI289" s="129"/>
      <c r="AJ289" s="130"/>
    </row>
    <row r="290" spans="11:36">
      <c r="K290" s="76"/>
      <c r="L290" s="48" t="e">
        <f t="shared" si="39"/>
        <v>#VALUE!</v>
      </c>
      <c r="M290" s="32" t="str">
        <f t="shared" si="42"/>
        <v/>
      </c>
      <c r="N290" s="63" t="e">
        <f t="shared" si="41"/>
        <v>#VALUE!</v>
      </c>
      <c r="O290" s="86"/>
      <c r="P290" s="223"/>
      <c r="Q290" s="224"/>
      <c r="R290" s="135"/>
      <c r="S290" s="139" cm="1">
        <f t="array" ref="S290">IF(P290="",0,IF(OR(O290=";",P290="EQU",P290="ORG"),0,HlpGetInstructionSize(P290,Q290,R290,$AC$12)))</f>
        <v>0</v>
      </c>
      <c r="V290" s="42" t="str">
        <f t="shared" si="40"/>
        <v/>
      </c>
      <c r="W290" s="16"/>
      <c r="X290" s="28"/>
      <c r="Y290" s="29"/>
      <c r="AA290" s="66"/>
      <c r="AB290" s="11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28"/>
      <c r="AD290" s="129"/>
      <c r="AE290" s="129"/>
      <c r="AF290" s="129"/>
      <c r="AG290" s="129"/>
      <c r="AH290" s="129"/>
      <c r="AI290" s="129"/>
      <c r="AJ290" s="130"/>
    </row>
    <row r="291" spans="11:36">
      <c r="K291" s="76"/>
      <c r="L291" s="48" t="e">
        <f t="shared" si="39"/>
        <v>#VALUE!</v>
      </c>
      <c r="M291" s="32" t="str">
        <f t="shared" si="42"/>
        <v/>
      </c>
      <c r="N291" s="63" t="e">
        <f t="shared" si="41"/>
        <v>#VALUE!</v>
      </c>
      <c r="O291" s="86"/>
      <c r="P291" s="223"/>
      <c r="Q291" s="224"/>
      <c r="R291" s="135"/>
      <c r="S291" s="139" cm="1">
        <f t="array" ref="S291">IF(P291="",0,IF(OR(O291=";",P291="EQU",P291="ORG"),0,HlpGetInstructionSize(P291,Q291,R291,$AC$12)))</f>
        <v>0</v>
      </c>
      <c r="V291" s="42" t="str">
        <f t="shared" si="40"/>
        <v/>
      </c>
      <c r="W291" s="16"/>
      <c r="X291" s="28"/>
      <c r="Y291" s="29"/>
      <c r="AA291" s="66"/>
      <c r="AB291" s="11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28"/>
      <c r="AD291" s="129"/>
      <c r="AE291" s="129"/>
      <c r="AF291" s="129"/>
      <c r="AG291" s="129"/>
      <c r="AH291" s="129"/>
      <c r="AI291" s="129"/>
      <c r="AJ291" s="130"/>
    </row>
    <row r="292" spans="11:36">
      <c r="K292" s="76"/>
      <c r="L292" s="48" t="e">
        <f t="shared" si="39"/>
        <v>#VALUE!</v>
      </c>
      <c r="M292" s="32" t="str">
        <f t="shared" si="42"/>
        <v/>
      </c>
      <c r="N292" s="63" t="e">
        <f t="shared" si="41"/>
        <v>#VALUE!</v>
      </c>
      <c r="O292" s="86"/>
      <c r="P292" s="223"/>
      <c r="Q292" s="224"/>
      <c r="R292" s="135"/>
      <c r="S292" s="139" cm="1">
        <f t="array" ref="S292">IF(P292="",0,IF(OR(O292=";",P292="EQU",P292="ORG"),0,HlpGetInstructionSize(P292,Q292,R292,$AC$12)))</f>
        <v>0</v>
      </c>
      <c r="V292" s="42" t="str">
        <f t="shared" si="40"/>
        <v/>
      </c>
      <c r="W292" s="16"/>
      <c r="X292" s="28"/>
      <c r="Y292" s="29"/>
      <c r="AA292" s="66"/>
      <c r="AB292" s="11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28"/>
      <c r="AD292" s="129"/>
      <c r="AE292" s="129"/>
      <c r="AF292" s="129"/>
      <c r="AG292" s="129"/>
      <c r="AH292" s="129"/>
      <c r="AI292" s="129"/>
      <c r="AJ292" s="130"/>
    </row>
    <row r="293" spans="11:36">
      <c r="K293" s="76"/>
      <c r="L293" s="48" t="e">
        <f t="shared" si="39"/>
        <v>#VALUE!</v>
      </c>
      <c r="M293" s="32" t="str">
        <f t="shared" si="42"/>
        <v/>
      </c>
      <c r="N293" s="63" t="e">
        <f t="shared" si="41"/>
        <v>#VALUE!</v>
      </c>
      <c r="O293" s="86"/>
      <c r="P293" s="223"/>
      <c r="Q293" s="224"/>
      <c r="R293" s="135"/>
      <c r="S293" s="139" cm="1">
        <f t="array" ref="S293">IF(P293="",0,IF(OR(O293=";",P293="EQU",P293="ORG"),0,HlpGetInstructionSize(P293,Q293,R293,$AC$12)))</f>
        <v>0</v>
      </c>
      <c r="V293" s="42" t="str">
        <f t="shared" si="40"/>
        <v/>
      </c>
      <c r="W293" s="16"/>
      <c r="X293" s="28"/>
      <c r="Y293" s="29"/>
      <c r="AA293" s="66"/>
      <c r="AB293" s="11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28"/>
      <c r="AD293" s="129"/>
      <c r="AE293" s="129"/>
      <c r="AF293" s="129"/>
      <c r="AG293" s="129"/>
      <c r="AH293" s="129"/>
      <c r="AI293" s="129"/>
      <c r="AJ293" s="130"/>
    </row>
    <row r="294" spans="11:36">
      <c r="K294" s="76"/>
      <c r="L294" s="48" t="e">
        <f t="shared" si="39"/>
        <v>#VALUE!</v>
      </c>
      <c r="M294" s="32" t="str">
        <f t="shared" si="42"/>
        <v/>
      </c>
      <c r="N294" s="63" t="e">
        <f t="shared" si="41"/>
        <v>#VALUE!</v>
      </c>
      <c r="O294" s="86"/>
      <c r="P294" s="223"/>
      <c r="Q294" s="224"/>
      <c r="R294" s="135"/>
      <c r="S294" s="139" cm="1">
        <f t="array" ref="S294">IF(P294="",0,IF(OR(O294=";",P294="EQU",P294="ORG"),0,HlpGetInstructionSize(P294,Q294,R294,$AC$12)))</f>
        <v>0</v>
      </c>
      <c r="V294" s="42" t="str">
        <f t="shared" si="40"/>
        <v/>
      </c>
      <c r="W294" s="16"/>
      <c r="X294" s="28"/>
      <c r="Y294" s="29"/>
      <c r="AA294" s="66"/>
      <c r="AB294" s="11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28"/>
      <c r="AD294" s="129"/>
      <c r="AE294" s="129"/>
      <c r="AF294" s="129"/>
      <c r="AG294" s="129"/>
      <c r="AH294" s="129"/>
      <c r="AI294" s="129"/>
      <c r="AJ294" s="130"/>
    </row>
    <row r="295" spans="11:36">
      <c r="K295" s="76"/>
      <c r="L295" s="48" t="e">
        <f t="shared" si="39"/>
        <v>#VALUE!</v>
      </c>
      <c r="M295" s="32" t="str">
        <f t="shared" si="42"/>
        <v/>
      </c>
      <c r="N295" s="63" t="e">
        <f t="shared" si="41"/>
        <v>#VALUE!</v>
      </c>
      <c r="O295" s="86"/>
      <c r="P295" s="223"/>
      <c r="Q295" s="224"/>
      <c r="R295" s="135"/>
      <c r="S295" s="139" cm="1">
        <f t="array" ref="S295">IF(P295="",0,IF(OR(O295=";",P295="EQU",P295="ORG"),0,HlpGetInstructionSize(P295,Q295,R295,$AC$12)))</f>
        <v>0</v>
      </c>
      <c r="V295" s="42" t="str">
        <f t="shared" si="40"/>
        <v/>
      </c>
      <c r="W295" s="16"/>
      <c r="X295" s="28"/>
      <c r="Y295" s="29"/>
      <c r="AA295" s="66"/>
      <c r="AB295" s="11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28"/>
      <c r="AD295" s="129"/>
      <c r="AE295" s="129"/>
      <c r="AF295" s="129"/>
      <c r="AG295" s="129"/>
      <c r="AH295" s="129"/>
      <c r="AI295" s="129"/>
      <c r="AJ295" s="130"/>
    </row>
    <row r="296" spans="11:36">
      <c r="K296" s="76"/>
      <c r="L296" s="48" t="e">
        <f t="shared" si="39"/>
        <v>#VALUE!</v>
      </c>
      <c r="M296" s="32" t="str">
        <f t="shared" si="42"/>
        <v/>
      </c>
      <c r="N296" s="63" t="e">
        <f t="shared" si="41"/>
        <v>#VALUE!</v>
      </c>
      <c r="O296" s="86"/>
      <c r="P296" s="223"/>
      <c r="Q296" s="224"/>
      <c r="R296" s="135"/>
      <c r="S296" s="139" cm="1">
        <f t="array" ref="S296">IF(P296="",0,IF(OR(O296=";",P296="EQU",P296="ORG"),0,HlpGetInstructionSize(P296,Q296,R296,$AC$12)))</f>
        <v>0</v>
      </c>
      <c r="V296" s="42" t="str">
        <f t="shared" si="40"/>
        <v/>
      </c>
      <c r="W296" s="16"/>
      <c r="X296" s="28"/>
      <c r="Y296" s="29"/>
      <c r="AA296" s="66"/>
      <c r="AB296" s="11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28"/>
      <c r="AD296" s="129"/>
      <c r="AE296" s="129"/>
      <c r="AF296" s="129"/>
      <c r="AG296" s="129"/>
      <c r="AH296" s="129"/>
      <c r="AI296" s="129"/>
      <c r="AJ296" s="130"/>
    </row>
    <row r="297" spans="11:36">
      <c r="K297" s="76"/>
      <c r="L297" s="48" t="e">
        <f t="shared" si="39"/>
        <v>#VALUE!</v>
      </c>
      <c r="M297" s="32" t="str">
        <f t="shared" si="42"/>
        <v/>
      </c>
      <c r="N297" s="63" t="e">
        <f t="shared" si="41"/>
        <v>#VALUE!</v>
      </c>
      <c r="O297" s="86"/>
      <c r="P297" s="223"/>
      <c r="Q297" s="224"/>
      <c r="R297" s="135"/>
      <c r="S297" s="139" cm="1">
        <f t="array" ref="S297">IF(P297="",0,IF(OR(O297=";",P297="EQU",P297="ORG"),0,HlpGetInstructionSize(P297,Q297,R297,$AC$12)))</f>
        <v>0</v>
      </c>
      <c r="V297" s="42" t="str">
        <f t="shared" si="40"/>
        <v/>
      </c>
      <c r="W297" s="16"/>
      <c r="X297" s="28"/>
      <c r="Y297" s="29"/>
      <c r="AA297" s="66"/>
      <c r="AB297" s="11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28"/>
      <c r="AD297" s="129"/>
      <c r="AE297" s="129"/>
      <c r="AF297" s="129"/>
      <c r="AG297" s="129"/>
      <c r="AH297" s="129"/>
      <c r="AI297" s="129"/>
      <c r="AJ297" s="130"/>
    </row>
    <row r="298" spans="11:36">
      <c r="K298" s="76"/>
      <c r="L298" s="48" t="e">
        <f t="shared" si="39"/>
        <v>#VALUE!</v>
      </c>
      <c r="M298" s="32" t="str">
        <f t="shared" si="42"/>
        <v/>
      </c>
      <c r="N298" s="63" t="e">
        <f t="shared" si="41"/>
        <v>#VALUE!</v>
      </c>
      <c r="O298" s="86"/>
      <c r="P298" s="223"/>
      <c r="Q298" s="224"/>
      <c r="R298" s="135"/>
      <c r="S298" s="139" cm="1">
        <f t="array" ref="S298">IF(P298="",0,IF(OR(O298=";",P298="EQU",P298="ORG"),0,HlpGetInstructionSize(P298,Q298,R298,$AC$12)))</f>
        <v>0</v>
      </c>
      <c r="V298" s="42" t="str">
        <f t="shared" si="40"/>
        <v/>
      </c>
      <c r="W298" s="16"/>
      <c r="X298" s="28"/>
      <c r="Y298" s="29"/>
      <c r="AA298" s="66"/>
      <c r="AB298" s="11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28"/>
      <c r="AD298" s="129"/>
      <c r="AE298" s="129"/>
      <c r="AF298" s="129"/>
      <c r="AG298" s="129"/>
      <c r="AH298" s="129"/>
      <c r="AI298" s="129"/>
      <c r="AJ298" s="130"/>
    </row>
    <row r="299" spans="11:36">
      <c r="K299" s="76"/>
      <c r="L299" s="48" t="e">
        <f t="shared" si="39"/>
        <v>#VALUE!</v>
      </c>
      <c r="M299" s="32" t="str">
        <f t="shared" si="42"/>
        <v/>
      </c>
      <c r="N299" s="63" t="e">
        <f t="shared" si="41"/>
        <v>#VALUE!</v>
      </c>
      <c r="O299" s="86"/>
      <c r="P299" s="223"/>
      <c r="Q299" s="224"/>
      <c r="R299" s="135"/>
      <c r="S299" s="139" cm="1">
        <f t="array" ref="S299">IF(P299="",0,IF(OR(O299=";",P299="EQU",P299="ORG"),0,HlpGetInstructionSize(P299,Q299,R299,$AC$12)))</f>
        <v>0</v>
      </c>
      <c r="V299" s="42" t="str">
        <f t="shared" si="40"/>
        <v/>
      </c>
      <c r="W299" s="16"/>
      <c r="X299" s="28"/>
      <c r="Y299" s="29"/>
      <c r="AA299" s="66"/>
      <c r="AB299" s="11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28"/>
      <c r="AD299" s="129"/>
      <c r="AE299" s="129"/>
      <c r="AF299" s="129"/>
      <c r="AG299" s="129"/>
      <c r="AH299" s="129"/>
      <c r="AI299" s="129"/>
      <c r="AJ299" s="130"/>
    </row>
    <row r="300" spans="11:36">
      <c r="K300" s="76"/>
      <c r="L300" s="48" t="e">
        <f t="shared" si="39"/>
        <v>#VALUE!</v>
      </c>
      <c r="M300" s="32" t="str">
        <f t="shared" si="42"/>
        <v/>
      </c>
      <c r="N300" s="63" t="e">
        <f t="shared" si="41"/>
        <v>#VALUE!</v>
      </c>
      <c r="O300" s="86"/>
      <c r="P300" s="223"/>
      <c r="Q300" s="224"/>
      <c r="R300" s="135"/>
      <c r="S300" s="139" cm="1">
        <f t="array" ref="S300">IF(P300="",0,IF(OR(O300=";",P300="EQU",P300="ORG"),0,HlpGetInstructionSize(P300,Q300,R300,$AC$12)))</f>
        <v>0</v>
      </c>
      <c r="V300" s="42" t="str">
        <f t="shared" si="40"/>
        <v/>
      </c>
      <c r="W300" s="16"/>
      <c r="X300" s="28"/>
      <c r="Y300" s="29"/>
      <c r="AA300" s="66"/>
      <c r="AB300" s="11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28"/>
      <c r="AD300" s="129"/>
      <c r="AE300" s="129"/>
      <c r="AF300" s="129"/>
      <c r="AG300" s="129"/>
      <c r="AH300" s="129"/>
      <c r="AI300" s="129"/>
      <c r="AJ300" s="130"/>
    </row>
    <row r="301" spans="11:36">
      <c r="K301" s="76"/>
      <c r="L301" s="48" t="e">
        <f t="shared" si="39"/>
        <v>#VALUE!</v>
      </c>
      <c r="M301" s="32" t="str">
        <f t="shared" si="42"/>
        <v/>
      </c>
      <c r="N301" s="63" t="e">
        <f t="shared" si="41"/>
        <v>#VALUE!</v>
      </c>
      <c r="O301" s="86"/>
      <c r="P301" s="223"/>
      <c r="Q301" s="224"/>
      <c r="R301" s="135"/>
      <c r="S301" s="139" cm="1">
        <f t="array" ref="S301">IF(P301="",0,IF(OR(O301=";",P301="EQU",P301="ORG"),0,HlpGetInstructionSize(P301,Q301,R301,$AC$12)))</f>
        <v>0</v>
      </c>
      <c r="V301" s="42" t="str">
        <f t="shared" si="40"/>
        <v/>
      </c>
      <c r="W301" s="16"/>
      <c r="X301" s="28"/>
      <c r="Y301" s="29"/>
      <c r="AA301" s="66"/>
      <c r="AB301" s="11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28"/>
      <c r="AD301" s="129"/>
      <c r="AE301" s="129"/>
      <c r="AF301" s="129"/>
      <c r="AG301" s="129"/>
      <c r="AH301" s="129"/>
      <c r="AI301" s="129"/>
      <c r="AJ301" s="130"/>
    </row>
    <row r="302" spans="11:36">
      <c r="K302" s="76"/>
      <c r="L302" s="48" t="e">
        <f t="shared" si="39"/>
        <v>#VALUE!</v>
      </c>
      <c r="M302" s="32" t="str">
        <f t="shared" si="42"/>
        <v/>
      </c>
      <c r="N302" s="63" t="e">
        <f t="shared" si="41"/>
        <v>#VALUE!</v>
      </c>
      <c r="O302" s="86"/>
      <c r="P302" s="223"/>
      <c r="Q302" s="224"/>
      <c r="R302" s="135"/>
      <c r="S302" s="139" cm="1">
        <f t="array" ref="S302">IF(P302="",0,IF(OR(O302=";",P302="EQU",P302="ORG"),0,HlpGetInstructionSize(P302,Q302,R302,$AC$12)))</f>
        <v>0</v>
      </c>
      <c r="V302" s="42" t="str">
        <f t="shared" si="40"/>
        <v/>
      </c>
      <c r="W302" s="16"/>
      <c r="X302" s="28"/>
      <c r="Y302" s="29"/>
      <c r="AA302" s="66"/>
      <c r="AB302" s="11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28"/>
      <c r="AD302" s="129"/>
      <c r="AE302" s="129"/>
      <c r="AF302" s="129"/>
      <c r="AG302" s="129"/>
      <c r="AH302" s="129"/>
      <c r="AI302" s="129"/>
      <c r="AJ302" s="130"/>
    </row>
    <row r="303" spans="11:36">
      <c r="K303" s="76"/>
      <c r="L303" s="48" t="e">
        <f t="shared" si="39"/>
        <v>#VALUE!</v>
      </c>
      <c r="M303" s="32" t="str">
        <f t="shared" si="42"/>
        <v/>
      </c>
      <c r="N303" s="63" t="e">
        <f t="shared" si="41"/>
        <v>#VALUE!</v>
      </c>
      <c r="O303" s="86"/>
      <c r="P303" s="223"/>
      <c r="Q303" s="224"/>
      <c r="R303" s="135"/>
      <c r="S303" s="139" cm="1">
        <f t="array" ref="S303">IF(P303="",0,IF(OR(O303=";",P303="EQU",P303="ORG"),0,HlpGetInstructionSize(P303,Q303,R303,$AC$12)))</f>
        <v>0</v>
      </c>
      <c r="V303" s="42" t="str">
        <f t="shared" si="40"/>
        <v/>
      </c>
      <c r="W303" s="16"/>
      <c r="X303" s="28"/>
      <c r="Y303" s="29"/>
      <c r="AA303" s="66"/>
      <c r="AB303" s="11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28"/>
      <c r="AD303" s="129"/>
      <c r="AE303" s="129"/>
      <c r="AF303" s="129"/>
      <c r="AG303" s="129"/>
      <c r="AH303" s="129"/>
      <c r="AI303" s="129"/>
      <c r="AJ303" s="130"/>
    </row>
    <row r="304" spans="11:36">
      <c r="K304" s="76"/>
      <c r="L304" s="48" t="e">
        <f t="shared" si="39"/>
        <v>#VALUE!</v>
      </c>
      <c r="M304" s="32" t="str">
        <f t="shared" si="42"/>
        <v/>
      </c>
      <c r="N304" s="63" t="e">
        <f t="shared" si="41"/>
        <v>#VALUE!</v>
      </c>
      <c r="O304" s="86"/>
      <c r="P304" s="223"/>
      <c r="Q304" s="224"/>
      <c r="R304" s="135"/>
      <c r="S304" s="139" cm="1">
        <f t="array" ref="S304">IF(P304="",0,IF(OR(O304=";",P304="EQU",P304="ORG"),0,HlpGetInstructionSize(P304,Q304,R304,$AC$12)))</f>
        <v>0</v>
      </c>
      <c r="V304" s="42" t="str">
        <f t="shared" si="40"/>
        <v/>
      </c>
      <c r="W304" s="16"/>
      <c r="X304" s="28"/>
      <c r="Y304" s="29"/>
      <c r="AA304" s="66"/>
      <c r="AB304" s="11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28"/>
      <c r="AD304" s="129"/>
      <c r="AE304" s="129"/>
      <c r="AF304" s="129"/>
      <c r="AG304" s="129"/>
      <c r="AH304" s="129"/>
      <c r="AI304" s="129"/>
      <c r="AJ304" s="130"/>
    </row>
    <row r="305" spans="11:36">
      <c r="K305" s="76"/>
      <c r="L305" s="48" t="e">
        <f t="shared" si="39"/>
        <v>#VALUE!</v>
      </c>
      <c r="M305" s="32" t="str">
        <f t="shared" si="42"/>
        <v/>
      </c>
      <c r="N305" s="63" t="e">
        <f t="shared" si="41"/>
        <v>#VALUE!</v>
      </c>
      <c r="O305" s="86"/>
      <c r="P305" s="223"/>
      <c r="Q305" s="224"/>
      <c r="R305" s="135"/>
      <c r="S305" s="139" cm="1">
        <f t="array" ref="S305">IF(P305="",0,IF(OR(O305=";",P305="EQU",P305="ORG"),0,HlpGetInstructionSize(P305,Q305,R305,$AC$12)))</f>
        <v>0</v>
      </c>
      <c r="V305" s="42" t="str">
        <f t="shared" si="40"/>
        <v/>
      </c>
      <c r="W305" s="16"/>
      <c r="X305" s="28"/>
      <c r="Y305" s="29"/>
      <c r="AA305" s="66"/>
      <c r="AB305" s="11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28"/>
      <c r="AD305" s="129"/>
      <c r="AE305" s="129"/>
      <c r="AF305" s="129"/>
      <c r="AG305" s="129"/>
      <c r="AH305" s="129"/>
      <c r="AI305" s="129"/>
      <c r="AJ305" s="130"/>
    </row>
    <row r="306" spans="11:36">
      <c r="K306" s="76"/>
      <c r="L306" s="48" t="e">
        <f t="shared" si="39"/>
        <v>#VALUE!</v>
      </c>
      <c r="M306" s="32" t="str">
        <f t="shared" si="42"/>
        <v/>
      </c>
      <c r="N306" s="63" t="e">
        <f t="shared" si="41"/>
        <v>#VALUE!</v>
      </c>
      <c r="O306" s="86"/>
      <c r="P306" s="223"/>
      <c r="Q306" s="224"/>
      <c r="R306" s="135"/>
      <c r="S306" s="139" cm="1">
        <f t="array" ref="S306">IF(P306="",0,IF(OR(O306=";",P306="EQU",P306="ORG"),0,HlpGetInstructionSize(P306,Q306,R306,$AC$12)))</f>
        <v>0</v>
      </c>
      <c r="V306" s="42" t="str">
        <f t="shared" si="40"/>
        <v/>
      </c>
      <c r="W306" s="16"/>
      <c r="X306" s="28"/>
      <c r="Y306" s="29"/>
      <c r="AA306" s="66"/>
      <c r="AB306" s="11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28"/>
      <c r="AD306" s="129"/>
      <c r="AE306" s="129"/>
      <c r="AF306" s="129"/>
      <c r="AG306" s="129"/>
      <c r="AH306" s="129"/>
      <c r="AI306" s="129"/>
      <c r="AJ306" s="130"/>
    </row>
    <row r="307" spans="11:36">
      <c r="K307" s="76"/>
      <c r="L307" s="48" t="e">
        <f t="shared" si="39"/>
        <v>#VALUE!</v>
      </c>
      <c r="M307" s="32" t="str">
        <f t="shared" si="42"/>
        <v/>
      </c>
      <c r="N307" s="63" t="e">
        <f t="shared" si="41"/>
        <v>#VALUE!</v>
      </c>
      <c r="O307" s="86"/>
      <c r="P307" s="223"/>
      <c r="Q307" s="224"/>
      <c r="R307" s="135"/>
      <c r="S307" s="139" cm="1">
        <f t="array" ref="S307">IF(P307="",0,IF(OR(O307=";",P307="EQU",P307="ORG"),0,HlpGetInstructionSize(P307,Q307,R307,$AC$12)))</f>
        <v>0</v>
      </c>
      <c r="V307" s="42" t="str">
        <f t="shared" si="40"/>
        <v/>
      </c>
      <c r="W307" s="16"/>
      <c r="X307" s="28"/>
      <c r="Y307" s="29"/>
      <c r="AA307" s="66"/>
      <c r="AB307" s="11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28"/>
      <c r="AD307" s="129"/>
      <c r="AE307" s="129"/>
      <c r="AF307" s="129"/>
      <c r="AG307" s="129"/>
      <c r="AH307" s="129"/>
      <c r="AI307" s="129"/>
      <c r="AJ307" s="130"/>
    </row>
    <row r="308" spans="11:36">
      <c r="K308" s="76"/>
      <c r="L308" s="48" t="e">
        <f t="shared" si="39"/>
        <v>#VALUE!</v>
      </c>
      <c r="M308" s="32" t="str">
        <f t="shared" si="42"/>
        <v/>
      </c>
      <c r="N308" s="63" t="e">
        <f t="shared" si="41"/>
        <v>#VALUE!</v>
      </c>
      <c r="O308" s="86"/>
      <c r="P308" s="223"/>
      <c r="Q308" s="224"/>
      <c r="R308" s="135"/>
      <c r="S308" s="139" cm="1">
        <f t="array" ref="S308">IF(P308="",0,IF(OR(O308=";",P308="EQU",P308="ORG"),0,HlpGetInstructionSize(P308,Q308,R308,$AC$12)))</f>
        <v>0</v>
      </c>
      <c r="V308" s="42" t="str">
        <f t="shared" si="40"/>
        <v/>
      </c>
      <c r="W308" s="16"/>
      <c r="X308" s="28"/>
      <c r="Y308" s="29"/>
      <c r="AA308" s="66"/>
      <c r="AB308" s="11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28"/>
      <c r="AD308" s="129"/>
      <c r="AE308" s="129"/>
      <c r="AF308" s="129"/>
      <c r="AG308" s="129"/>
      <c r="AH308" s="129"/>
      <c r="AI308" s="129"/>
      <c r="AJ308" s="130"/>
    </row>
    <row r="309" spans="11:36">
      <c r="K309" s="76"/>
      <c r="L309" s="48" t="e">
        <f t="shared" si="39"/>
        <v>#VALUE!</v>
      </c>
      <c r="M309" s="32" t="str">
        <f t="shared" si="42"/>
        <v/>
      </c>
      <c r="N309" s="63" t="e">
        <f t="shared" si="41"/>
        <v>#VALUE!</v>
      </c>
      <c r="O309" s="86"/>
      <c r="P309" s="223"/>
      <c r="Q309" s="224"/>
      <c r="R309" s="135"/>
      <c r="S309" s="139" cm="1">
        <f t="array" ref="S309">IF(P309="",0,IF(OR(O309=";",P309="EQU",P309="ORG"),0,HlpGetInstructionSize(P309,Q309,R309,$AC$12)))</f>
        <v>0</v>
      </c>
      <c r="V309" s="42" t="str">
        <f t="shared" si="40"/>
        <v/>
      </c>
      <c r="W309" s="16"/>
      <c r="X309" s="28"/>
      <c r="Y309" s="29"/>
      <c r="AA309" s="66"/>
      <c r="AB309" s="11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28"/>
      <c r="AD309" s="129"/>
      <c r="AE309" s="129"/>
      <c r="AF309" s="129"/>
      <c r="AG309" s="129"/>
      <c r="AH309" s="129"/>
      <c r="AI309" s="129"/>
      <c r="AJ309" s="130"/>
    </row>
    <row r="310" spans="11:36">
      <c r="K310" s="76"/>
      <c r="L310" s="48" t="e">
        <f t="shared" si="39"/>
        <v>#VALUE!</v>
      </c>
      <c r="M310" s="32" t="str">
        <f t="shared" si="42"/>
        <v/>
      </c>
      <c r="N310" s="63" t="e">
        <f t="shared" si="41"/>
        <v>#VALUE!</v>
      </c>
      <c r="O310" s="86"/>
      <c r="P310" s="223"/>
      <c r="Q310" s="224"/>
      <c r="R310" s="135"/>
      <c r="S310" s="139" cm="1">
        <f t="array" ref="S310">IF(P310="",0,IF(OR(O310=";",P310="EQU",P310="ORG"),0,HlpGetInstructionSize(P310,Q310,R310,$AC$12)))</f>
        <v>0</v>
      </c>
      <c r="V310" s="42" t="str">
        <f t="shared" si="40"/>
        <v/>
      </c>
      <c r="W310" s="16"/>
      <c r="X310" s="28"/>
      <c r="Y310" s="29"/>
      <c r="AA310" s="66"/>
      <c r="AB310" s="11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28"/>
      <c r="AD310" s="129"/>
      <c r="AE310" s="129"/>
      <c r="AF310" s="129"/>
      <c r="AG310" s="129"/>
      <c r="AH310" s="129"/>
      <c r="AI310" s="129"/>
      <c r="AJ310" s="130"/>
    </row>
    <row r="311" spans="11:36">
      <c r="K311" s="76"/>
      <c r="L311" s="48" t="e">
        <f t="shared" si="39"/>
        <v>#VALUE!</v>
      </c>
      <c r="M311" s="32" t="str">
        <f t="shared" si="42"/>
        <v/>
      </c>
      <c r="N311" s="63" t="e">
        <f t="shared" si="41"/>
        <v>#VALUE!</v>
      </c>
      <c r="O311" s="86"/>
      <c r="P311" s="223"/>
      <c r="Q311" s="224"/>
      <c r="R311" s="135"/>
      <c r="S311" s="139" cm="1">
        <f t="array" ref="S311">IF(P311="",0,IF(OR(O311=";",P311="EQU",P311="ORG"),0,HlpGetInstructionSize(P311,Q311,R311,$AC$12)))</f>
        <v>0</v>
      </c>
      <c r="V311" s="42" t="str">
        <f t="shared" si="40"/>
        <v/>
      </c>
      <c r="W311" s="16"/>
      <c r="X311" s="28"/>
      <c r="Y311" s="29"/>
      <c r="AA311" s="66"/>
      <c r="AB311" s="11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28"/>
      <c r="AD311" s="129"/>
      <c r="AE311" s="129"/>
      <c r="AF311" s="129"/>
      <c r="AG311" s="129"/>
      <c r="AH311" s="129"/>
      <c r="AI311" s="129"/>
      <c r="AJ311" s="130"/>
    </row>
    <row r="312" spans="11:36">
      <c r="K312" s="76"/>
      <c r="L312" s="48" t="e">
        <f t="shared" si="39"/>
        <v>#VALUE!</v>
      </c>
      <c r="M312" s="32" t="str">
        <f t="shared" si="42"/>
        <v/>
      </c>
      <c r="N312" s="63" t="e">
        <f t="shared" si="41"/>
        <v>#VALUE!</v>
      </c>
      <c r="O312" s="86"/>
      <c r="P312" s="223"/>
      <c r="Q312" s="224"/>
      <c r="R312" s="135"/>
      <c r="S312" s="139" cm="1">
        <f t="array" ref="S312">IF(P312="",0,IF(OR(O312=";",P312="EQU",P312="ORG"),0,HlpGetInstructionSize(P312,Q312,R312,$AC$12)))</f>
        <v>0</v>
      </c>
      <c r="V312" s="42" t="str">
        <f t="shared" si="40"/>
        <v/>
      </c>
      <c r="W312" s="16"/>
      <c r="X312" s="28"/>
      <c r="Y312" s="29"/>
      <c r="AA312" s="66"/>
      <c r="AB312" s="11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28"/>
      <c r="AD312" s="129"/>
      <c r="AE312" s="129"/>
      <c r="AF312" s="129"/>
      <c r="AG312" s="129"/>
      <c r="AH312" s="129"/>
      <c r="AI312" s="129"/>
      <c r="AJ312" s="130"/>
    </row>
    <row r="313" spans="11:36">
      <c r="K313" s="76"/>
      <c r="L313" s="48" t="e">
        <f t="shared" si="39"/>
        <v>#VALUE!</v>
      </c>
      <c r="M313" s="32" t="str">
        <f t="shared" si="42"/>
        <v/>
      </c>
      <c r="N313" s="63" t="e">
        <f t="shared" si="41"/>
        <v>#VALUE!</v>
      </c>
      <c r="O313" s="86"/>
      <c r="P313" s="223"/>
      <c r="Q313" s="224"/>
      <c r="R313" s="135"/>
      <c r="S313" s="139" cm="1">
        <f t="array" ref="S313">IF(P313="",0,IF(OR(O313=";",P313="EQU",P313="ORG"),0,HlpGetInstructionSize(P313,Q313,R313,$AC$12)))</f>
        <v>0</v>
      </c>
      <c r="V313" s="42" t="str">
        <f t="shared" si="40"/>
        <v/>
      </c>
      <c r="W313" s="16"/>
      <c r="X313" s="28"/>
      <c r="Y313" s="29"/>
      <c r="AA313" s="66"/>
      <c r="AB313" s="11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28"/>
      <c r="AD313" s="129"/>
      <c r="AE313" s="129"/>
      <c r="AF313" s="129"/>
      <c r="AG313" s="129"/>
      <c r="AH313" s="129"/>
      <c r="AI313" s="129"/>
      <c r="AJ313" s="130"/>
    </row>
    <row r="314" spans="11:36">
      <c r="K314" s="76"/>
      <c r="L314" s="48" t="e">
        <f t="shared" si="39"/>
        <v>#VALUE!</v>
      </c>
      <c r="M314" s="32" t="str">
        <f t="shared" si="42"/>
        <v/>
      </c>
      <c r="N314" s="63" t="e">
        <f t="shared" si="41"/>
        <v>#VALUE!</v>
      </c>
      <c r="O314" s="86"/>
      <c r="P314" s="223"/>
      <c r="Q314" s="224"/>
      <c r="R314" s="135"/>
      <c r="S314" s="139" cm="1">
        <f t="array" ref="S314">IF(P314="",0,IF(OR(O314=";",P314="EQU",P314="ORG"),0,HlpGetInstructionSize(P314,Q314,R314,$AC$12)))</f>
        <v>0</v>
      </c>
      <c r="V314" s="42" t="str">
        <f t="shared" si="40"/>
        <v/>
      </c>
      <c r="W314" s="16"/>
      <c r="X314" s="28"/>
      <c r="Y314" s="29"/>
      <c r="AA314" s="66"/>
      <c r="AB314" s="11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28"/>
      <c r="AD314" s="129"/>
      <c r="AE314" s="129"/>
      <c r="AF314" s="129"/>
      <c r="AG314" s="129"/>
      <c r="AH314" s="129"/>
      <c r="AI314" s="129"/>
      <c r="AJ314" s="130"/>
    </row>
    <row r="315" spans="11:36">
      <c r="K315" s="76"/>
      <c r="L315" s="48" t="e">
        <f t="shared" si="39"/>
        <v>#VALUE!</v>
      </c>
      <c r="M315" s="32" t="str">
        <f t="shared" si="42"/>
        <v/>
      </c>
      <c r="N315" s="63" t="e">
        <f t="shared" si="41"/>
        <v>#VALUE!</v>
      </c>
      <c r="O315" s="86"/>
      <c r="P315" s="223"/>
      <c r="Q315" s="224"/>
      <c r="R315" s="135"/>
      <c r="S315" s="139" cm="1">
        <f t="array" ref="S315">IF(P315="",0,IF(OR(O315=";",P315="EQU",P315="ORG"),0,HlpGetInstructionSize(P315,Q315,R315,$AC$12)))</f>
        <v>0</v>
      </c>
      <c r="V315" s="42" t="str">
        <f t="shared" si="40"/>
        <v/>
      </c>
      <c r="W315" s="16"/>
      <c r="X315" s="28"/>
      <c r="Y315" s="29"/>
      <c r="AA315" s="66"/>
      <c r="AB315" s="11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28"/>
      <c r="AD315" s="129"/>
      <c r="AE315" s="129"/>
      <c r="AF315" s="129"/>
      <c r="AG315" s="129"/>
      <c r="AH315" s="129"/>
      <c r="AI315" s="129"/>
      <c r="AJ315" s="130"/>
    </row>
    <row r="316" spans="11:36">
      <c r="K316" s="76"/>
      <c r="L316" s="48" t="e">
        <f t="shared" si="39"/>
        <v>#VALUE!</v>
      </c>
      <c r="M316" s="32" t="str">
        <f t="shared" si="42"/>
        <v/>
      </c>
      <c r="N316" s="63" t="e">
        <f t="shared" si="41"/>
        <v>#VALUE!</v>
      </c>
      <c r="O316" s="86"/>
      <c r="P316" s="223"/>
      <c r="Q316" s="224"/>
      <c r="R316" s="135"/>
      <c r="S316" s="139" cm="1">
        <f t="array" ref="S316">IF(P316="",0,IF(OR(O316=";",P316="EQU",P316="ORG"),0,HlpGetInstructionSize(P316,Q316,R316,$AC$12)))</f>
        <v>0</v>
      </c>
      <c r="V316" s="42" t="str">
        <f t="shared" si="40"/>
        <v/>
      </c>
      <c r="W316" s="16"/>
      <c r="X316" s="28"/>
      <c r="Y316" s="29"/>
      <c r="AA316" s="66"/>
      <c r="AB316" s="11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28"/>
      <c r="AD316" s="129"/>
      <c r="AE316" s="129"/>
      <c r="AF316" s="129"/>
      <c r="AG316" s="129"/>
      <c r="AH316" s="129"/>
      <c r="AI316" s="129"/>
      <c r="AJ316" s="130"/>
    </row>
    <row r="317" spans="11:36">
      <c r="K317" s="76"/>
      <c r="L317" s="48" t="e">
        <f t="shared" si="39"/>
        <v>#VALUE!</v>
      </c>
      <c r="M317" s="32" t="str">
        <f t="shared" si="42"/>
        <v/>
      </c>
      <c r="N317" s="63" t="e">
        <f t="shared" si="41"/>
        <v>#VALUE!</v>
      </c>
      <c r="O317" s="86"/>
      <c r="P317" s="223"/>
      <c r="Q317" s="224"/>
      <c r="R317" s="135"/>
      <c r="S317" s="139" cm="1">
        <f t="array" ref="S317">IF(P317="",0,IF(OR(O317=";",P317="EQU",P317="ORG"),0,HlpGetInstructionSize(P317,Q317,R317,$AC$12)))</f>
        <v>0</v>
      </c>
      <c r="V317" s="42" t="str">
        <f t="shared" si="40"/>
        <v/>
      </c>
      <c r="W317" s="16"/>
      <c r="X317" s="28"/>
      <c r="Y317" s="29"/>
      <c r="AA317" s="66"/>
      <c r="AB317" s="11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28"/>
      <c r="AD317" s="129"/>
      <c r="AE317" s="129"/>
      <c r="AF317" s="129"/>
      <c r="AG317" s="129"/>
      <c r="AH317" s="129"/>
      <c r="AI317" s="129"/>
      <c r="AJ317" s="130"/>
    </row>
    <row r="318" spans="11:36">
      <c r="K318" s="76"/>
      <c r="L318" s="48" t="e">
        <f t="shared" si="39"/>
        <v>#VALUE!</v>
      </c>
      <c r="M318" s="32" t="str">
        <f t="shared" si="42"/>
        <v/>
      </c>
      <c r="N318" s="63" t="e">
        <f t="shared" si="41"/>
        <v>#VALUE!</v>
      </c>
      <c r="O318" s="86"/>
      <c r="P318" s="223"/>
      <c r="Q318" s="224"/>
      <c r="R318" s="135"/>
      <c r="S318" s="139" cm="1">
        <f t="array" ref="S318">IF(P318="",0,IF(OR(O318=";",P318="EQU",P318="ORG"),0,HlpGetInstructionSize(P318,Q318,R318,$AC$12)))</f>
        <v>0</v>
      </c>
      <c r="V318" s="42" t="str">
        <f t="shared" si="40"/>
        <v/>
      </c>
      <c r="W318" s="16"/>
      <c r="X318" s="28"/>
      <c r="Y318" s="29"/>
      <c r="AA318" s="66"/>
      <c r="AB318" s="11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28"/>
      <c r="AD318" s="129"/>
      <c r="AE318" s="129"/>
      <c r="AF318" s="129"/>
      <c r="AG318" s="129"/>
      <c r="AH318" s="129"/>
      <c r="AI318" s="129"/>
      <c r="AJ318" s="130"/>
    </row>
    <row r="319" spans="11:36">
      <c r="K319" s="76"/>
      <c r="L319" s="48" t="e">
        <f t="shared" si="39"/>
        <v>#VALUE!</v>
      </c>
      <c r="M319" s="32" t="str">
        <f t="shared" si="42"/>
        <v/>
      </c>
      <c r="N319" s="63" t="e">
        <f t="shared" si="41"/>
        <v>#VALUE!</v>
      </c>
      <c r="O319" s="86"/>
      <c r="P319" s="223"/>
      <c r="Q319" s="224"/>
      <c r="R319" s="135"/>
      <c r="S319" s="139" cm="1">
        <f t="array" ref="S319">IF(P319="",0,IF(OR(O319=";",P319="EQU",P319="ORG"),0,HlpGetInstructionSize(P319,Q319,R319,$AC$12)))</f>
        <v>0</v>
      </c>
      <c r="V319" s="42" t="str">
        <f t="shared" si="40"/>
        <v/>
      </c>
      <c r="W319" s="16"/>
      <c r="X319" s="28"/>
      <c r="Y319" s="29"/>
      <c r="AA319" s="66"/>
      <c r="AB319" s="11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28"/>
      <c r="AD319" s="129"/>
      <c r="AE319" s="129"/>
      <c r="AF319" s="129"/>
      <c r="AG319" s="129"/>
      <c r="AH319" s="129"/>
      <c r="AI319" s="129"/>
      <c r="AJ319" s="130"/>
    </row>
    <row r="320" spans="11:36">
      <c r="K320" s="76"/>
      <c r="L320" s="48" t="e">
        <f t="shared" si="39"/>
        <v>#VALUE!</v>
      </c>
      <c r="M320" s="32" t="str">
        <f t="shared" si="42"/>
        <v/>
      </c>
      <c r="N320" s="63" t="e">
        <f t="shared" si="41"/>
        <v>#VALUE!</v>
      </c>
      <c r="O320" s="86"/>
      <c r="P320" s="223"/>
      <c r="Q320" s="224"/>
      <c r="R320" s="135"/>
      <c r="S320" s="139" cm="1">
        <f t="array" ref="S320">IF(P320="",0,IF(OR(O320=";",P320="EQU",P320="ORG"),0,HlpGetInstructionSize(P320,Q320,R320,$AC$12)))</f>
        <v>0</v>
      </c>
      <c r="V320" s="42" t="str">
        <f t="shared" si="40"/>
        <v/>
      </c>
      <c r="W320" s="16"/>
      <c r="X320" s="28"/>
      <c r="Y320" s="29"/>
      <c r="AA320" s="66"/>
      <c r="AB320" s="11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28"/>
      <c r="AD320" s="129"/>
      <c r="AE320" s="129"/>
      <c r="AF320" s="129"/>
      <c r="AG320" s="129"/>
      <c r="AH320" s="129"/>
      <c r="AI320" s="129"/>
      <c r="AJ320" s="130"/>
    </row>
    <row r="321" spans="11:36">
      <c r="K321" s="76"/>
      <c r="L321" s="48" t="e">
        <f t="shared" si="39"/>
        <v>#VALUE!</v>
      </c>
      <c r="M321" s="32" t="str">
        <f t="shared" si="42"/>
        <v/>
      </c>
      <c r="N321" s="63" t="e">
        <f t="shared" si="41"/>
        <v>#VALUE!</v>
      </c>
      <c r="O321" s="86"/>
      <c r="P321" s="223"/>
      <c r="Q321" s="224"/>
      <c r="R321" s="135"/>
      <c r="S321" s="139" cm="1">
        <f t="array" ref="S321">IF(P321="",0,IF(OR(O321=";",P321="EQU",P321="ORG"),0,HlpGetInstructionSize(P321,Q321,R321,$AC$12)))</f>
        <v>0</v>
      </c>
      <c r="V321" s="42" t="str">
        <f t="shared" si="40"/>
        <v/>
      </c>
      <c r="W321" s="16"/>
      <c r="X321" s="28"/>
      <c r="Y321" s="29"/>
      <c r="AA321" s="66"/>
      <c r="AB321" s="11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28"/>
      <c r="AD321" s="129"/>
      <c r="AE321" s="129"/>
      <c r="AF321" s="129"/>
      <c r="AG321" s="129"/>
      <c r="AH321" s="129"/>
      <c r="AI321" s="129"/>
      <c r="AJ321" s="130"/>
    </row>
    <row r="322" spans="11:36">
      <c r="K322" s="76"/>
      <c r="L322" s="48" t="e">
        <f t="shared" si="39"/>
        <v>#VALUE!</v>
      </c>
      <c r="M322" s="32" t="str">
        <f t="shared" si="42"/>
        <v/>
      </c>
      <c r="N322" s="63" t="e">
        <f t="shared" si="41"/>
        <v>#VALUE!</v>
      </c>
      <c r="O322" s="86"/>
      <c r="P322" s="223"/>
      <c r="Q322" s="224"/>
      <c r="R322" s="135"/>
      <c r="S322" s="139" cm="1">
        <f t="array" ref="S322">IF(P322="",0,IF(OR(O322=";",P322="EQU",P322="ORG"),0,HlpGetInstructionSize(P322,Q322,R322,$AC$12)))</f>
        <v>0</v>
      </c>
      <c r="V322" s="42" t="str">
        <f t="shared" si="40"/>
        <v/>
      </c>
      <c r="W322" s="16"/>
      <c r="X322" s="28"/>
      <c r="Y322" s="29"/>
      <c r="AA322" s="66"/>
      <c r="AB322" s="11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28"/>
      <c r="AD322" s="129"/>
      <c r="AE322" s="129"/>
      <c r="AF322" s="129"/>
      <c r="AG322" s="129"/>
      <c r="AH322" s="129"/>
      <c r="AI322" s="129"/>
      <c r="AJ322" s="130"/>
    </row>
    <row r="323" spans="11:36">
      <c r="K323" s="76"/>
      <c r="L323" s="48" t="e">
        <f t="shared" si="39"/>
        <v>#VALUE!</v>
      </c>
      <c r="M323" s="32" t="str">
        <f t="shared" si="42"/>
        <v/>
      </c>
      <c r="N323" s="63" t="e">
        <f t="shared" si="41"/>
        <v>#VALUE!</v>
      </c>
      <c r="O323" s="86"/>
      <c r="P323" s="223"/>
      <c r="Q323" s="224"/>
      <c r="R323" s="135"/>
      <c r="S323" s="139" cm="1">
        <f t="array" ref="S323">IF(P323="",0,IF(OR(O323=";",P323="EQU",P323="ORG"),0,HlpGetInstructionSize(P323,Q323,R323,$AC$12)))</f>
        <v>0</v>
      </c>
      <c r="V323" s="42" t="str">
        <f t="shared" si="40"/>
        <v/>
      </c>
      <c r="W323" s="16"/>
      <c r="X323" s="28"/>
      <c r="Y323" s="29"/>
      <c r="AA323" s="66"/>
      <c r="AB323" s="11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28"/>
      <c r="AD323" s="129"/>
      <c r="AE323" s="129"/>
      <c r="AF323" s="129"/>
      <c r="AG323" s="129"/>
      <c r="AH323" s="129"/>
      <c r="AI323" s="129"/>
      <c r="AJ323" s="130"/>
    </row>
    <row r="324" spans="11:36">
      <c r="K324" s="76"/>
      <c r="L324" s="48" t="e">
        <f t="shared" si="39"/>
        <v>#VALUE!</v>
      </c>
      <c r="M324" s="32" t="str">
        <f t="shared" si="42"/>
        <v/>
      </c>
      <c r="N324" s="63" t="e">
        <f t="shared" si="41"/>
        <v>#VALUE!</v>
      </c>
      <c r="O324" s="86"/>
      <c r="P324" s="223"/>
      <c r="Q324" s="224"/>
      <c r="R324" s="135"/>
      <c r="S324" s="139" cm="1">
        <f t="array" ref="S324">IF(P324="",0,IF(OR(O324=";",P324="EQU",P324="ORG"),0,HlpGetInstructionSize(P324,Q324,R324,$AC$12)))</f>
        <v>0</v>
      </c>
      <c r="V324" s="42" t="str">
        <f t="shared" si="40"/>
        <v/>
      </c>
      <c r="W324" s="16"/>
      <c r="X324" s="28"/>
      <c r="Y324" s="29"/>
      <c r="AA324" s="66"/>
      <c r="AB324" s="11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28"/>
      <c r="AD324" s="129"/>
      <c r="AE324" s="129"/>
      <c r="AF324" s="129"/>
      <c r="AG324" s="129"/>
      <c r="AH324" s="129"/>
      <c r="AI324" s="129"/>
      <c r="AJ324" s="130"/>
    </row>
    <row r="325" spans="11:36">
      <c r="K325" s="76"/>
      <c r="L325" s="48" t="e">
        <f t="shared" si="39"/>
        <v>#VALUE!</v>
      </c>
      <c r="M325" s="32" t="str">
        <f t="shared" si="42"/>
        <v/>
      </c>
      <c r="N325" s="63" t="e">
        <f t="shared" si="41"/>
        <v>#VALUE!</v>
      </c>
      <c r="O325" s="86"/>
      <c r="P325" s="223"/>
      <c r="Q325" s="224"/>
      <c r="R325" s="135"/>
      <c r="S325" s="139" cm="1">
        <f t="array" ref="S325">IF(P325="",0,IF(OR(O325=";",P325="EQU",P325="ORG"),0,HlpGetInstructionSize(P325,Q325,R325,$AC$12)))</f>
        <v>0</v>
      </c>
      <c r="V325" s="42" t="str">
        <f t="shared" si="40"/>
        <v/>
      </c>
      <c r="W325" s="16"/>
      <c r="X325" s="28"/>
      <c r="Y325" s="29"/>
      <c r="AA325" s="66"/>
      <c r="AB325" s="11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28"/>
      <c r="AD325" s="129"/>
      <c r="AE325" s="129"/>
      <c r="AF325" s="129"/>
      <c r="AG325" s="129"/>
      <c r="AH325" s="129"/>
      <c r="AI325" s="129"/>
      <c r="AJ325" s="130"/>
    </row>
    <row r="326" spans="11:36">
      <c r="K326" s="76"/>
      <c r="L326" s="48" t="e">
        <f t="shared" si="39"/>
        <v>#VALUE!</v>
      </c>
      <c r="M326" s="32" t="str">
        <f t="shared" si="42"/>
        <v/>
      </c>
      <c r="N326" s="63" t="e">
        <f t="shared" si="41"/>
        <v>#VALUE!</v>
      </c>
      <c r="O326" s="86"/>
      <c r="P326" s="223"/>
      <c r="Q326" s="224"/>
      <c r="R326" s="135"/>
      <c r="S326" s="139" cm="1">
        <f t="array" ref="S326">IF(P326="",0,IF(OR(O326=";",P326="EQU",P326="ORG"),0,HlpGetInstructionSize(P326,Q326,R326,$AC$12)))</f>
        <v>0</v>
      </c>
      <c r="V326" s="42" t="str">
        <f t="shared" si="40"/>
        <v/>
      </c>
      <c r="W326" s="16"/>
      <c r="X326" s="28"/>
      <c r="Y326" s="29"/>
      <c r="AA326" s="66"/>
      <c r="AB326" s="11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28"/>
      <c r="AD326" s="129"/>
      <c r="AE326" s="129"/>
      <c r="AF326" s="129"/>
      <c r="AG326" s="129"/>
      <c r="AH326" s="129"/>
      <c r="AI326" s="129"/>
      <c r="AJ326" s="130"/>
    </row>
    <row r="327" spans="11:36">
      <c r="K327" s="76"/>
      <c r="L327" s="48" t="e">
        <f t="shared" si="39"/>
        <v>#VALUE!</v>
      </c>
      <c r="M327" s="32" t="str">
        <f t="shared" si="42"/>
        <v/>
      </c>
      <c r="N327" s="63" t="e">
        <f t="shared" si="41"/>
        <v>#VALUE!</v>
      </c>
      <c r="O327" s="86"/>
      <c r="P327" s="223"/>
      <c r="Q327" s="224"/>
      <c r="R327" s="135"/>
      <c r="S327" s="139" cm="1">
        <f t="array" ref="S327">IF(P327="",0,IF(OR(O327=";",P327="EQU",P327="ORG"),0,HlpGetInstructionSize(P327,Q327,R327,$AC$12)))</f>
        <v>0</v>
      </c>
      <c r="V327" s="42" t="str">
        <f t="shared" si="40"/>
        <v/>
      </c>
      <c r="W327" s="16"/>
      <c r="X327" s="28"/>
      <c r="Y327" s="29"/>
      <c r="AA327" s="66"/>
      <c r="AB327" s="11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28"/>
      <c r="AD327" s="129"/>
      <c r="AE327" s="129"/>
      <c r="AF327" s="129"/>
      <c r="AG327" s="129"/>
      <c r="AH327" s="129"/>
      <c r="AI327" s="129"/>
      <c r="AJ327" s="130"/>
    </row>
    <row r="328" spans="11:36">
      <c r="K328" s="76"/>
      <c r="L328" s="48" t="e">
        <f t="shared" si="39"/>
        <v>#VALUE!</v>
      </c>
      <c r="M328" s="32" t="str">
        <f t="shared" si="42"/>
        <v/>
      </c>
      <c r="N328" s="63" t="e">
        <f t="shared" si="41"/>
        <v>#VALUE!</v>
      </c>
      <c r="O328" s="86"/>
      <c r="P328" s="223"/>
      <c r="Q328" s="224"/>
      <c r="R328" s="135"/>
      <c r="S328" s="139" cm="1">
        <f t="array" ref="S328">IF(P328="",0,IF(OR(O328=";",P328="EQU",P328="ORG"),0,HlpGetInstructionSize(P328,Q328,R328,$AC$12)))</f>
        <v>0</v>
      </c>
      <c r="V328" s="42" t="str">
        <f t="shared" si="40"/>
        <v/>
      </c>
      <c r="W328" s="16"/>
      <c r="X328" s="28"/>
      <c r="Y328" s="29"/>
      <c r="AA328" s="66"/>
      <c r="AB328" s="11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28"/>
      <c r="AD328" s="129"/>
      <c r="AE328" s="129"/>
      <c r="AF328" s="129"/>
      <c r="AG328" s="129"/>
      <c r="AH328" s="129"/>
      <c r="AI328" s="129"/>
      <c r="AJ328" s="130"/>
    </row>
    <row r="329" spans="11:36">
      <c r="K329" s="76"/>
      <c r="L329" s="48" t="e">
        <f t="shared" ref="L329:L392" si="43">IF(UPPER(P329)="EQU","E",IF(P329="DB","D",IF(O329&lt;&gt;"","L",IF(N329="","F",""))))</f>
        <v>#VALUE!</v>
      </c>
      <c r="M329" s="32" t="str">
        <f t="shared" si="42"/>
        <v/>
      </c>
      <c r="N329" s="63" t="e">
        <f t="shared" si="41"/>
        <v>#VALUE!</v>
      </c>
      <c r="O329" s="86"/>
      <c r="P329" s="223"/>
      <c r="Q329" s="224"/>
      <c r="R329" s="135"/>
      <c r="S329" s="139" cm="1">
        <f t="array" ref="S329">IF(P329="",0,IF(OR(O329=";",P329="EQU",P329="ORG"),0,HlpGetInstructionSize(P329,Q329,R329,$AC$12)))</f>
        <v>0</v>
      </c>
      <c r="V329" s="42" t="str">
        <f t="shared" ref="V329:V392" si="44">IF(W329&gt;0,RIGHT("0000"&amp;DEC2HEX(W329),4),"")</f>
        <v/>
      </c>
      <c r="W329" s="16"/>
      <c r="X329" s="28"/>
      <c r="Y329" s="29"/>
      <c r="AA329" s="66"/>
      <c r="AB329" s="11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28"/>
      <c r="AD329" s="129"/>
      <c r="AE329" s="129"/>
      <c r="AF329" s="129"/>
      <c r="AG329" s="129"/>
      <c r="AH329" s="129"/>
      <c r="AI329" s="129"/>
      <c r="AJ329" s="130"/>
    </row>
    <row r="330" spans="11:36">
      <c r="K330" s="76"/>
      <c r="L330" s="48" t="e">
        <f t="shared" si="43"/>
        <v>#VALUE!</v>
      </c>
      <c r="M330" s="32" t="str">
        <f t="shared" si="42"/>
        <v/>
      </c>
      <c r="N330" s="63" t="e">
        <f t="shared" ref="N330:N393" si="45">N329+S329</f>
        <v>#VALUE!</v>
      </c>
      <c r="O330" s="86"/>
      <c r="P330" s="223"/>
      <c r="Q330" s="224"/>
      <c r="R330" s="135"/>
      <c r="S330" s="139" cm="1">
        <f t="array" ref="S330">IF(P330="",0,IF(OR(O330=";",P330="EQU",P330="ORG"),0,HlpGetInstructionSize(P330,Q330,R330,$AC$12)))</f>
        <v>0</v>
      </c>
      <c r="V330" s="42" t="str">
        <f t="shared" si="44"/>
        <v/>
      </c>
      <c r="W330" s="16"/>
      <c r="X330" s="28"/>
      <c r="Y330" s="29"/>
      <c r="AA330" s="66"/>
      <c r="AB330" s="11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28"/>
      <c r="AD330" s="129"/>
      <c r="AE330" s="129"/>
      <c r="AF330" s="129"/>
      <c r="AG330" s="129"/>
      <c r="AH330" s="129"/>
      <c r="AI330" s="129"/>
      <c r="AJ330" s="130"/>
    </row>
    <row r="331" spans="11:36">
      <c r="K331" s="76"/>
      <c r="L331" s="48" t="e">
        <f t="shared" si="43"/>
        <v>#VALUE!</v>
      </c>
      <c r="M331" s="32" t="str">
        <f t="shared" si="42"/>
        <v/>
      </c>
      <c r="N331" s="63" t="e">
        <f t="shared" si="45"/>
        <v>#VALUE!</v>
      </c>
      <c r="O331" s="86"/>
      <c r="P331" s="223"/>
      <c r="Q331" s="224"/>
      <c r="R331" s="135"/>
      <c r="S331" s="139" cm="1">
        <f t="array" ref="S331">IF(P331="",0,IF(OR(O331=";",P331="EQU",P331="ORG"),0,HlpGetInstructionSize(P331,Q331,R331,$AC$12)))</f>
        <v>0</v>
      </c>
      <c r="V331" s="42" t="str">
        <f t="shared" si="44"/>
        <v/>
      </c>
      <c r="W331" s="16"/>
      <c r="X331" s="28"/>
      <c r="Y331" s="29"/>
      <c r="AA331" s="66"/>
      <c r="AB331" s="11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28"/>
      <c r="AD331" s="129"/>
      <c r="AE331" s="129"/>
      <c r="AF331" s="129"/>
      <c r="AG331" s="129"/>
      <c r="AH331" s="129"/>
      <c r="AI331" s="129"/>
      <c r="AJ331" s="130"/>
    </row>
    <row r="332" spans="11:36">
      <c r="K332" s="76"/>
      <c r="L332" s="48" t="e">
        <f t="shared" si="43"/>
        <v>#VALUE!</v>
      </c>
      <c r="M332" s="32" t="str">
        <f t="shared" si="42"/>
        <v/>
      </c>
      <c r="N332" s="63" t="e">
        <f t="shared" si="45"/>
        <v>#VALUE!</v>
      </c>
      <c r="O332" s="86"/>
      <c r="P332" s="223"/>
      <c r="Q332" s="224"/>
      <c r="R332" s="135"/>
      <c r="S332" s="139" cm="1">
        <f t="array" ref="S332">IF(P332="",0,IF(OR(O332=";",P332="EQU",P332="ORG"),0,HlpGetInstructionSize(P332,Q332,R332,$AC$12)))</f>
        <v>0</v>
      </c>
      <c r="V332" s="42" t="str">
        <f t="shared" si="44"/>
        <v/>
      </c>
      <c r="W332" s="16"/>
      <c r="X332" s="28"/>
      <c r="Y332" s="29"/>
      <c r="AA332" s="66"/>
      <c r="AB332" s="11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28"/>
      <c r="AD332" s="129"/>
      <c r="AE332" s="129"/>
      <c r="AF332" s="129"/>
      <c r="AG332" s="129"/>
      <c r="AH332" s="129"/>
      <c r="AI332" s="129"/>
      <c r="AJ332" s="130"/>
    </row>
    <row r="333" spans="11:36">
      <c r="K333" s="76"/>
      <c r="L333" s="48" t="e">
        <f t="shared" si="43"/>
        <v>#VALUE!</v>
      </c>
      <c r="M333" s="32" t="str">
        <f t="shared" si="42"/>
        <v/>
      </c>
      <c r="N333" s="63" t="e">
        <f t="shared" si="45"/>
        <v>#VALUE!</v>
      </c>
      <c r="O333" s="86"/>
      <c r="P333" s="223"/>
      <c r="Q333" s="224"/>
      <c r="R333" s="135"/>
      <c r="S333" s="139" cm="1">
        <f t="array" ref="S333">IF(P333="",0,IF(OR(O333=";",P333="EQU",P333="ORG"),0,HlpGetInstructionSize(P333,Q333,R333,$AC$12)))</f>
        <v>0</v>
      </c>
      <c r="V333" s="42" t="str">
        <f t="shared" si="44"/>
        <v/>
      </c>
      <c r="W333" s="16"/>
      <c r="X333" s="28"/>
      <c r="Y333" s="29"/>
      <c r="AA333" s="66"/>
      <c r="AB333" s="11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28"/>
      <c r="AD333" s="129"/>
      <c r="AE333" s="129"/>
      <c r="AF333" s="129"/>
      <c r="AG333" s="129"/>
      <c r="AH333" s="129"/>
      <c r="AI333" s="129"/>
      <c r="AJ333" s="130"/>
    </row>
    <row r="334" spans="11:36">
      <c r="K334" s="76"/>
      <c r="L334" s="48" t="e">
        <f t="shared" si="43"/>
        <v>#VALUE!</v>
      </c>
      <c r="M334" s="32" t="str">
        <f t="shared" si="42"/>
        <v/>
      </c>
      <c r="N334" s="63" t="e">
        <f t="shared" si="45"/>
        <v>#VALUE!</v>
      </c>
      <c r="O334" s="86"/>
      <c r="P334" s="223"/>
      <c r="Q334" s="224"/>
      <c r="R334" s="135"/>
      <c r="S334" s="139" cm="1">
        <f t="array" ref="S334">IF(P334="",0,IF(OR(O334=";",P334="EQU",P334="ORG"),0,HlpGetInstructionSize(P334,Q334,R334,$AC$12)))</f>
        <v>0</v>
      </c>
      <c r="V334" s="42" t="str">
        <f t="shared" si="44"/>
        <v/>
      </c>
      <c r="W334" s="16"/>
      <c r="X334" s="28"/>
      <c r="Y334" s="29"/>
      <c r="AA334" s="66"/>
      <c r="AB334" s="11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28"/>
      <c r="AD334" s="129"/>
      <c r="AE334" s="129"/>
      <c r="AF334" s="129"/>
      <c r="AG334" s="129"/>
      <c r="AH334" s="129"/>
      <c r="AI334" s="129"/>
      <c r="AJ334" s="130"/>
    </row>
    <row r="335" spans="11:36">
      <c r="K335" s="76"/>
      <c r="L335" s="48" t="e">
        <f t="shared" si="43"/>
        <v>#VALUE!</v>
      </c>
      <c r="M335" s="32" t="str">
        <f t="shared" si="42"/>
        <v/>
      </c>
      <c r="N335" s="63" t="e">
        <f t="shared" si="45"/>
        <v>#VALUE!</v>
      </c>
      <c r="O335" s="86"/>
      <c r="P335" s="223"/>
      <c r="Q335" s="224"/>
      <c r="R335" s="135"/>
      <c r="S335" s="139" cm="1">
        <f t="array" ref="S335">IF(P335="",0,IF(OR(O335=";",P335="EQU",P335="ORG"),0,HlpGetInstructionSize(P335,Q335,R335,$AC$12)))</f>
        <v>0</v>
      </c>
      <c r="V335" s="42" t="str">
        <f t="shared" si="44"/>
        <v/>
      </c>
      <c r="W335" s="16"/>
      <c r="X335" s="28"/>
      <c r="Y335" s="29"/>
      <c r="AA335" s="66"/>
      <c r="AB335" s="11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28"/>
      <c r="AD335" s="129"/>
      <c r="AE335" s="129"/>
      <c r="AF335" s="129"/>
      <c r="AG335" s="129"/>
      <c r="AH335" s="129"/>
      <c r="AI335" s="129"/>
      <c r="AJ335" s="130"/>
    </row>
    <row r="336" spans="11:36">
      <c r="K336" s="76"/>
      <c r="L336" s="48" t="e">
        <f t="shared" si="43"/>
        <v>#VALUE!</v>
      </c>
      <c r="M336" s="32" t="str">
        <f t="shared" si="42"/>
        <v/>
      </c>
      <c r="N336" s="63" t="e">
        <f t="shared" si="45"/>
        <v>#VALUE!</v>
      </c>
      <c r="O336" s="86"/>
      <c r="P336" s="223"/>
      <c r="Q336" s="224"/>
      <c r="R336" s="135"/>
      <c r="S336" s="139" cm="1">
        <f t="array" ref="S336">IF(P336="",0,IF(OR(O336=";",P336="EQU",P336="ORG"),0,HlpGetInstructionSize(P336,Q336,R336,$AC$12)))</f>
        <v>0</v>
      </c>
      <c r="V336" s="42" t="str">
        <f t="shared" si="44"/>
        <v/>
      </c>
      <c r="W336" s="16"/>
      <c r="X336" s="28"/>
      <c r="Y336" s="29"/>
      <c r="AA336" s="66"/>
      <c r="AB336" s="11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28"/>
      <c r="AD336" s="129"/>
      <c r="AE336" s="129"/>
      <c r="AF336" s="129"/>
      <c r="AG336" s="129"/>
      <c r="AH336" s="129"/>
      <c r="AI336" s="129"/>
      <c r="AJ336" s="130"/>
    </row>
    <row r="337" spans="11:36">
      <c r="K337" s="76"/>
      <c r="L337" s="48" t="e">
        <f t="shared" si="43"/>
        <v>#VALUE!</v>
      </c>
      <c r="M337" s="32" t="str">
        <f t="shared" si="42"/>
        <v/>
      </c>
      <c r="N337" s="63" t="e">
        <f t="shared" si="45"/>
        <v>#VALUE!</v>
      </c>
      <c r="O337" s="86"/>
      <c r="P337" s="223"/>
      <c r="Q337" s="224"/>
      <c r="R337" s="135"/>
      <c r="S337" s="139" cm="1">
        <f t="array" ref="S337">IF(P337="",0,IF(OR(O337=";",P337="EQU",P337="ORG"),0,HlpGetInstructionSize(P337,Q337,R337,$AC$12)))</f>
        <v>0</v>
      </c>
      <c r="V337" s="42" t="str">
        <f t="shared" si="44"/>
        <v/>
      </c>
      <c r="W337" s="16"/>
      <c r="X337" s="28"/>
      <c r="Y337" s="29"/>
      <c r="AA337" s="66"/>
      <c r="AB337" s="11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28"/>
      <c r="AD337" s="129"/>
      <c r="AE337" s="129"/>
      <c r="AF337" s="129"/>
      <c r="AG337" s="129"/>
      <c r="AH337" s="129"/>
      <c r="AI337" s="129"/>
      <c r="AJ337" s="130"/>
    </row>
    <row r="338" spans="11:36">
      <c r="K338" s="76"/>
      <c r="L338" s="48" t="e">
        <f t="shared" si="43"/>
        <v>#VALUE!</v>
      </c>
      <c r="M338" s="32" t="str">
        <f t="shared" si="42"/>
        <v/>
      </c>
      <c r="N338" s="63" t="e">
        <f t="shared" si="45"/>
        <v>#VALUE!</v>
      </c>
      <c r="O338" s="86"/>
      <c r="P338" s="223"/>
      <c r="Q338" s="224"/>
      <c r="R338" s="135"/>
      <c r="S338" s="139" cm="1">
        <f t="array" ref="S338">IF(P338="",0,IF(OR(O338=";",P338="EQU",P338="ORG"),0,HlpGetInstructionSize(P338,Q338,R338,$AC$12)))</f>
        <v>0</v>
      </c>
      <c r="V338" s="42" t="str">
        <f t="shared" si="44"/>
        <v/>
      </c>
      <c r="W338" s="16"/>
      <c r="X338" s="28"/>
      <c r="Y338" s="29"/>
      <c r="AA338" s="66"/>
      <c r="AB338" s="11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28"/>
      <c r="AD338" s="129"/>
      <c r="AE338" s="129"/>
      <c r="AF338" s="129"/>
      <c r="AG338" s="129"/>
      <c r="AH338" s="129"/>
      <c r="AI338" s="129"/>
      <c r="AJ338" s="130"/>
    </row>
    <row r="339" spans="11:36">
      <c r="K339" s="76"/>
      <c r="L339" s="48" t="e">
        <f t="shared" si="43"/>
        <v>#VALUE!</v>
      </c>
      <c r="M339" s="32" t="str">
        <f t="shared" si="42"/>
        <v/>
      </c>
      <c r="N339" s="63" t="e">
        <f t="shared" si="45"/>
        <v>#VALUE!</v>
      </c>
      <c r="O339" s="86"/>
      <c r="P339" s="223"/>
      <c r="Q339" s="224"/>
      <c r="R339" s="135"/>
      <c r="S339" s="139" cm="1">
        <f t="array" ref="S339">IF(P339="",0,IF(OR(O339=";",P339="EQU",P339="ORG"),0,HlpGetInstructionSize(P339,Q339,R339,$AC$12)))</f>
        <v>0</v>
      </c>
      <c r="V339" s="42" t="str">
        <f t="shared" si="44"/>
        <v/>
      </c>
      <c r="W339" s="16"/>
      <c r="X339" s="28"/>
      <c r="Y339" s="29"/>
      <c r="AA339" s="66"/>
      <c r="AB339" s="11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28"/>
      <c r="AD339" s="129"/>
      <c r="AE339" s="129"/>
      <c r="AF339" s="129"/>
      <c r="AG339" s="129"/>
      <c r="AH339" s="129"/>
      <c r="AI339" s="129"/>
      <c r="AJ339" s="130"/>
    </row>
    <row r="340" spans="11:36">
      <c r="K340" s="76"/>
      <c r="L340" s="48" t="e">
        <f t="shared" si="43"/>
        <v>#VALUE!</v>
      </c>
      <c r="M340" s="32" t="str">
        <f t="shared" si="42"/>
        <v/>
      </c>
      <c r="N340" s="63" t="e">
        <f t="shared" si="45"/>
        <v>#VALUE!</v>
      </c>
      <c r="O340" s="86"/>
      <c r="P340" s="223"/>
      <c r="Q340" s="224"/>
      <c r="R340" s="135"/>
      <c r="S340" s="139" cm="1">
        <f t="array" ref="S340">IF(P340="",0,IF(OR(O340=";",P340="EQU",P340="ORG"),0,HlpGetInstructionSize(P340,Q340,R340,$AC$12)))</f>
        <v>0</v>
      </c>
      <c r="V340" s="42" t="str">
        <f t="shared" si="44"/>
        <v/>
      </c>
      <c r="W340" s="16"/>
      <c r="X340" s="28"/>
      <c r="Y340" s="29"/>
      <c r="AA340" s="66"/>
      <c r="AB340" s="11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28"/>
      <c r="AD340" s="129"/>
      <c r="AE340" s="129"/>
      <c r="AF340" s="129"/>
      <c r="AG340" s="129"/>
      <c r="AH340" s="129"/>
      <c r="AI340" s="129"/>
      <c r="AJ340" s="130"/>
    </row>
    <row r="341" spans="11:36">
      <c r="K341" s="76"/>
      <c r="L341" s="48" t="e">
        <f t="shared" si="43"/>
        <v>#VALUE!</v>
      </c>
      <c r="M341" s="32" t="str">
        <f t="shared" si="42"/>
        <v/>
      </c>
      <c r="N341" s="63" t="e">
        <f t="shared" si="45"/>
        <v>#VALUE!</v>
      </c>
      <c r="O341" s="86"/>
      <c r="P341" s="223"/>
      <c r="Q341" s="224"/>
      <c r="R341" s="135"/>
      <c r="S341" s="139" cm="1">
        <f t="array" ref="S341">IF(P341="",0,IF(OR(O341=";",P341="EQU",P341="ORG"),0,HlpGetInstructionSize(P341,Q341,R341,$AC$12)))</f>
        <v>0</v>
      </c>
      <c r="V341" s="42" t="str">
        <f t="shared" si="44"/>
        <v/>
      </c>
      <c r="W341" s="16"/>
      <c r="X341" s="28"/>
      <c r="Y341" s="29"/>
      <c r="AA341" s="66"/>
      <c r="AB341" s="11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28"/>
      <c r="AD341" s="129"/>
      <c r="AE341" s="129"/>
      <c r="AF341" s="129"/>
      <c r="AG341" s="129"/>
      <c r="AH341" s="129"/>
      <c r="AI341" s="129"/>
      <c r="AJ341" s="130"/>
    </row>
    <row r="342" spans="11:36">
      <c r="K342" s="76"/>
      <c r="L342" s="48" t="e">
        <f t="shared" si="43"/>
        <v>#VALUE!</v>
      </c>
      <c r="M342" s="32" t="str">
        <f t="shared" si="42"/>
        <v/>
      </c>
      <c r="N342" s="63" t="e">
        <f t="shared" si="45"/>
        <v>#VALUE!</v>
      </c>
      <c r="O342" s="86"/>
      <c r="P342" s="223"/>
      <c r="Q342" s="224"/>
      <c r="R342" s="135"/>
      <c r="S342" s="139" cm="1">
        <f t="array" ref="S342">IF(P342="",0,IF(OR(O342=";",P342="EQU",P342="ORG"),0,HlpGetInstructionSize(P342,Q342,R342,$AC$12)))</f>
        <v>0</v>
      </c>
      <c r="V342" s="42" t="str">
        <f t="shared" si="44"/>
        <v/>
      </c>
      <c r="W342" s="16"/>
      <c r="X342" s="28"/>
      <c r="Y342" s="29"/>
      <c r="AA342" s="66"/>
      <c r="AB342" s="11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28"/>
      <c r="AD342" s="129"/>
      <c r="AE342" s="129"/>
      <c r="AF342" s="129"/>
      <c r="AG342" s="129"/>
      <c r="AH342" s="129"/>
      <c r="AI342" s="129"/>
      <c r="AJ342" s="130"/>
    </row>
    <row r="343" spans="11:36">
      <c r="K343" s="76"/>
      <c r="L343" s="48" t="e">
        <f t="shared" si="43"/>
        <v>#VALUE!</v>
      </c>
      <c r="M343" s="32" t="str">
        <f t="shared" si="42"/>
        <v/>
      </c>
      <c r="N343" s="63" t="e">
        <f t="shared" si="45"/>
        <v>#VALUE!</v>
      </c>
      <c r="O343" s="86"/>
      <c r="P343" s="223"/>
      <c r="Q343" s="224"/>
      <c r="R343" s="135"/>
      <c r="S343" s="139" cm="1">
        <f t="array" ref="S343">IF(P343="",0,IF(OR(O343=";",P343="EQU",P343="ORG"),0,HlpGetInstructionSize(P343,Q343,R343,$AC$12)))</f>
        <v>0</v>
      </c>
      <c r="V343" s="42" t="str">
        <f t="shared" si="44"/>
        <v/>
      </c>
      <c r="W343" s="16"/>
      <c r="X343" s="28"/>
      <c r="Y343" s="29"/>
      <c r="AA343" s="66"/>
      <c r="AB343" s="11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28"/>
      <c r="AD343" s="129"/>
      <c r="AE343" s="129"/>
      <c r="AF343" s="129"/>
      <c r="AG343" s="129"/>
      <c r="AH343" s="129"/>
      <c r="AI343" s="129"/>
      <c r="AJ343" s="130"/>
    </row>
    <row r="344" spans="11:36">
      <c r="K344" s="76"/>
      <c r="L344" s="48" t="e">
        <f t="shared" si="43"/>
        <v>#VALUE!</v>
      </c>
      <c r="M344" s="32" t="str">
        <f t="shared" si="42"/>
        <v/>
      </c>
      <c r="N344" s="63" t="e">
        <f t="shared" si="45"/>
        <v>#VALUE!</v>
      </c>
      <c r="O344" s="86"/>
      <c r="P344" s="223"/>
      <c r="Q344" s="224"/>
      <c r="R344" s="135"/>
      <c r="S344" s="139" cm="1">
        <f t="array" ref="S344">IF(P344="",0,IF(OR(O344=";",P344="EQU",P344="ORG"),0,HlpGetInstructionSize(P344,Q344,R344,$AC$12)))</f>
        <v>0</v>
      </c>
      <c r="V344" s="42" t="str">
        <f t="shared" si="44"/>
        <v/>
      </c>
      <c r="W344" s="16"/>
      <c r="X344" s="28"/>
      <c r="Y344" s="29"/>
      <c r="AA344" s="66"/>
      <c r="AB344" s="11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28"/>
      <c r="AD344" s="129"/>
      <c r="AE344" s="129"/>
      <c r="AF344" s="129"/>
      <c r="AG344" s="129"/>
      <c r="AH344" s="129"/>
      <c r="AI344" s="129"/>
      <c r="AJ344" s="130"/>
    </row>
    <row r="345" spans="11:36">
      <c r="K345" s="76"/>
      <c r="L345" s="48" t="e">
        <f t="shared" si="43"/>
        <v>#VALUE!</v>
      </c>
      <c r="M345" s="32" t="str">
        <f t="shared" si="42"/>
        <v/>
      </c>
      <c r="N345" s="63" t="e">
        <f t="shared" si="45"/>
        <v>#VALUE!</v>
      </c>
      <c r="O345" s="86"/>
      <c r="P345" s="223"/>
      <c r="Q345" s="224"/>
      <c r="R345" s="135"/>
      <c r="S345" s="139" cm="1">
        <f t="array" ref="S345">IF(P345="",0,IF(OR(O345=";",P345="EQU",P345="ORG"),0,HlpGetInstructionSize(P345,Q345,R345,$AC$12)))</f>
        <v>0</v>
      </c>
      <c r="V345" s="42" t="str">
        <f t="shared" si="44"/>
        <v/>
      </c>
      <c r="W345" s="16"/>
      <c r="X345" s="28"/>
      <c r="Y345" s="29"/>
      <c r="AA345" s="66"/>
      <c r="AB345" s="11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28"/>
      <c r="AD345" s="129"/>
      <c r="AE345" s="129"/>
      <c r="AF345" s="129"/>
      <c r="AG345" s="129"/>
      <c r="AH345" s="129"/>
      <c r="AI345" s="129"/>
      <c r="AJ345" s="130"/>
    </row>
    <row r="346" spans="11:36">
      <c r="K346" s="76"/>
      <c r="L346" s="48" t="e">
        <f t="shared" si="43"/>
        <v>#VALUE!</v>
      </c>
      <c r="M346" s="32" t="str">
        <f t="shared" si="42"/>
        <v/>
      </c>
      <c r="N346" s="63" t="e">
        <f t="shared" si="45"/>
        <v>#VALUE!</v>
      </c>
      <c r="O346" s="86"/>
      <c r="P346" s="223"/>
      <c r="Q346" s="224"/>
      <c r="R346" s="135"/>
      <c r="S346" s="139" cm="1">
        <f t="array" ref="S346">IF(P346="",0,IF(OR(O346=";",P346="EQU",P346="ORG"),0,HlpGetInstructionSize(P346,Q346,R346,$AC$12)))</f>
        <v>0</v>
      </c>
      <c r="V346" s="42" t="str">
        <f t="shared" si="44"/>
        <v/>
      </c>
      <c r="W346" s="16"/>
      <c r="X346" s="28"/>
      <c r="Y346" s="29"/>
      <c r="AA346" s="66"/>
      <c r="AB346" s="11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28"/>
      <c r="AD346" s="129"/>
      <c r="AE346" s="129"/>
      <c r="AF346" s="129"/>
      <c r="AG346" s="129"/>
      <c r="AH346" s="129"/>
      <c r="AI346" s="129"/>
      <c r="AJ346" s="130"/>
    </row>
    <row r="347" spans="11:36">
      <c r="K347" s="76"/>
      <c r="L347" s="48" t="e">
        <f t="shared" si="43"/>
        <v>#VALUE!</v>
      </c>
      <c r="M347" s="32" t="str">
        <f t="shared" si="42"/>
        <v/>
      </c>
      <c r="N347" s="63" t="e">
        <f t="shared" si="45"/>
        <v>#VALUE!</v>
      </c>
      <c r="O347" s="86"/>
      <c r="P347" s="223"/>
      <c r="Q347" s="224"/>
      <c r="R347" s="135"/>
      <c r="S347" s="139" cm="1">
        <f t="array" ref="S347">IF(P347="",0,IF(OR(O347=";",P347="EQU",P347="ORG"),0,HlpGetInstructionSize(P347,Q347,R347,$AC$12)))</f>
        <v>0</v>
      </c>
      <c r="V347" s="42" t="str">
        <f t="shared" si="44"/>
        <v/>
      </c>
      <c r="W347" s="16"/>
      <c r="X347" s="28"/>
      <c r="Y347" s="29"/>
      <c r="AA347" s="66"/>
      <c r="AB347" s="11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28"/>
      <c r="AD347" s="129"/>
      <c r="AE347" s="129"/>
      <c r="AF347" s="129"/>
      <c r="AG347" s="129"/>
      <c r="AH347" s="129"/>
      <c r="AI347" s="129"/>
      <c r="AJ347" s="130"/>
    </row>
    <row r="348" spans="11:36">
      <c r="K348" s="76"/>
      <c r="L348" s="48" t="e">
        <f t="shared" si="43"/>
        <v>#VALUE!</v>
      </c>
      <c r="M348" s="32" t="str">
        <f t="shared" si="42"/>
        <v/>
      </c>
      <c r="N348" s="63" t="e">
        <f t="shared" si="45"/>
        <v>#VALUE!</v>
      </c>
      <c r="O348" s="86"/>
      <c r="P348" s="223"/>
      <c r="Q348" s="224"/>
      <c r="R348" s="135"/>
      <c r="S348" s="139" cm="1">
        <f t="array" ref="S348">IF(P348="",0,IF(OR(O348=";",P348="EQU",P348="ORG"),0,HlpGetInstructionSize(P348,Q348,R348,$AC$12)))</f>
        <v>0</v>
      </c>
      <c r="V348" s="42" t="str">
        <f t="shared" si="44"/>
        <v/>
      </c>
      <c r="W348" s="16"/>
      <c r="X348" s="28"/>
      <c r="Y348" s="29"/>
      <c r="AA348" s="66"/>
      <c r="AB348" s="11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28"/>
      <c r="AD348" s="129"/>
      <c r="AE348" s="129"/>
      <c r="AF348" s="129"/>
      <c r="AG348" s="129"/>
      <c r="AH348" s="129"/>
      <c r="AI348" s="129"/>
      <c r="AJ348" s="130"/>
    </row>
    <row r="349" spans="11:36">
      <c r="K349" s="76"/>
      <c r="L349" s="48" t="e">
        <f t="shared" si="43"/>
        <v>#VALUE!</v>
      </c>
      <c r="M349" s="32" t="str">
        <f t="shared" ref="M349:M412" si="46">IFERROR(RIGHT("0000"&amp;DEC2HEX(N349),4),"")</f>
        <v/>
      </c>
      <c r="N349" s="63" t="e">
        <f t="shared" si="45"/>
        <v>#VALUE!</v>
      </c>
      <c r="O349" s="86"/>
      <c r="P349" s="223"/>
      <c r="Q349" s="224"/>
      <c r="R349" s="135"/>
      <c r="S349" s="139" cm="1">
        <f t="array" ref="S349">IF(P349="",0,IF(OR(O349=";",P349="EQU",P349="ORG"),0,HlpGetInstructionSize(P349,Q349,R349,$AC$12)))</f>
        <v>0</v>
      </c>
      <c r="V349" s="42" t="str">
        <f t="shared" si="44"/>
        <v/>
      </c>
      <c r="W349" s="16"/>
      <c r="X349" s="28"/>
      <c r="Y349" s="29"/>
      <c r="AA349" s="66"/>
      <c r="AB349" s="11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28"/>
      <c r="AD349" s="129"/>
      <c r="AE349" s="129"/>
      <c r="AF349" s="129"/>
      <c r="AG349" s="129"/>
      <c r="AH349" s="129"/>
      <c r="AI349" s="129"/>
      <c r="AJ349" s="130"/>
    </row>
    <row r="350" spans="11:36">
      <c r="K350" s="76"/>
      <c r="L350" s="48" t="e">
        <f t="shared" si="43"/>
        <v>#VALUE!</v>
      </c>
      <c r="M350" s="32" t="str">
        <f t="shared" si="46"/>
        <v/>
      </c>
      <c r="N350" s="63" t="e">
        <f t="shared" si="45"/>
        <v>#VALUE!</v>
      </c>
      <c r="O350" s="86"/>
      <c r="P350" s="223"/>
      <c r="Q350" s="224"/>
      <c r="R350" s="135"/>
      <c r="S350" s="139" cm="1">
        <f t="array" ref="S350">IF(P350="",0,IF(OR(O350=";",P350="EQU",P350="ORG"),0,HlpGetInstructionSize(P350,Q350,R350,$AC$12)))</f>
        <v>0</v>
      </c>
      <c r="V350" s="42" t="str">
        <f t="shared" si="44"/>
        <v/>
      </c>
      <c r="W350" s="16"/>
      <c r="X350" s="28"/>
      <c r="Y350" s="29"/>
      <c r="AA350" s="66"/>
      <c r="AB350" s="11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28"/>
      <c r="AD350" s="129"/>
      <c r="AE350" s="129"/>
      <c r="AF350" s="129"/>
      <c r="AG350" s="129"/>
      <c r="AH350" s="129"/>
      <c r="AI350" s="129"/>
      <c r="AJ350" s="130"/>
    </row>
    <row r="351" spans="11:36">
      <c r="K351" s="76"/>
      <c r="L351" s="48" t="e">
        <f t="shared" si="43"/>
        <v>#VALUE!</v>
      </c>
      <c r="M351" s="32" t="str">
        <f t="shared" si="46"/>
        <v/>
      </c>
      <c r="N351" s="63" t="e">
        <f t="shared" si="45"/>
        <v>#VALUE!</v>
      </c>
      <c r="O351" s="86"/>
      <c r="P351" s="223"/>
      <c r="Q351" s="224"/>
      <c r="R351" s="135"/>
      <c r="S351" s="139" cm="1">
        <f t="array" ref="S351">IF(P351="",0,IF(OR(O351=";",P351="EQU",P351="ORG"),0,HlpGetInstructionSize(P351,Q351,R351,$AC$12)))</f>
        <v>0</v>
      </c>
      <c r="V351" s="42" t="str">
        <f t="shared" si="44"/>
        <v/>
      </c>
      <c r="W351" s="16"/>
      <c r="X351" s="28"/>
      <c r="Y351" s="29"/>
      <c r="AA351" s="66"/>
      <c r="AB351" s="11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28"/>
      <c r="AD351" s="129"/>
      <c r="AE351" s="129"/>
      <c r="AF351" s="129"/>
      <c r="AG351" s="129"/>
      <c r="AH351" s="129"/>
      <c r="AI351" s="129"/>
      <c r="AJ351" s="130"/>
    </row>
    <row r="352" spans="11:36">
      <c r="K352" s="76"/>
      <c r="L352" s="48" t="e">
        <f t="shared" si="43"/>
        <v>#VALUE!</v>
      </c>
      <c r="M352" s="32" t="str">
        <f t="shared" si="46"/>
        <v/>
      </c>
      <c r="N352" s="63" t="e">
        <f t="shared" si="45"/>
        <v>#VALUE!</v>
      </c>
      <c r="O352" s="86"/>
      <c r="P352" s="223"/>
      <c r="Q352" s="224"/>
      <c r="R352" s="135"/>
      <c r="S352" s="139" cm="1">
        <f t="array" ref="S352">IF(P352="",0,IF(OR(O352=";",P352="EQU",P352="ORG"),0,HlpGetInstructionSize(P352,Q352,R352,$AC$12)))</f>
        <v>0</v>
      </c>
      <c r="V352" s="42" t="str">
        <f t="shared" si="44"/>
        <v/>
      </c>
      <c r="W352" s="16"/>
      <c r="X352" s="28"/>
      <c r="Y352" s="29"/>
      <c r="AA352" s="66"/>
      <c r="AB352" s="11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28"/>
      <c r="AD352" s="129"/>
      <c r="AE352" s="129"/>
      <c r="AF352" s="129"/>
      <c r="AG352" s="129"/>
      <c r="AH352" s="129"/>
      <c r="AI352" s="129"/>
      <c r="AJ352" s="130"/>
    </row>
    <row r="353" spans="11:36">
      <c r="K353" s="76"/>
      <c r="L353" s="48" t="e">
        <f t="shared" si="43"/>
        <v>#VALUE!</v>
      </c>
      <c r="M353" s="32" t="str">
        <f t="shared" si="46"/>
        <v/>
      </c>
      <c r="N353" s="63" t="e">
        <f t="shared" si="45"/>
        <v>#VALUE!</v>
      </c>
      <c r="O353" s="86"/>
      <c r="P353" s="223"/>
      <c r="Q353" s="224"/>
      <c r="R353" s="135"/>
      <c r="S353" s="139" cm="1">
        <f t="array" ref="S353">IF(P353="",0,IF(OR(O353=";",P353="EQU",P353="ORG"),0,HlpGetInstructionSize(P353,Q353,R353,$AC$12)))</f>
        <v>0</v>
      </c>
      <c r="V353" s="42" t="str">
        <f t="shared" si="44"/>
        <v/>
      </c>
      <c r="W353" s="16"/>
      <c r="X353" s="28"/>
      <c r="Y353" s="29"/>
      <c r="AA353" s="66"/>
      <c r="AB353" s="11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28"/>
      <c r="AD353" s="129"/>
      <c r="AE353" s="129"/>
      <c r="AF353" s="129"/>
      <c r="AG353" s="129"/>
      <c r="AH353" s="129"/>
      <c r="AI353" s="129"/>
      <c r="AJ353" s="130"/>
    </row>
    <row r="354" spans="11:36">
      <c r="K354" s="76"/>
      <c r="L354" s="48" t="e">
        <f t="shared" si="43"/>
        <v>#VALUE!</v>
      </c>
      <c r="M354" s="32" t="str">
        <f t="shared" si="46"/>
        <v/>
      </c>
      <c r="N354" s="63" t="e">
        <f t="shared" si="45"/>
        <v>#VALUE!</v>
      </c>
      <c r="O354" s="86"/>
      <c r="P354" s="223"/>
      <c r="Q354" s="224"/>
      <c r="R354" s="135"/>
      <c r="S354" s="139" cm="1">
        <f t="array" ref="S354">IF(P354="",0,IF(OR(O354=";",P354="EQU",P354="ORG"),0,HlpGetInstructionSize(P354,Q354,R354,$AC$12)))</f>
        <v>0</v>
      </c>
      <c r="V354" s="42" t="str">
        <f t="shared" si="44"/>
        <v/>
      </c>
      <c r="W354" s="16"/>
      <c r="X354" s="28"/>
      <c r="Y354" s="29"/>
      <c r="AA354" s="66"/>
      <c r="AB354" s="11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28"/>
      <c r="AD354" s="129"/>
      <c r="AE354" s="129"/>
      <c r="AF354" s="129"/>
      <c r="AG354" s="129"/>
      <c r="AH354" s="129"/>
      <c r="AI354" s="129"/>
      <c r="AJ354" s="130"/>
    </row>
    <row r="355" spans="11:36">
      <c r="K355" s="76"/>
      <c r="L355" s="48" t="e">
        <f t="shared" si="43"/>
        <v>#VALUE!</v>
      </c>
      <c r="M355" s="32" t="str">
        <f t="shared" si="46"/>
        <v/>
      </c>
      <c r="N355" s="63" t="e">
        <f t="shared" si="45"/>
        <v>#VALUE!</v>
      </c>
      <c r="O355" s="86"/>
      <c r="P355" s="223"/>
      <c r="Q355" s="224"/>
      <c r="R355" s="135"/>
      <c r="S355" s="139" cm="1">
        <f t="array" ref="S355">IF(P355="",0,IF(OR(O355=";",P355="EQU",P355="ORG"),0,HlpGetInstructionSize(P355,Q355,R355,$AC$12)))</f>
        <v>0</v>
      </c>
      <c r="V355" s="42" t="str">
        <f t="shared" si="44"/>
        <v/>
      </c>
      <c r="W355" s="16"/>
      <c r="X355" s="28"/>
      <c r="Y355" s="29"/>
      <c r="AA355" s="66"/>
      <c r="AB355" s="11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28"/>
      <c r="AD355" s="129"/>
      <c r="AE355" s="129"/>
      <c r="AF355" s="129"/>
      <c r="AG355" s="129"/>
      <c r="AH355" s="129"/>
      <c r="AI355" s="129"/>
      <c r="AJ355" s="130"/>
    </row>
    <row r="356" spans="11:36">
      <c r="K356" s="76"/>
      <c r="L356" s="48" t="e">
        <f t="shared" si="43"/>
        <v>#VALUE!</v>
      </c>
      <c r="M356" s="32" t="str">
        <f t="shared" si="46"/>
        <v/>
      </c>
      <c r="N356" s="63" t="e">
        <f t="shared" si="45"/>
        <v>#VALUE!</v>
      </c>
      <c r="O356" s="86"/>
      <c r="P356" s="223"/>
      <c r="Q356" s="224"/>
      <c r="R356" s="135"/>
      <c r="S356" s="139" cm="1">
        <f t="array" ref="S356">IF(P356="",0,IF(OR(O356=";",P356="EQU",P356="ORG"),0,HlpGetInstructionSize(P356,Q356,R356,$AC$12)))</f>
        <v>0</v>
      </c>
      <c r="V356" s="42" t="str">
        <f t="shared" si="44"/>
        <v/>
      </c>
      <c r="W356" s="16"/>
      <c r="X356" s="28"/>
      <c r="Y356" s="29"/>
      <c r="AA356" s="66"/>
      <c r="AB356" s="11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28"/>
      <c r="AD356" s="129"/>
      <c r="AE356" s="129"/>
      <c r="AF356" s="129"/>
      <c r="AG356" s="129"/>
      <c r="AH356" s="129"/>
      <c r="AI356" s="129"/>
      <c r="AJ356" s="130"/>
    </row>
    <row r="357" spans="11:36">
      <c r="K357" s="76"/>
      <c r="L357" s="48" t="e">
        <f t="shared" si="43"/>
        <v>#VALUE!</v>
      </c>
      <c r="M357" s="32" t="str">
        <f t="shared" si="46"/>
        <v/>
      </c>
      <c r="N357" s="63" t="e">
        <f t="shared" si="45"/>
        <v>#VALUE!</v>
      </c>
      <c r="O357" s="86"/>
      <c r="P357" s="223"/>
      <c r="Q357" s="224"/>
      <c r="R357" s="135"/>
      <c r="S357" s="139" cm="1">
        <f t="array" ref="S357">IF(P357="",0,IF(OR(O357=";",P357="EQU",P357="ORG"),0,HlpGetInstructionSize(P357,Q357,R357,$AC$12)))</f>
        <v>0</v>
      </c>
      <c r="V357" s="42" t="str">
        <f t="shared" si="44"/>
        <v/>
      </c>
      <c r="W357" s="16"/>
      <c r="X357" s="28"/>
      <c r="Y357" s="29"/>
      <c r="AA357" s="66"/>
      <c r="AB357" s="11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28"/>
      <c r="AD357" s="129"/>
      <c r="AE357" s="129"/>
      <c r="AF357" s="129"/>
      <c r="AG357" s="129"/>
      <c r="AH357" s="129"/>
      <c r="AI357" s="129"/>
      <c r="AJ357" s="130"/>
    </row>
    <row r="358" spans="11:36">
      <c r="K358" s="76"/>
      <c r="L358" s="48" t="e">
        <f t="shared" si="43"/>
        <v>#VALUE!</v>
      </c>
      <c r="M358" s="32" t="str">
        <f t="shared" si="46"/>
        <v/>
      </c>
      <c r="N358" s="63" t="e">
        <f t="shared" si="45"/>
        <v>#VALUE!</v>
      </c>
      <c r="O358" s="86"/>
      <c r="P358" s="223"/>
      <c r="Q358" s="224"/>
      <c r="R358" s="135"/>
      <c r="S358" s="139" cm="1">
        <f t="array" ref="S358">IF(P358="",0,IF(OR(O358=";",P358="EQU",P358="ORG"),0,HlpGetInstructionSize(P358,Q358,R358,$AC$12)))</f>
        <v>0</v>
      </c>
      <c r="V358" s="42" t="str">
        <f t="shared" si="44"/>
        <v/>
      </c>
      <c r="W358" s="16"/>
      <c r="X358" s="28"/>
      <c r="Y358" s="29"/>
      <c r="AA358" s="66"/>
      <c r="AB358" s="11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28"/>
      <c r="AD358" s="129"/>
      <c r="AE358" s="129"/>
      <c r="AF358" s="129"/>
      <c r="AG358" s="129"/>
      <c r="AH358" s="129"/>
      <c r="AI358" s="129"/>
      <c r="AJ358" s="130"/>
    </row>
    <row r="359" spans="11:36">
      <c r="K359" s="76"/>
      <c r="L359" s="48" t="e">
        <f t="shared" si="43"/>
        <v>#VALUE!</v>
      </c>
      <c r="M359" s="32" t="str">
        <f t="shared" si="46"/>
        <v/>
      </c>
      <c r="N359" s="63" t="e">
        <f t="shared" si="45"/>
        <v>#VALUE!</v>
      </c>
      <c r="O359" s="86"/>
      <c r="P359" s="223"/>
      <c r="Q359" s="224"/>
      <c r="R359" s="135"/>
      <c r="S359" s="139" cm="1">
        <f t="array" ref="S359">IF(P359="",0,IF(OR(O359=";",P359="EQU",P359="ORG"),0,HlpGetInstructionSize(P359,Q359,R359,$AC$12)))</f>
        <v>0</v>
      </c>
      <c r="V359" s="42" t="str">
        <f t="shared" si="44"/>
        <v/>
      </c>
      <c r="W359" s="16"/>
      <c r="X359" s="28"/>
      <c r="Y359" s="29"/>
      <c r="AA359" s="66"/>
      <c r="AB359" s="11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28"/>
      <c r="AD359" s="129"/>
      <c r="AE359" s="129"/>
      <c r="AF359" s="129"/>
      <c r="AG359" s="129"/>
      <c r="AH359" s="129"/>
      <c r="AI359" s="129"/>
      <c r="AJ359" s="130"/>
    </row>
    <row r="360" spans="11:36">
      <c r="K360" s="76"/>
      <c r="L360" s="48" t="e">
        <f t="shared" si="43"/>
        <v>#VALUE!</v>
      </c>
      <c r="M360" s="32" t="str">
        <f t="shared" si="46"/>
        <v/>
      </c>
      <c r="N360" s="63" t="e">
        <f t="shared" si="45"/>
        <v>#VALUE!</v>
      </c>
      <c r="O360" s="86"/>
      <c r="P360" s="223"/>
      <c r="Q360" s="224"/>
      <c r="R360" s="135"/>
      <c r="S360" s="139" cm="1">
        <f t="array" ref="S360">IF(P360="",0,IF(OR(O360=";",P360="EQU",P360="ORG"),0,HlpGetInstructionSize(P360,Q360,R360,$AC$12)))</f>
        <v>0</v>
      </c>
      <c r="V360" s="42" t="str">
        <f t="shared" si="44"/>
        <v/>
      </c>
      <c r="W360" s="16"/>
      <c r="X360" s="28"/>
      <c r="Y360" s="29"/>
      <c r="AA360" s="66"/>
      <c r="AB360" s="11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28"/>
      <c r="AD360" s="129"/>
      <c r="AE360" s="129"/>
      <c r="AF360" s="129"/>
      <c r="AG360" s="129"/>
      <c r="AH360" s="129"/>
      <c r="AI360" s="129"/>
      <c r="AJ360" s="130"/>
    </row>
    <row r="361" spans="11:36">
      <c r="K361" s="76"/>
      <c r="L361" s="48" t="e">
        <f t="shared" si="43"/>
        <v>#VALUE!</v>
      </c>
      <c r="M361" s="32" t="str">
        <f t="shared" si="46"/>
        <v/>
      </c>
      <c r="N361" s="63" t="e">
        <f t="shared" si="45"/>
        <v>#VALUE!</v>
      </c>
      <c r="O361" s="86"/>
      <c r="P361" s="223"/>
      <c r="Q361" s="224"/>
      <c r="R361" s="135"/>
      <c r="S361" s="139" cm="1">
        <f t="array" ref="S361">IF(P361="",0,IF(OR(O361=";",P361="EQU",P361="ORG"),0,HlpGetInstructionSize(P361,Q361,R361,$AC$12)))</f>
        <v>0</v>
      </c>
      <c r="V361" s="42" t="str">
        <f t="shared" si="44"/>
        <v/>
      </c>
      <c r="W361" s="16"/>
      <c r="X361" s="28"/>
      <c r="Y361" s="29"/>
      <c r="AA361" s="66"/>
      <c r="AB361" s="11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28"/>
      <c r="AD361" s="129"/>
      <c r="AE361" s="129"/>
      <c r="AF361" s="129"/>
      <c r="AG361" s="129"/>
      <c r="AH361" s="129"/>
      <c r="AI361" s="129"/>
      <c r="AJ361" s="130"/>
    </row>
    <row r="362" spans="11:36">
      <c r="K362" s="76"/>
      <c r="L362" s="48" t="e">
        <f t="shared" si="43"/>
        <v>#VALUE!</v>
      </c>
      <c r="M362" s="32" t="str">
        <f t="shared" si="46"/>
        <v/>
      </c>
      <c r="N362" s="63" t="e">
        <f t="shared" si="45"/>
        <v>#VALUE!</v>
      </c>
      <c r="O362" s="86"/>
      <c r="P362" s="223"/>
      <c r="Q362" s="224"/>
      <c r="R362" s="135"/>
      <c r="S362" s="139" cm="1">
        <f t="array" ref="S362">IF(P362="",0,IF(OR(O362=";",P362="EQU",P362="ORG"),0,HlpGetInstructionSize(P362,Q362,R362,$AC$12)))</f>
        <v>0</v>
      </c>
      <c r="V362" s="42" t="str">
        <f t="shared" si="44"/>
        <v/>
      </c>
      <c r="W362" s="16"/>
      <c r="X362" s="28"/>
      <c r="Y362" s="29"/>
      <c r="AA362" s="66"/>
      <c r="AB362" s="11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28"/>
      <c r="AD362" s="129"/>
      <c r="AE362" s="129"/>
      <c r="AF362" s="129"/>
      <c r="AG362" s="129"/>
      <c r="AH362" s="129"/>
      <c r="AI362" s="129"/>
      <c r="AJ362" s="130"/>
    </row>
    <row r="363" spans="11:36">
      <c r="K363" s="76"/>
      <c r="L363" s="48" t="e">
        <f t="shared" si="43"/>
        <v>#VALUE!</v>
      </c>
      <c r="M363" s="32" t="str">
        <f t="shared" si="46"/>
        <v/>
      </c>
      <c r="N363" s="63" t="e">
        <f t="shared" si="45"/>
        <v>#VALUE!</v>
      </c>
      <c r="O363" s="86"/>
      <c r="P363" s="223"/>
      <c r="Q363" s="224"/>
      <c r="R363" s="135"/>
      <c r="S363" s="139" cm="1">
        <f t="array" ref="S363">IF(P363="",0,IF(OR(O363=";",P363="EQU",P363="ORG"),0,HlpGetInstructionSize(P363,Q363,R363,$AC$12)))</f>
        <v>0</v>
      </c>
      <c r="V363" s="42" t="str">
        <f t="shared" si="44"/>
        <v/>
      </c>
      <c r="W363" s="16"/>
      <c r="X363" s="28"/>
      <c r="Y363" s="29"/>
      <c r="AA363" s="66"/>
      <c r="AB363" s="11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28"/>
      <c r="AD363" s="129"/>
      <c r="AE363" s="129"/>
      <c r="AF363" s="129"/>
      <c r="AG363" s="129"/>
      <c r="AH363" s="129"/>
      <c r="AI363" s="129"/>
      <c r="AJ363" s="130"/>
    </row>
    <row r="364" spans="11:36">
      <c r="K364" s="76"/>
      <c r="L364" s="48" t="e">
        <f t="shared" si="43"/>
        <v>#VALUE!</v>
      </c>
      <c r="M364" s="32" t="str">
        <f t="shared" si="46"/>
        <v/>
      </c>
      <c r="N364" s="63" t="e">
        <f t="shared" si="45"/>
        <v>#VALUE!</v>
      </c>
      <c r="O364" s="86"/>
      <c r="P364" s="223"/>
      <c r="Q364" s="224"/>
      <c r="R364" s="135"/>
      <c r="S364" s="139" cm="1">
        <f t="array" ref="S364">IF(P364="",0,IF(OR(O364=";",P364="EQU",P364="ORG"),0,HlpGetInstructionSize(P364,Q364,R364,$AC$12)))</f>
        <v>0</v>
      </c>
      <c r="V364" s="42" t="str">
        <f t="shared" si="44"/>
        <v/>
      </c>
      <c r="W364" s="16"/>
      <c r="X364" s="28"/>
      <c r="Y364" s="29"/>
      <c r="AA364" s="66"/>
      <c r="AB364" s="11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28"/>
      <c r="AD364" s="129"/>
      <c r="AE364" s="129"/>
      <c r="AF364" s="129"/>
      <c r="AG364" s="129"/>
      <c r="AH364" s="129"/>
      <c r="AI364" s="129"/>
      <c r="AJ364" s="130"/>
    </row>
    <row r="365" spans="11:36">
      <c r="K365" s="76"/>
      <c r="L365" s="48" t="e">
        <f t="shared" si="43"/>
        <v>#VALUE!</v>
      </c>
      <c r="M365" s="32" t="str">
        <f t="shared" si="46"/>
        <v/>
      </c>
      <c r="N365" s="63" t="e">
        <f t="shared" si="45"/>
        <v>#VALUE!</v>
      </c>
      <c r="O365" s="86"/>
      <c r="P365" s="223"/>
      <c r="Q365" s="224"/>
      <c r="R365" s="135"/>
      <c r="S365" s="139" cm="1">
        <f t="array" ref="S365">IF(P365="",0,IF(OR(O365=";",P365="EQU",P365="ORG"),0,HlpGetInstructionSize(P365,Q365,R365,$AC$12)))</f>
        <v>0</v>
      </c>
      <c r="V365" s="42" t="str">
        <f t="shared" si="44"/>
        <v/>
      </c>
      <c r="W365" s="16"/>
      <c r="X365" s="28"/>
      <c r="Y365" s="29"/>
      <c r="AA365" s="66"/>
      <c r="AB365" s="11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28"/>
      <c r="AD365" s="129"/>
      <c r="AE365" s="129"/>
      <c r="AF365" s="129"/>
      <c r="AG365" s="129"/>
      <c r="AH365" s="129"/>
      <c r="AI365" s="129"/>
      <c r="AJ365" s="130"/>
    </row>
    <row r="366" spans="11:36">
      <c r="K366" s="76"/>
      <c r="L366" s="48" t="e">
        <f t="shared" si="43"/>
        <v>#VALUE!</v>
      </c>
      <c r="M366" s="32" t="str">
        <f t="shared" si="46"/>
        <v/>
      </c>
      <c r="N366" s="63" t="e">
        <f t="shared" si="45"/>
        <v>#VALUE!</v>
      </c>
      <c r="O366" s="86"/>
      <c r="P366" s="223"/>
      <c r="Q366" s="224"/>
      <c r="R366" s="135"/>
      <c r="S366" s="139" cm="1">
        <f t="array" ref="S366">IF(P366="",0,IF(OR(O366=";",P366="EQU",P366="ORG"),0,HlpGetInstructionSize(P366,Q366,R366,$AC$12)))</f>
        <v>0</v>
      </c>
      <c r="V366" s="42" t="str">
        <f t="shared" si="44"/>
        <v/>
      </c>
      <c r="W366" s="16"/>
      <c r="X366" s="28"/>
      <c r="Y366" s="29"/>
      <c r="AA366" s="66"/>
      <c r="AB366" s="11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28"/>
      <c r="AD366" s="129"/>
      <c r="AE366" s="129"/>
      <c r="AF366" s="129"/>
      <c r="AG366" s="129"/>
      <c r="AH366" s="129"/>
      <c r="AI366" s="129"/>
      <c r="AJ366" s="130"/>
    </row>
    <row r="367" spans="11:36">
      <c r="K367" s="76"/>
      <c r="L367" s="48" t="e">
        <f t="shared" si="43"/>
        <v>#VALUE!</v>
      </c>
      <c r="M367" s="32" t="str">
        <f t="shared" si="46"/>
        <v/>
      </c>
      <c r="N367" s="63" t="e">
        <f t="shared" si="45"/>
        <v>#VALUE!</v>
      </c>
      <c r="O367" s="86"/>
      <c r="P367" s="223"/>
      <c r="Q367" s="224"/>
      <c r="R367" s="135"/>
      <c r="S367" s="139" cm="1">
        <f t="array" ref="S367">IF(P367="",0,IF(OR(O367=";",P367="EQU",P367="ORG"),0,HlpGetInstructionSize(P367,Q367,R367,$AC$12)))</f>
        <v>0</v>
      </c>
      <c r="V367" s="42" t="str">
        <f t="shared" si="44"/>
        <v/>
      </c>
      <c r="W367" s="16"/>
      <c r="X367" s="28"/>
      <c r="Y367" s="29"/>
      <c r="AA367" s="66"/>
      <c r="AB367" s="11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28"/>
      <c r="AD367" s="129"/>
      <c r="AE367" s="129"/>
      <c r="AF367" s="129"/>
      <c r="AG367" s="129"/>
      <c r="AH367" s="129"/>
      <c r="AI367" s="129"/>
      <c r="AJ367" s="130"/>
    </row>
    <row r="368" spans="11:36">
      <c r="K368" s="76"/>
      <c r="L368" s="48" t="e">
        <f t="shared" si="43"/>
        <v>#VALUE!</v>
      </c>
      <c r="M368" s="32" t="str">
        <f t="shared" si="46"/>
        <v/>
      </c>
      <c r="N368" s="63" t="e">
        <f t="shared" si="45"/>
        <v>#VALUE!</v>
      </c>
      <c r="O368" s="86"/>
      <c r="P368" s="223"/>
      <c r="Q368" s="224"/>
      <c r="R368" s="135"/>
      <c r="S368" s="139" cm="1">
        <f t="array" ref="S368">IF(P368="",0,IF(OR(O368=";",P368="EQU",P368="ORG"),0,HlpGetInstructionSize(P368,Q368,R368,$AC$12)))</f>
        <v>0</v>
      </c>
      <c r="V368" s="42" t="str">
        <f t="shared" si="44"/>
        <v/>
      </c>
      <c r="W368" s="16"/>
      <c r="X368" s="28"/>
      <c r="Y368" s="29"/>
      <c r="AA368" s="66"/>
      <c r="AB368" s="11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28"/>
      <c r="AD368" s="129"/>
      <c r="AE368" s="129"/>
      <c r="AF368" s="129"/>
      <c r="AG368" s="129"/>
      <c r="AH368" s="129"/>
      <c r="AI368" s="129"/>
      <c r="AJ368" s="130"/>
    </row>
    <row r="369" spans="11:36">
      <c r="K369" s="76"/>
      <c r="L369" s="48" t="e">
        <f t="shared" si="43"/>
        <v>#VALUE!</v>
      </c>
      <c r="M369" s="32" t="str">
        <f t="shared" si="46"/>
        <v/>
      </c>
      <c r="N369" s="63" t="e">
        <f t="shared" si="45"/>
        <v>#VALUE!</v>
      </c>
      <c r="O369" s="86"/>
      <c r="P369" s="223"/>
      <c r="Q369" s="224"/>
      <c r="R369" s="135"/>
      <c r="S369" s="139" cm="1">
        <f t="array" ref="S369">IF(P369="",0,IF(OR(O369=";",P369="EQU",P369="ORG"),0,HlpGetInstructionSize(P369,Q369,R369,$AC$12)))</f>
        <v>0</v>
      </c>
      <c r="V369" s="42" t="str">
        <f t="shared" si="44"/>
        <v/>
      </c>
      <c r="W369" s="16"/>
      <c r="X369" s="28"/>
      <c r="Y369" s="29"/>
      <c r="AA369" s="66"/>
      <c r="AB369" s="11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28"/>
      <c r="AD369" s="129"/>
      <c r="AE369" s="129"/>
      <c r="AF369" s="129"/>
      <c r="AG369" s="129"/>
      <c r="AH369" s="129"/>
      <c r="AI369" s="129"/>
      <c r="AJ369" s="130"/>
    </row>
    <row r="370" spans="11:36">
      <c r="K370" s="76"/>
      <c r="L370" s="48" t="e">
        <f t="shared" si="43"/>
        <v>#VALUE!</v>
      </c>
      <c r="M370" s="32" t="str">
        <f t="shared" si="46"/>
        <v/>
      </c>
      <c r="N370" s="63" t="e">
        <f t="shared" si="45"/>
        <v>#VALUE!</v>
      </c>
      <c r="O370" s="86"/>
      <c r="P370" s="223"/>
      <c r="Q370" s="224"/>
      <c r="R370" s="135"/>
      <c r="S370" s="139" cm="1">
        <f t="array" ref="S370">IF(P370="",0,IF(OR(O370=";",P370="EQU",P370="ORG"),0,HlpGetInstructionSize(P370,Q370,R370,$AC$12)))</f>
        <v>0</v>
      </c>
      <c r="V370" s="42" t="str">
        <f t="shared" si="44"/>
        <v/>
      </c>
      <c r="W370" s="16"/>
      <c r="X370" s="28"/>
      <c r="Y370" s="29"/>
      <c r="AA370" s="66"/>
      <c r="AB370" s="11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28"/>
      <c r="AD370" s="129"/>
      <c r="AE370" s="129"/>
      <c r="AF370" s="129"/>
      <c r="AG370" s="129"/>
      <c r="AH370" s="129"/>
      <c r="AI370" s="129"/>
      <c r="AJ370" s="130"/>
    </row>
    <row r="371" spans="11:36">
      <c r="K371" s="76"/>
      <c r="L371" s="48" t="e">
        <f t="shared" si="43"/>
        <v>#VALUE!</v>
      </c>
      <c r="M371" s="32" t="str">
        <f t="shared" si="46"/>
        <v/>
      </c>
      <c r="N371" s="63" t="e">
        <f t="shared" si="45"/>
        <v>#VALUE!</v>
      </c>
      <c r="O371" s="86"/>
      <c r="P371" s="223"/>
      <c r="Q371" s="224"/>
      <c r="R371" s="135"/>
      <c r="S371" s="139" cm="1">
        <f t="array" ref="S371">IF(P371="",0,IF(OR(O371=";",P371="EQU",P371="ORG"),0,HlpGetInstructionSize(P371,Q371,R371,$AC$12)))</f>
        <v>0</v>
      </c>
      <c r="V371" s="42" t="str">
        <f t="shared" si="44"/>
        <v/>
      </c>
      <c r="W371" s="16"/>
      <c r="X371" s="28"/>
      <c r="Y371" s="29"/>
      <c r="AA371" s="66"/>
      <c r="AB371" s="11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28"/>
      <c r="AD371" s="129"/>
      <c r="AE371" s="129"/>
      <c r="AF371" s="129"/>
      <c r="AG371" s="129"/>
      <c r="AH371" s="129"/>
      <c r="AI371" s="129"/>
      <c r="AJ371" s="130"/>
    </row>
    <row r="372" spans="11:36">
      <c r="K372" s="76"/>
      <c r="L372" s="48" t="e">
        <f t="shared" si="43"/>
        <v>#VALUE!</v>
      </c>
      <c r="M372" s="32" t="str">
        <f t="shared" si="46"/>
        <v/>
      </c>
      <c r="N372" s="63" t="e">
        <f t="shared" si="45"/>
        <v>#VALUE!</v>
      </c>
      <c r="O372" s="86"/>
      <c r="P372" s="223"/>
      <c r="Q372" s="224"/>
      <c r="R372" s="135"/>
      <c r="S372" s="139" cm="1">
        <f t="array" ref="S372">IF(P372="",0,IF(OR(O372=";",P372="EQU",P372="ORG"),0,HlpGetInstructionSize(P372,Q372,R372,$AC$12)))</f>
        <v>0</v>
      </c>
      <c r="V372" s="42" t="str">
        <f t="shared" si="44"/>
        <v/>
      </c>
      <c r="W372" s="16"/>
      <c r="X372" s="28"/>
      <c r="Y372" s="29"/>
      <c r="AA372" s="66"/>
      <c r="AB372" s="11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28"/>
      <c r="AD372" s="129"/>
      <c r="AE372" s="129"/>
      <c r="AF372" s="129"/>
      <c r="AG372" s="129"/>
      <c r="AH372" s="129"/>
      <c r="AI372" s="129"/>
      <c r="AJ372" s="130"/>
    </row>
    <row r="373" spans="11:36">
      <c r="K373" s="76"/>
      <c r="L373" s="48" t="e">
        <f t="shared" si="43"/>
        <v>#VALUE!</v>
      </c>
      <c r="M373" s="32" t="str">
        <f t="shared" si="46"/>
        <v/>
      </c>
      <c r="N373" s="63" t="e">
        <f t="shared" si="45"/>
        <v>#VALUE!</v>
      </c>
      <c r="O373" s="86"/>
      <c r="P373" s="223"/>
      <c r="Q373" s="224"/>
      <c r="R373" s="135"/>
      <c r="S373" s="139" cm="1">
        <f t="array" ref="S373">IF(P373="",0,IF(OR(O373=";",P373="EQU",P373="ORG"),0,HlpGetInstructionSize(P373,Q373,R373,$AC$12)))</f>
        <v>0</v>
      </c>
      <c r="V373" s="42" t="str">
        <f t="shared" si="44"/>
        <v/>
      </c>
      <c r="W373" s="16"/>
      <c r="X373" s="28"/>
      <c r="Y373" s="29"/>
      <c r="AA373" s="66"/>
      <c r="AB373" s="11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28"/>
      <c r="AD373" s="129"/>
      <c r="AE373" s="129"/>
      <c r="AF373" s="129"/>
      <c r="AG373" s="129"/>
      <c r="AH373" s="129"/>
      <c r="AI373" s="129"/>
      <c r="AJ373" s="130"/>
    </row>
    <row r="374" spans="11:36">
      <c r="K374" s="76"/>
      <c r="L374" s="48" t="e">
        <f t="shared" si="43"/>
        <v>#VALUE!</v>
      </c>
      <c r="M374" s="32" t="str">
        <f t="shared" si="46"/>
        <v/>
      </c>
      <c r="N374" s="63" t="e">
        <f t="shared" si="45"/>
        <v>#VALUE!</v>
      </c>
      <c r="O374" s="86"/>
      <c r="P374" s="223"/>
      <c r="Q374" s="224"/>
      <c r="R374" s="135"/>
      <c r="S374" s="139" cm="1">
        <f t="array" ref="S374">IF(P374="",0,IF(OR(O374=";",P374="EQU",P374="ORG"),0,HlpGetInstructionSize(P374,Q374,R374,$AC$12)))</f>
        <v>0</v>
      </c>
      <c r="V374" s="42" t="str">
        <f t="shared" si="44"/>
        <v/>
      </c>
      <c r="W374" s="16"/>
      <c r="X374" s="28"/>
      <c r="Y374" s="29"/>
      <c r="AA374" s="66"/>
      <c r="AB374" s="11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28"/>
      <c r="AD374" s="129"/>
      <c r="AE374" s="129"/>
      <c r="AF374" s="129"/>
      <c r="AG374" s="129"/>
      <c r="AH374" s="129"/>
      <c r="AI374" s="129"/>
      <c r="AJ374" s="130"/>
    </row>
    <row r="375" spans="11:36">
      <c r="K375" s="76"/>
      <c r="L375" s="48" t="e">
        <f t="shared" si="43"/>
        <v>#VALUE!</v>
      </c>
      <c r="M375" s="32" t="str">
        <f t="shared" si="46"/>
        <v/>
      </c>
      <c r="N375" s="63" t="e">
        <f t="shared" si="45"/>
        <v>#VALUE!</v>
      </c>
      <c r="O375" s="86"/>
      <c r="P375" s="223"/>
      <c r="Q375" s="224"/>
      <c r="R375" s="135"/>
      <c r="S375" s="139" cm="1">
        <f t="array" ref="S375">IF(P375="",0,IF(OR(O375=";",P375="EQU",P375="ORG"),0,HlpGetInstructionSize(P375,Q375,R375,$AC$12)))</f>
        <v>0</v>
      </c>
      <c r="V375" s="42" t="str">
        <f t="shared" si="44"/>
        <v/>
      </c>
      <c r="W375" s="16"/>
      <c r="X375" s="28"/>
      <c r="Y375" s="29"/>
      <c r="AA375" s="66"/>
      <c r="AB375" s="11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28"/>
      <c r="AD375" s="129"/>
      <c r="AE375" s="129"/>
      <c r="AF375" s="129"/>
      <c r="AG375" s="129"/>
      <c r="AH375" s="129"/>
      <c r="AI375" s="129"/>
      <c r="AJ375" s="130"/>
    </row>
    <row r="376" spans="11:36">
      <c r="K376" s="76"/>
      <c r="L376" s="48" t="e">
        <f t="shared" si="43"/>
        <v>#VALUE!</v>
      </c>
      <c r="M376" s="32" t="str">
        <f t="shared" si="46"/>
        <v/>
      </c>
      <c r="N376" s="63" t="e">
        <f t="shared" si="45"/>
        <v>#VALUE!</v>
      </c>
      <c r="O376" s="86"/>
      <c r="P376" s="223"/>
      <c r="Q376" s="224"/>
      <c r="R376" s="135"/>
      <c r="S376" s="139" cm="1">
        <f t="array" ref="S376">IF(P376="",0,IF(OR(O376=";",P376="EQU",P376="ORG"),0,HlpGetInstructionSize(P376,Q376,R376,$AC$12)))</f>
        <v>0</v>
      </c>
      <c r="V376" s="42" t="str">
        <f t="shared" si="44"/>
        <v/>
      </c>
      <c r="W376" s="16"/>
      <c r="X376" s="28"/>
      <c r="Y376" s="29"/>
      <c r="AA376" s="66"/>
      <c r="AB376" s="11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28"/>
      <c r="AD376" s="129"/>
      <c r="AE376" s="129"/>
      <c r="AF376" s="129"/>
      <c r="AG376" s="129"/>
      <c r="AH376" s="129"/>
      <c r="AI376" s="129"/>
      <c r="AJ376" s="130"/>
    </row>
    <row r="377" spans="11:36">
      <c r="K377" s="76"/>
      <c r="L377" s="48" t="e">
        <f t="shared" si="43"/>
        <v>#VALUE!</v>
      </c>
      <c r="M377" s="32" t="str">
        <f t="shared" si="46"/>
        <v/>
      </c>
      <c r="N377" s="63" t="e">
        <f t="shared" si="45"/>
        <v>#VALUE!</v>
      </c>
      <c r="O377" s="86"/>
      <c r="P377" s="223"/>
      <c r="Q377" s="224"/>
      <c r="R377" s="135"/>
      <c r="S377" s="139" cm="1">
        <f t="array" ref="S377">IF(P377="",0,IF(OR(O377=";",P377="EQU",P377="ORG"),0,HlpGetInstructionSize(P377,Q377,R377,$AC$12)))</f>
        <v>0</v>
      </c>
      <c r="V377" s="42" t="str">
        <f t="shared" si="44"/>
        <v/>
      </c>
      <c r="W377" s="16"/>
      <c r="X377" s="28"/>
      <c r="Y377" s="29"/>
      <c r="AA377" s="66"/>
      <c r="AB377" s="11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28"/>
      <c r="AD377" s="129"/>
      <c r="AE377" s="129"/>
      <c r="AF377" s="129"/>
      <c r="AG377" s="129"/>
      <c r="AH377" s="129"/>
      <c r="AI377" s="129"/>
      <c r="AJ377" s="130"/>
    </row>
    <row r="378" spans="11:36">
      <c r="K378" s="76"/>
      <c r="L378" s="48" t="e">
        <f t="shared" si="43"/>
        <v>#VALUE!</v>
      </c>
      <c r="M378" s="32" t="str">
        <f t="shared" si="46"/>
        <v/>
      </c>
      <c r="N378" s="63" t="e">
        <f t="shared" si="45"/>
        <v>#VALUE!</v>
      </c>
      <c r="O378" s="86"/>
      <c r="P378" s="223"/>
      <c r="Q378" s="224"/>
      <c r="R378" s="135"/>
      <c r="S378" s="139" cm="1">
        <f t="array" ref="S378">IF(P378="",0,IF(OR(O378=";",P378="EQU",P378="ORG"),0,HlpGetInstructionSize(P378,Q378,R378,$AC$12)))</f>
        <v>0</v>
      </c>
      <c r="V378" s="42" t="str">
        <f t="shared" si="44"/>
        <v/>
      </c>
      <c r="W378" s="16"/>
      <c r="X378" s="28"/>
      <c r="Y378" s="29"/>
      <c r="AA378" s="66"/>
      <c r="AB378" s="11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28"/>
      <c r="AD378" s="129"/>
      <c r="AE378" s="129"/>
      <c r="AF378" s="129"/>
      <c r="AG378" s="129"/>
      <c r="AH378" s="129"/>
      <c r="AI378" s="129"/>
      <c r="AJ378" s="130"/>
    </row>
    <row r="379" spans="11:36">
      <c r="K379" s="76"/>
      <c r="L379" s="48" t="e">
        <f t="shared" si="43"/>
        <v>#VALUE!</v>
      </c>
      <c r="M379" s="32" t="str">
        <f t="shared" si="46"/>
        <v/>
      </c>
      <c r="N379" s="63" t="e">
        <f t="shared" si="45"/>
        <v>#VALUE!</v>
      </c>
      <c r="O379" s="86"/>
      <c r="P379" s="223"/>
      <c r="Q379" s="224"/>
      <c r="R379" s="135"/>
      <c r="S379" s="139" cm="1">
        <f t="array" ref="S379">IF(P379="",0,IF(OR(O379=";",P379="EQU",P379="ORG"),0,HlpGetInstructionSize(P379,Q379,R379,$AC$12)))</f>
        <v>0</v>
      </c>
      <c r="V379" s="42" t="str">
        <f t="shared" si="44"/>
        <v/>
      </c>
      <c r="W379" s="16"/>
      <c r="X379" s="28"/>
      <c r="Y379" s="29"/>
      <c r="AA379" s="66"/>
      <c r="AB379" s="11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28"/>
      <c r="AD379" s="129"/>
      <c r="AE379" s="129"/>
      <c r="AF379" s="129"/>
      <c r="AG379" s="129"/>
      <c r="AH379" s="129"/>
      <c r="AI379" s="129"/>
      <c r="AJ379" s="130"/>
    </row>
    <row r="380" spans="11:36">
      <c r="K380" s="76"/>
      <c r="L380" s="48" t="e">
        <f t="shared" si="43"/>
        <v>#VALUE!</v>
      </c>
      <c r="M380" s="32" t="str">
        <f t="shared" si="46"/>
        <v/>
      </c>
      <c r="N380" s="63" t="e">
        <f t="shared" si="45"/>
        <v>#VALUE!</v>
      </c>
      <c r="O380" s="86"/>
      <c r="P380" s="223"/>
      <c r="Q380" s="224"/>
      <c r="R380" s="135"/>
      <c r="S380" s="139" cm="1">
        <f t="array" ref="S380">IF(P380="",0,IF(OR(O380=";",P380="EQU",P380="ORG"),0,HlpGetInstructionSize(P380,Q380,R380,$AC$12)))</f>
        <v>0</v>
      </c>
      <c r="V380" s="42" t="str">
        <f t="shared" si="44"/>
        <v/>
      </c>
      <c r="W380" s="16"/>
      <c r="X380" s="28"/>
      <c r="Y380" s="29"/>
      <c r="AA380" s="66"/>
      <c r="AB380" s="11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28"/>
      <c r="AD380" s="129"/>
      <c r="AE380" s="129"/>
      <c r="AF380" s="129"/>
      <c r="AG380" s="129"/>
      <c r="AH380" s="129"/>
      <c r="AI380" s="129"/>
      <c r="AJ380" s="130"/>
    </row>
    <row r="381" spans="11:36">
      <c r="K381" s="76"/>
      <c r="L381" s="48" t="e">
        <f t="shared" si="43"/>
        <v>#VALUE!</v>
      </c>
      <c r="M381" s="32" t="str">
        <f t="shared" si="46"/>
        <v/>
      </c>
      <c r="N381" s="63" t="e">
        <f t="shared" si="45"/>
        <v>#VALUE!</v>
      </c>
      <c r="O381" s="86"/>
      <c r="P381" s="223"/>
      <c r="Q381" s="224"/>
      <c r="R381" s="135"/>
      <c r="S381" s="139" cm="1">
        <f t="array" ref="S381">IF(P381="",0,IF(OR(O381=";",P381="EQU",P381="ORG"),0,HlpGetInstructionSize(P381,Q381,R381,$AC$12)))</f>
        <v>0</v>
      </c>
      <c r="V381" s="42" t="str">
        <f t="shared" si="44"/>
        <v/>
      </c>
      <c r="W381" s="16"/>
      <c r="X381" s="28"/>
      <c r="Y381" s="29"/>
      <c r="AA381" s="66"/>
      <c r="AB381" s="11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28"/>
      <c r="AD381" s="129"/>
      <c r="AE381" s="129"/>
      <c r="AF381" s="129"/>
      <c r="AG381" s="129"/>
      <c r="AH381" s="129"/>
      <c r="AI381" s="129"/>
      <c r="AJ381" s="130"/>
    </row>
    <row r="382" spans="11:36">
      <c r="K382" s="76"/>
      <c r="L382" s="48" t="e">
        <f t="shared" si="43"/>
        <v>#VALUE!</v>
      </c>
      <c r="M382" s="32" t="str">
        <f t="shared" si="46"/>
        <v/>
      </c>
      <c r="N382" s="63" t="e">
        <f t="shared" si="45"/>
        <v>#VALUE!</v>
      </c>
      <c r="O382" s="86"/>
      <c r="P382" s="223"/>
      <c r="Q382" s="224"/>
      <c r="R382" s="135"/>
      <c r="S382" s="139" cm="1">
        <f t="array" ref="S382">IF(P382="",0,IF(OR(O382=";",P382="EQU",P382="ORG"),0,HlpGetInstructionSize(P382,Q382,R382,$AC$12)))</f>
        <v>0</v>
      </c>
      <c r="V382" s="42" t="str">
        <f t="shared" si="44"/>
        <v/>
      </c>
      <c r="W382" s="16"/>
      <c r="X382" s="28"/>
      <c r="Y382" s="29"/>
      <c r="AA382" s="66"/>
      <c r="AB382" s="11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28"/>
      <c r="AD382" s="129"/>
      <c r="AE382" s="129"/>
      <c r="AF382" s="129"/>
      <c r="AG382" s="129"/>
      <c r="AH382" s="129"/>
      <c r="AI382" s="129"/>
      <c r="AJ382" s="130"/>
    </row>
    <row r="383" spans="11:36">
      <c r="K383" s="76"/>
      <c r="L383" s="48" t="e">
        <f t="shared" si="43"/>
        <v>#VALUE!</v>
      </c>
      <c r="M383" s="32" t="str">
        <f t="shared" si="46"/>
        <v/>
      </c>
      <c r="N383" s="63" t="e">
        <f t="shared" si="45"/>
        <v>#VALUE!</v>
      </c>
      <c r="O383" s="86"/>
      <c r="P383" s="223"/>
      <c r="Q383" s="224"/>
      <c r="R383" s="135"/>
      <c r="S383" s="139" cm="1">
        <f t="array" ref="S383">IF(P383="",0,IF(OR(O383=";",P383="EQU",P383="ORG"),0,HlpGetInstructionSize(P383,Q383,R383,$AC$12)))</f>
        <v>0</v>
      </c>
      <c r="V383" s="42" t="str">
        <f t="shared" si="44"/>
        <v/>
      </c>
      <c r="W383" s="16"/>
      <c r="X383" s="28"/>
      <c r="Y383" s="29"/>
      <c r="AA383" s="66"/>
      <c r="AB383" s="11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28"/>
      <c r="AD383" s="129"/>
      <c r="AE383" s="129"/>
      <c r="AF383" s="129"/>
      <c r="AG383" s="129"/>
      <c r="AH383" s="129"/>
      <c r="AI383" s="129"/>
      <c r="AJ383" s="130"/>
    </row>
    <row r="384" spans="11:36">
      <c r="K384" s="76"/>
      <c r="L384" s="48" t="e">
        <f t="shared" si="43"/>
        <v>#VALUE!</v>
      </c>
      <c r="M384" s="32" t="str">
        <f t="shared" si="46"/>
        <v/>
      </c>
      <c r="N384" s="63" t="e">
        <f t="shared" si="45"/>
        <v>#VALUE!</v>
      </c>
      <c r="O384" s="86"/>
      <c r="P384" s="223"/>
      <c r="Q384" s="224"/>
      <c r="R384" s="135"/>
      <c r="S384" s="139" cm="1">
        <f t="array" ref="S384">IF(P384="",0,IF(OR(O384=";",P384="EQU",P384="ORG"),0,HlpGetInstructionSize(P384,Q384,R384,$AC$12)))</f>
        <v>0</v>
      </c>
      <c r="V384" s="42" t="str">
        <f t="shared" si="44"/>
        <v/>
      </c>
      <c r="W384" s="16"/>
      <c r="X384" s="28"/>
      <c r="Y384" s="29"/>
      <c r="AA384" s="66"/>
      <c r="AB384" s="11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28"/>
      <c r="AD384" s="129"/>
      <c r="AE384" s="129"/>
      <c r="AF384" s="129"/>
      <c r="AG384" s="129"/>
      <c r="AH384" s="129"/>
      <c r="AI384" s="129"/>
      <c r="AJ384" s="130"/>
    </row>
    <row r="385" spans="11:36">
      <c r="K385" s="76"/>
      <c r="L385" s="48" t="e">
        <f t="shared" si="43"/>
        <v>#VALUE!</v>
      </c>
      <c r="M385" s="32" t="str">
        <f t="shared" si="46"/>
        <v/>
      </c>
      <c r="N385" s="63" t="e">
        <f t="shared" si="45"/>
        <v>#VALUE!</v>
      </c>
      <c r="O385" s="86"/>
      <c r="P385" s="223"/>
      <c r="Q385" s="224"/>
      <c r="R385" s="135"/>
      <c r="S385" s="139" cm="1">
        <f t="array" ref="S385">IF(P385="",0,IF(OR(O385=";",P385="EQU",P385="ORG"),0,HlpGetInstructionSize(P385,Q385,R385,$AC$12)))</f>
        <v>0</v>
      </c>
      <c r="V385" s="42" t="str">
        <f t="shared" si="44"/>
        <v/>
      </c>
      <c r="W385" s="16"/>
      <c r="X385" s="28"/>
      <c r="Y385" s="29"/>
      <c r="AA385" s="66"/>
      <c r="AB385" s="11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28"/>
      <c r="AD385" s="129"/>
      <c r="AE385" s="129"/>
      <c r="AF385" s="129"/>
      <c r="AG385" s="129"/>
      <c r="AH385" s="129"/>
      <c r="AI385" s="129"/>
      <c r="AJ385" s="130"/>
    </row>
    <row r="386" spans="11:36">
      <c r="K386" s="76"/>
      <c r="L386" s="48" t="e">
        <f t="shared" si="43"/>
        <v>#VALUE!</v>
      </c>
      <c r="M386" s="32" t="str">
        <f t="shared" si="46"/>
        <v/>
      </c>
      <c r="N386" s="63" t="e">
        <f t="shared" si="45"/>
        <v>#VALUE!</v>
      </c>
      <c r="O386" s="86"/>
      <c r="P386" s="223"/>
      <c r="Q386" s="224"/>
      <c r="R386" s="135"/>
      <c r="S386" s="139" cm="1">
        <f t="array" ref="S386">IF(P386="",0,IF(OR(O386=";",P386="EQU",P386="ORG"),0,HlpGetInstructionSize(P386,Q386,R386,$AC$12)))</f>
        <v>0</v>
      </c>
      <c r="V386" s="42" t="str">
        <f t="shared" si="44"/>
        <v/>
      </c>
      <c r="W386" s="16"/>
      <c r="X386" s="28"/>
      <c r="Y386" s="29"/>
      <c r="AA386" s="66"/>
      <c r="AB386" s="11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28"/>
      <c r="AD386" s="129"/>
      <c r="AE386" s="129"/>
      <c r="AF386" s="129"/>
      <c r="AG386" s="129"/>
      <c r="AH386" s="129"/>
      <c r="AI386" s="129"/>
      <c r="AJ386" s="130"/>
    </row>
    <row r="387" spans="11:36">
      <c r="K387" s="76"/>
      <c r="L387" s="48" t="e">
        <f t="shared" si="43"/>
        <v>#VALUE!</v>
      </c>
      <c r="M387" s="32" t="str">
        <f t="shared" si="46"/>
        <v/>
      </c>
      <c r="N387" s="63" t="e">
        <f t="shared" si="45"/>
        <v>#VALUE!</v>
      </c>
      <c r="O387" s="86"/>
      <c r="P387" s="223"/>
      <c r="Q387" s="224"/>
      <c r="R387" s="135"/>
      <c r="S387" s="139" cm="1">
        <f t="array" ref="S387">IF(P387="",0,IF(OR(O387=";",P387="EQU",P387="ORG"),0,HlpGetInstructionSize(P387,Q387,R387,$AC$12)))</f>
        <v>0</v>
      </c>
      <c r="V387" s="42" t="str">
        <f t="shared" si="44"/>
        <v/>
      </c>
      <c r="W387" s="16"/>
      <c r="X387" s="28"/>
      <c r="Y387" s="29"/>
      <c r="AA387" s="66"/>
      <c r="AB387" s="11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28"/>
      <c r="AD387" s="129"/>
      <c r="AE387" s="129"/>
      <c r="AF387" s="129"/>
      <c r="AG387" s="129"/>
      <c r="AH387" s="129"/>
      <c r="AI387" s="129"/>
      <c r="AJ387" s="130"/>
    </row>
    <row r="388" spans="11:36">
      <c r="K388" s="76"/>
      <c r="L388" s="48" t="e">
        <f t="shared" si="43"/>
        <v>#VALUE!</v>
      </c>
      <c r="M388" s="32" t="str">
        <f t="shared" si="46"/>
        <v/>
      </c>
      <c r="N388" s="63" t="e">
        <f t="shared" si="45"/>
        <v>#VALUE!</v>
      </c>
      <c r="O388" s="86"/>
      <c r="P388" s="223"/>
      <c r="Q388" s="224"/>
      <c r="R388" s="135"/>
      <c r="S388" s="139" cm="1">
        <f t="array" ref="S388">IF(P388="",0,IF(OR(O388=";",P388="EQU",P388="ORG"),0,HlpGetInstructionSize(P388,Q388,R388,$AC$12)))</f>
        <v>0</v>
      </c>
      <c r="V388" s="42" t="str">
        <f t="shared" si="44"/>
        <v/>
      </c>
      <c r="W388" s="16"/>
      <c r="X388" s="28"/>
      <c r="Y388" s="29"/>
      <c r="AA388" s="66"/>
      <c r="AB388" s="11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28"/>
      <c r="AD388" s="129"/>
      <c r="AE388" s="129"/>
      <c r="AF388" s="129"/>
      <c r="AG388" s="129"/>
      <c r="AH388" s="129"/>
      <c r="AI388" s="129"/>
      <c r="AJ388" s="130"/>
    </row>
    <row r="389" spans="11:36">
      <c r="K389" s="76"/>
      <c r="L389" s="48" t="e">
        <f t="shared" si="43"/>
        <v>#VALUE!</v>
      </c>
      <c r="M389" s="32" t="str">
        <f t="shared" si="46"/>
        <v/>
      </c>
      <c r="N389" s="63" t="e">
        <f t="shared" si="45"/>
        <v>#VALUE!</v>
      </c>
      <c r="O389" s="86"/>
      <c r="P389" s="223"/>
      <c r="Q389" s="224"/>
      <c r="R389" s="135"/>
      <c r="S389" s="139" cm="1">
        <f t="array" ref="S389">IF(P389="",0,IF(OR(O389=";",P389="EQU",P389="ORG"),0,HlpGetInstructionSize(P389,Q389,R389,$AC$12)))</f>
        <v>0</v>
      </c>
      <c r="V389" s="42" t="str">
        <f t="shared" si="44"/>
        <v/>
      </c>
      <c r="W389" s="16"/>
      <c r="X389" s="28"/>
      <c r="Y389" s="29"/>
      <c r="AA389" s="66"/>
      <c r="AB389" s="11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28"/>
      <c r="AD389" s="129"/>
      <c r="AE389" s="129"/>
      <c r="AF389" s="129"/>
      <c r="AG389" s="129"/>
      <c r="AH389" s="129"/>
      <c r="AI389" s="129"/>
      <c r="AJ389" s="130"/>
    </row>
    <row r="390" spans="11:36">
      <c r="K390" s="76"/>
      <c r="L390" s="48" t="e">
        <f t="shared" si="43"/>
        <v>#VALUE!</v>
      </c>
      <c r="M390" s="32" t="str">
        <f t="shared" si="46"/>
        <v/>
      </c>
      <c r="N390" s="63" t="e">
        <f t="shared" si="45"/>
        <v>#VALUE!</v>
      </c>
      <c r="O390" s="86"/>
      <c r="P390" s="223"/>
      <c r="Q390" s="224"/>
      <c r="R390" s="135"/>
      <c r="S390" s="139" cm="1">
        <f t="array" ref="S390">IF(P390="",0,IF(OR(O390=";",P390="EQU",P390="ORG"),0,HlpGetInstructionSize(P390,Q390,R390,$AC$12)))</f>
        <v>0</v>
      </c>
      <c r="V390" s="42" t="str">
        <f t="shared" si="44"/>
        <v/>
      </c>
      <c r="W390" s="16"/>
      <c r="X390" s="28"/>
      <c r="Y390" s="29"/>
      <c r="AA390" s="66"/>
      <c r="AB390" s="11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28"/>
      <c r="AD390" s="129"/>
      <c r="AE390" s="129"/>
      <c r="AF390" s="129"/>
      <c r="AG390" s="129"/>
      <c r="AH390" s="129"/>
      <c r="AI390" s="129"/>
      <c r="AJ390" s="130"/>
    </row>
    <row r="391" spans="11:36">
      <c r="K391" s="76"/>
      <c r="L391" s="48" t="e">
        <f t="shared" si="43"/>
        <v>#VALUE!</v>
      </c>
      <c r="M391" s="32" t="str">
        <f t="shared" si="46"/>
        <v/>
      </c>
      <c r="N391" s="63" t="e">
        <f t="shared" si="45"/>
        <v>#VALUE!</v>
      </c>
      <c r="O391" s="86"/>
      <c r="P391" s="223"/>
      <c r="Q391" s="224"/>
      <c r="R391" s="135"/>
      <c r="S391" s="139" cm="1">
        <f t="array" ref="S391">IF(P391="",0,IF(OR(O391=";",P391="EQU",P391="ORG"),0,HlpGetInstructionSize(P391,Q391,R391,$AC$12)))</f>
        <v>0</v>
      </c>
      <c r="V391" s="42" t="str">
        <f t="shared" si="44"/>
        <v/>
      </c>
      <c r="W391" s="16"/>
      <c r="X391" s="28"/>
      <c r="Y391" s="29"/>
      <c r="AA391" s="66"/>
      <c r="AB391" s="11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28"/>
      <c r="AD391" s="129"/>
      <c r="AE391" s="129"/>
      <c r="AF391" s="129"/>
      <c r="AG391" s="129"/>
      <c r="AH391" s="129"/>
      <c r="AI391" s="129"/>
      <c r="AJ391" s="130"/>
    </row>
    <row r="392" spans="11:36">
      <c r="K392" s="76"/>
      <c r="L392" s="48" t="e">
        <f t="shared" si="43"/>
        <v>#VALUE!</v>
      </c>
      <c r="M392" s="32" t="str">
        <f t="shared" si="46"/>
        <v/>
      </c>
      <c r="N392" s="63" t="e">
        <f t="shared" si="45"/>
        <v>#VALUE!</v>
      </c>
      <c r="O392" s="86"/>
      <c r="P392" s="223"/>
      <c r="Q392" s="224"/>
      <c r="R392" s="135"/>
      <c r="S392" s="139" cm="1">
        <f t="array" ref="S392">IF(P392="",0,IF(OR(O392=";",P392="EQU",P392="ORG"),0,HlpGetInstructionSize(P392,Q392,R392,$AC$12)))</f>
        <v>0</v>
      </c>
      <c r="V392" s="42" t="str">
        <f t="shared" si="44"/>
        <v/>
      </c>
      <c r="W392" s="16"/>
      <c r="X392" s="28"/>
      <c r="Y392" s="29"/>
      <c r="AA392" s="66"/>
      <c r="AB392" s="11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28"/>
      <c r="AD392" s="129"/>
      <c r="AE392" s="129"/>
      <c r="AF392" s="129"/>
      <c r="AG392" s="129"/>
      <c r="AH392" s="129"/>
      <c r="AI392" s="129"/>
      <c r="AJ392" s="130"/>
    </row>
    <row r="393" spans="11:36">
      <c r="K393" s="76"/>
      <c r="L393" s="48" t="e">
        <f t="shared" ref="L393:L456" si="47">IF(UPPER(P393)="EQU","E",IF(P393="DB","D",IF(O393&lt;&gt;"","L",IF(N393="","F",""))))</f>
        <v>#VALUE!</v>
      </c>
      <c r="M393" s="32" t="str">
        <f t="shared" si="46"/>
        <v/>
      </c>
      <c r="N393" s="63" t="e">
        <f t="shared" si="45"/>
        <v>#VALUE!</v>
      </c>
      <c r="O393" s="86"/>
      <c r="P393" s="223"/>
      <c r="Q393" s="224"/>
      <c r="R393" s="135"/>
      <c r="S393" s="139" cm="1">
        <f t="array" ref="S393">IF(P393="",0,IF(OR(O393=";",P393="EQU",P393="ORG"),0,HlpGetInstructionSize(P393,Q393,R393,$AC$12)))</f>
        <v>0</v>
      </c>
      <c r="V393" s="42" t="str">
        <f t="shared" ref="V393:V456" si="48">IF(W393&gt;0,RIGHT("0000"&amp;DEC2HEX(W393),4),"")</f>
        <v/>
      </c>
      <c r="W393" s="16"/>
      <c r="X393" s="28"/>
      <c r="Y393" s="29"/>
      <c r="AA393" s="66"/>
      <c r="AB393" s="11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28"/>
      <c r="AD393" s="129"/>
      <c r="AE393" s="129"/>
      <c r="AF393" s="129"/>
      <c r="AG393" s="129"/>
      <c r="AH393" s="129"/>
      <c r="AI393" s="129"/>
      <c r="AJ393" s="130"/>
    </row>
    <row r="394" spans="11:36">
      <c r="K394" s="76"/>
      <c r="L394" s="48" t="e">
        <f t="shared" si="47"/>
        <v>#VALUE!</v>
      </c>
      <c r="M394" s="32" t="str">
        <f t="shared" si="46"/>
        <v/>
      </c>
      <c r="N394" s="63" t="e">
        <f t="shared" ref="N394:N457" si="49">N393+S393</f>
        <v>#VALUE!</v>
      </c>
      <c r="O394" s="86"/>
      <c r="P394" s="223"/>
      <c r="Q394" s="224"/>
      <c r="R394" s="135"/>
      <c r="S394" s="139" cm="1">
        <f t="array" ref="S394">IF(P394="",0,IF(OR(O394=";",P394="EQU",P394="ORG"),0,HlpGetInstructionSize(P394,Q394,R394,$AC$12)))</f>
        <v>0</v>
      </c>
      <c r="V394" s="42" t="str">
        <f t="shared" si="48"/>
        <v/>
      </c>
      <c r="W394" s="16"/>
      <c r="X394" s="28"/>
      <c r="Y394" s="29"/>
      <c r="AA394" s="66"/>
      <c r="AB394" s="11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28"/>
      <c r="AD394" s="129"/>
      <c r="AE394" s="129"/>
      <c r="AF394" s="129"/>
      <c r="AG394" s="129"/>
      <c r="AH394" s="129"/>
      <c r="AI394" s="129"/>
      <c r="AJ394" s="130"/>
    </row>
    <row r="395" spans="11:36">
      <c r="K395" s="76"/>
      <c r="L395" s="48" t="e">
        <f t="shared" si="47"/>
        <v>#VALUE!</v>
      </c>
      <c r="M395" s="32" t="str">
        <f t="shared" si="46"/>
        <v/>
      </c>
      <c r="N395" s="63" t="e">
        <f t="shared" si="49"/>
        <v>#VALUE!</v>
      </c>
      <c r="O395" s="86"/>
      <c r="P395" s="223"/>
      <c r="Q395" s="224"/>
      <c r="R395" s="135"/>
      <c r="S395" s="139" cm="1">
        <f t="array" ref="S395">IF(P395="",0,IF(OR(O395=";",P395="EQU",P395="ORG"),0,HlpGetInstructionSize(P395,Q395,R395,$AC$12)))</f>
        <v>0</v>
      </c>
      <c r="V395" s="42" t="str">
        <f t="shared" si="48"/>
        <v/>
      </c>
      <c r="W395" s="16"/>
      <c r="X395" s="28"/>
      <c r="Y395" s="29"/>
      <c r="AA395" s="66"/>
      <c r="AB395" s="11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28"/>
      <c r="AD395" s="129"/>
      <c r="AE395" s="129"/>
      <c r="AF395" s="129"/>
      <c r="AG395" s="129"/>
      <c r="AH395" s="129"/>
      <c r="AI395" s="129"/>
      <c r="AJ395" s="130"/>
    </row>
    <row r="396" spans="11:36">
      <c r="K396" s="76"/>
      <c r="L396" s="48" t="e">
        <f t="shared" si="47"/>
        <v>#VALUE!</v>
      </c>
      <c r="M396" s="32" t="str">
        <f t="shared" si="46"/>
        <v/>
      </c>
      <c r="N396" s="63" t="e">
        <f t="shared" si="49"/>
        <v>#VALUE!</v>
      </c>
      <c r="O396" s="86"/>
      <c r="P396" s="223"/>
      <c r="Q396" s="224"/>
      <c r="R396" s="135"/>
      <c r="S396" s="139" cm="1">
        <f t="array" ref="S396">IF(P396="",0,IF(OR(O396=";",P396="EQU",P396="ORG"),0,HlpGetInstructionSize(P396,Q396,R396,$AC$12)))</f>
        <v>0</v>
      </c>
      <c r="V396" s="42" t="str">
        <f t="shared" si="48"/>
        <v/>
      </c>
      <c r="W396" s="16"/>
      <c r="X396" s="28"/>
      <c r="Y396" s="29"/>
      <c r="AA396" s="66"/>
      <c r="AB396" s="11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28"/>
      <c r="AD396" s="129"/>
      <c r="AE396" s="129"/>
      <c r="AF396" s="129"/>
      <c r="AG396" s="129"/>
      <c r="AH396" s="129"/>
      <c r="AI396" s="129"/>
      <c r="AJ396" s="130"/>
    </row>
    <row r="397" spans="11:36">
      <c r="K397" s="76"/>
      <c r="L397" s="48" t="e">
        <f t="shared" si="47"/>
        <v>#VALUE!</v>
      </c>
      <c r="M397" s="32" t="str">
        <f t="shared" si="46"/>
        <v/>
      </c>
      <c r="N397" s="63" t="e">
        <f t="shared" si="49"/>
        <v>#VALUE!</v>
      </c>
      <c r="O397" s="86"/>
      <c r="P397" s="223"/>
      <c r="Q397" s="224"/>
      <c r="R397" s="135"/>
      <c r="S397" s="139" cm="1">
        <f t="array" ref="S397">IF(P397="",0,IF(OR(O397=";",P397="EQU",P397="ORG"),0,HlpGetInstructionSize(P397,Q397,R397,$AC$12)))</f>
        <v>0</v>
      </c>
      <c r="V397" s="42" t="str">
        <f t="shared" si="48"/>
        <v/>
      </c>
      <c r="W397" s="16"/>
      <c r="X397" s="28"/>
      <c r="Y397" s="29"/>
      <c r="AA397" s="66"/>
      <c r="AB397" s="11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28"/>
      <c r="AD397" s="129"/>
      <c r="AE397" s="129"/>
      <c r="AF397" s="129"/>
      <c r="AG397" s="129"/>
      <c r="AH397" s="129"/>
      <c r="AI397" s="129"/>
      <c r="AJ397" s="130"/>
    </row>
    <row r="398" spans="11:36">
      <c r="K398" s="76"/>
      <c r="L398" s="48" t="e">
        <f t="shared" si="47"/>
        <v>#VALUE!</v>
      </c>
      <c r="M398" s="32" t="str">
        <f t="shared" si="46"/>
        <v/>
      </c>
      <c r="N398" s="63" t="e">
        <f t="shared" si="49"/>
        <v>#VALUE!</v>
      </c>
      <c r="O398" s="86"/>
      <c r="P398" s="223"/>
      <c r="Q398" s="224"/>
      <c r="R398" s="135"/>
      <c r="S398" s="139" cm="1">
        <f t="array" ref="S398">IF(P398="",0,IF(OR(O398=";",P398="EQU",P398="ORG"),0,HlpGetInstructionSize(P398,Q398,R398,$AC$12)))</f>
        <v>0</v>
      </c>
      <c r="V398" s="42" t="str">
        <f t="shared" si="48"/>
        <v/>
      </c>
      <c r="W398" s="16"/>
      <c r="X398" s="28"/>
      <c r="Y398" s="29"/>
      <c r="AA398" s="66"/>
      <c r="AB398" s="11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28"/>
      <c r="AD398" s="129"/>
      <c r="AE398" s="129"/>
      <c r="AF398" s="129"/>
      <c r="AG398" s="129"/>
      <c r="AH398" s="129"/>
      <c r="AI398" s="129"/>
      <c r="AJ398" s="130"/>
    </row>
    <row r="399" spans="11:36">
      <c r="K399" s="76"/>
      <c r="L399" s="48" t="e">
        <f t="shared" si="47"/>
        <v>#VALUE!</v>
      </c>
      <c r="M399" s="32" t="str">
        <f t="shared" si="46"/>
        <v/>
      </c>
      <c r="N399" s="63" t="e">
        <f t="shared" si="49"/>
        <v>#VALUE!</v>
      </c>
      <c r="O399" s="86"/>
      <c r="P399" s="223"/>
      <c r="Q399" s="224"/>
      <c r="R399" s="135"/>
      <c r="S399" s="139" cm="1">
        <f t="array" ref="S399">IF(P399="",0,IF(OR(O399=";",P399="EQU",P399="ORG"),0,HlpGetInstructionSize(P399,Q399,R399,$AC$12)))</f>
        <v>0</v>
      </c>
      <c r="V399" s="42" t="str">
        <f t="shared" si="48"/>
        <v/>
      </c>
      <c r="W399" s="16"/>
      <c r="X399" s="28"/>
      <c r="Y399" s="29"/>
      <c r="AA399" s="66"/>
      <c r="AB399" s="11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28"/>
      <c r="AD399" s="129"/>
      <c r="AE399" s="129"/>
      <c r="AF399" s="129"/>
      <c r="AG399" s="129"/>
      <c r="AH399" s="129"/>
      <c r="AI399" s="129"/>
      <c r="AJ399" s="130"/>
    </row>
    <row r="400" spans="11:36">
      <c r="K400" s="76"/>
      <c r="L400" s="48" t="e">
        <f t="shared" si="47"/>
        <v>#VALUE!</v>
      </c>
      <c r="M400" s="32" t="str">
        <f t="shared" si="46"/>
        <v/>
      </c>
      <c r="N400" s="63" t="e">
        <f t="shared" si="49"/>
        <v>#VALUE!</v>
      </c>
      <c r="O400" s="86"/>
      <c r="P400" s="223"/>
      <c r="Q400" s="224"/>
      <c r="R400" s="135"/>
      <c r="S400" s="139" cm="1">
        <f t="array" ref="S400">IF(P400="",0,IF(OR(O400=";",P400="EQU",P400="ORG"),0,HlpGetInstructionSize(P400,Q400,R400,$AC$12)))</f>
        <v>0</v>
      </c>
      <c r="V400" s="42" t="str">
        <f t="shared" si="48"/>
        <v/>
      </c>
      <c r="W400" s="16"/>
      <c r="X400" s="28"/>
      <c r="Y400" s="29"/>
      <c r="AA400" s="66"/>
      <c r="AB400" s="11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28"/>
      <c r="AD400" s="129"/>
      <c r="AE400" s="129"/>
      <c r="AF400" s="129"/>
      <c r="AG400" s="129"/>
      <c r="AH400" s="129"/>
      <c r="AI400" s="129"/>
      <c r="AJ400" s="130"/>
    </row>
    <row r="401" spans="11:36">
      <c r="K401" s="76"/>
      <c r="L401" s="48" t="e">
        <f t="shared" si="47"/>
        <v>#VALUE!</v>
      </c>
      <c r="M401" s="32" t="str">
        <f t="shared" si="46"/>
        <v/>
      </c>
      <c r="N401" s="63" t="e">
        <f t="shared" si="49"/>
        <v>#VALUE!</v>
      </c>
      <c r="O401" s="86"/>
      <c r="P401" s="223"/>
      <c r="Q401" s="224"/>
      <c r="R401" s="135"/>
      <c r="S401" s="139" cm="1">
        <f t="array" ref="S401">IF(P401="",0,IF(OR(O401=";",P401="EQU",P401="ORG"),0,HlpGetInstructionSize(P401,Q401,R401,$AC$12)))</f>
        <v>0</v>
      </c>
      <c r="V401" s="42" t="str">
        <f t="shared" si="48"/>
        <v/>
      </c>
      <c r="W401" s="16"/>
      <c r="X401" s="28"/>
      <c r="Y401" s="29"/>
      <c r="AA401" s="66"/>
      <c r="AB401" s="11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28"/>
      <c r="AD401" s="129"/>
      <c r="AE401" s="129"/>
      <c r="AF401" s="129"/>
      <c r="AG401" s="129"/>
      <c r="AH401" s="129"/>
      <c r="AI401" s="129"/>
      <c r="AJ401" s="130"/>
    </row>
    <row r="402" spans="11:36">
      <c r="K402" s="76"/>
      <c r="L402" s="48" t="e">
        <f t="shared" si="47"/>
        <v>#VALUE!</v>
      </c>
      <c r="M402" s="32" t="str">
        <f t="shared" si="46"/>
        <v/>
      </c>
      <c r="N402" s="63" t="e">
        <f t="shared" si="49"/>
        <v>#VALUE!</v>
      </c>
      <c r="O402" s="86"/>
      <c r="P402" s="223"/>
      <c r="Q402" s="224"/>
      <c r="R402" s="135"/>
      <c r="S402" s="139" cm="1">
        <f t="array" ref="S402">IF(P402="",0,IF(OR(O402=";",P402="EQU",P402="ORG"),0,HlpGetInstructionSize(P402,Q402,R402,$AC$12)))</f>
        <v>0</v>
      </c>
      <c r="V402" s="42" t="str">
        <f t="shared" si="48"/>
        <v/>
      </c>
      <c r="W402" s="16"/>
      <c r="X402" s="28"/>
      <c r="Y402" s="29"/>
      <c r="AA402" s="66"/>
      <c r="AB402" s="11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28"/>
      <c r="AD402" s="129"/>
      <c r="AE402" s="129"/>
      <c r="AF402" s="129"/>
      <c r="AG402" s="129"/>
      <c r="AH402" s="129"/>
      <c r="AI402" s="129"/>
      <c r="AJ402" s="130"/>
    </row>
    <row r="403" spans="11:36">
      <c r="K403" s="76"/>
      <c r="L403" s="48" t="e">
        <f t="shared" si="47"/>
        <v>#VALUE!</v>
      </c>
      <c r="M403" s="32" t="str">
        <f t="shared" si="46"/>
        <v/>
      </c>
      <c r="N403" s="63" t="e">
        <f t="shared" si="49"/>
        <v>#VALUE!</v>
      </c>
      <c r="O403" s="86"/>
      <c r="P403" s="223"/>
      <c r="Q403" s="224"/>
      <c r="R403" s="135"/>
      <c r="S403" s="139" cm="1">
        <f t="array" ref="S403">IF(P403="",0,IF(OR(O403=";",P403="EQU",P403="ORG"),0,HlpGetInstructionSize(P403,Q403,R403,$AC$12)))</f>
        <v>0</v>
      </c>
      <c r="V403" s="42" t="str">
        <f t="shared" si="48"/>
        <v/>
      </c>
      <c r="W403" s="16"/>
      <c r="X403" s="28"/>
      <c r="Y403" s="29"/>
      <c r="AA403" s="66"/>
      <c r="AB403" s="11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28"/>
      <c r="AD403" s="129"/>
      <c r="AE403" s="129"/>
      <c r="AF403" s="129"/>
      <c r="AG403" s="129"/>
      <c r="AH403" s="129"/>
      <c r="AI403" s="129"/>
      <c r="AJ403" s="130"/>
    </row>
    <row r="404" spans="11:36">
      <c r="K404" s="76"/>
      <c r="L404" s="48" t="e">
        <f t="shared" si="47"/>
        <v>#VALUE!</v>
      </c>
      <c r="M404" s="32" t="str">
        <f t="shared" si="46"/>
        <v/>
      </c>
      <c r="N404" s="63" t="e">
        <f t="shared" si="49"/>
        <v>#VALUE!</v>
      </c>
      <c r="O404" s="86"/>
      <c r="P404" s="223"/>
      <c r="Q404" s="224"/>
      <c r="R404" s="135"/>
      <c r="S404" s="139" cm="1">
        <f t="array" ref="S404">IF(P404="",0,IF(OR(O404=";",P404="EQU",P404="ORG"),0,HlpGetInstructionSize(P404,Q404,R404,$AC$12)))</f>
        <v>0</v>
      </c>
      <c r="V404" s="42" t="str">
        <f t="shared" si="48"/>
        <v/>
      </c>
      <c r="W404" s="16"/>
      <c r="X404" s="28"/>
      <c r="Y404" s="29"/>
      <c r="AA404" s="66"/>
      <c r="AB404" s="11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28"/>
      <c r="AD404" s="129"/>
      <c r="AE404" s="129"/>
      <c r="AF404" s="129"/>
      <c r="AG404" s="129"/>
      <c r="AH404" s="129"/>
      <c r="AI404" s="129"/>
      <c r="AJ404" s="130"/>
    </row>
    <row r="405" spans="11:36">
      <c r="K405" s="76"/>
      <c r="L405" s="48" t="e">
        <f t="shared" si="47"/>
        <v>#VALUE!</v>
      </c>
      <c r="M405" s="32" t="str">
        <f t="shared" si="46"/>
        <v/>
      </c>
      <c r="N405" s="63" t="e">
        <f t="shared" si="49"/>
        <v>#VALUE!</v>
      </c>
      <c r="O405" s="86"/>
      <c r="P405" s="223"/>
      <c r="Q405" s="224"/>
      <c r="R405" s="135"/>
      <c r="S405" s="139" cm="1">
        <f t="array" ref="S405">IF(P405="",0,IF(OR(O405=";",P405="EQU",P405="ORG"),0,HlpGetInstructionSize(P405,Q405,R405,$AC$12)))</f>
        <v>0</v>
      </c>
      <c r="V405" s="42" t="str">
        <f t="shared" si="48"/>
        <v/>
      </c>
      <c r="W405" s="16"/>
      <c r="X405" s="28"/>
      <c r="Y405" s="29"/>
      <c r="AA405" s="66"/>
      <c r="AB405" s="11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28"/>
      <c r="AD405" s="129"/>
      <c r="AE405" s="129"/>
      <c r="AF405" s="129"/>
      <c r="AG405" s="129"/>
      <c r="AH405" s="129"/>
      <c r="AI405" s="129"/>
      <c r="AJ405" s="130"/>
    </row>
    <row r="406" spans="11:36">
      <c r="K406" s="76"/>
      <c r="L406" s="48" t="e">
        <f t="shared" si="47"/>
        <v>#VALUE!</v>
      </c>
      <c r="M406" s="32" t="str">
        <f t="shared" si="46"/>
        <v/>
      </c>
      <c r="N406" s="63" t="e">
        <f t="shared" si="49"/>
        <v>#VALUE!</v>
      </c>
      <c r="O406" s="86"/>
      <c r="P406" s="223"/>
      <c r="Q406" s="224"/>
      <c r="R406" s="135"/>
      <c r="S406" s="139" cm="1">
        <f t="array" ref="S406">IF(P406="",0,IF(OR(O406=";",P406="EQU",P406="ORG"),0,HlpGetInstructionSize(P406,Q406,R406,$AC$12)))</f>
        <v>0</v>
      </c>
      <c r="V406" s="42" t="str">
        <f t="shared" si="48"/>
        <v/>
      </c>
      <c r="W406" s="16"/>
      <c r="X406" s="28"/>
      <c r="Y406" s="29"/>
      <c r="AA406" s="66"/>
      <c r="AB406" s="11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28"/>
      <c r="AD406" s="129"/>
      <c r="AE406" s="129"/>
      <c r="AF406" s="129"/>
      <c r="AG406" s="129"/>
      <c r="AH406" s="129"/>
      <c r="AI406" s="129"/>
      <c r="AJ406" s="130"/>
    </row>
    <row r="407" spans="11:36">
      <c r="K407" s="76"/>
      <c r="L407" s="48" t="e">
        <f t="shared" si="47"/>
        <v>#VALUE!</v>
      </c>
      <c r="M407" s="32" t="str">
        <f t="shared" si="46"/>
        <v/>
      </c>
      <c r="N407" s="63" t="e">
        <f t="shared" si="49"/>
        <v>#VALUE!</v>
      </c>
      <c r="O407" s="86"/>
      <c r="P407" s="223"/>
      <c r="Q407" s="224"/>
      <c r="R407" s="135"/>
      <c r="S407" s="139" cm="1">
        <f t="array" ref="S407">IF(P407="",0,IF(OR(O407=";",P407="EQU",P407="ORG"),0,HlpGetInstructionSize(P407,Q407,R407,$AC$12)))</f>
        <v>0</v>
      </c>
      <c r="V407" s="42" t="str">
        <f t="shared" si="48"/>
        <v/>
      </c>
      <c r="W407" s="16"/>
      <c r="X407" s="28"/>
      <c r="Y407" s="29"/>
      <c r="AA407" s="66"/>
      <c r="AB407" s="11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28"/>
      <c r="AD407" s="129"/>
      <c r="AE407" s="129"/>
      <c r="AF407" s="129"/>
      <c r="AG407" s="129"/>
      <c r="AH407" s="129"/>
      <c r="AI407" s="129"/>
      <c r="AJ407" s="130"/>
    </row>
    <row r="408" spans="11:36">
      <c r="K408" s="76"/>
      <c r="L408" s="48" t="e">
        <f t="shared" si="47"/>
        <v>#VALUE!</v>
      </c>
      <c r="M408" s="32" t="str">
        <f t="shared" si="46"/>
        <v/>
      </c>
      <c r="N408" s="63" t="e">
        <f t="shared" si="49"/>
        <v>#VALUE!</v>
      </c>
      <c r="O408" s="86"/>
      <c r="P408" s="223"/>
      <c r="Q408" s="224"/>
      <c r="R408" s="135"/>
      <c r="S408" s="139" cm="1">
        <f t="array" ref="S408">IF(P408="",0,IF(OR(O408=";",P408="EQU",P408="ORG"),0,HlpGetInstructionSize(P408,Q408,R408,$AC$12)))</f>
        <v>0</v>
      </c>
      <c r="V408" s="42" t="str">
        <f t="shared" si="48"/>
        <v/>
      </c>
      <c r="W408" s="16"/>
      <c r="X408" s="28"/>
      <c r="Y408" s="29"/>
      <c r="AA408" s="66"/>
      <c r="AB408" s="11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28"/>
      <c r="AD408" s="129"/>
      <c r="AE408" s="129"/>
      <c r="AF408" s="129"/>
      <c r="AG408" s="129"/>
      <c r="AH408" s="129"/>
      <c r="AI408" s="129"/>
      <c r="AJ408" s="130"/>
    </row>
    <row r="409" spans="11:36">
      <c r="K409" s="76"/>
      <c r="L409" s="48" t="e">
        <f t="shared" si="47"/>
        <v>#VALUE!</v>
      </c>
      <c r="M409" s="32" t="str">
        <f t="shared" si="46"/>
        <v/>
      </c>
      <c r="N409" s="63" t="e">
        <f t="shared" si="49"/>
        <v>#VALUE!</v>
      </c>
      <c r="O409" s="86"/>
      <c r="P409" s="223"/>
      <c r="Q409" s="224"/>
      <c r="R409" s="135"/>
      <c r="S409" s="139" cm="1">
        <f t="array" ref="S409">IF(P409="",0,IF(OR(O409=";",P409="EQU",P409="ORG"),0,HlpGetInstructionSize(P409,Q409,R409,$AC$12)))</f>
        <v>0</v>
      </c>
      <c r="V409" s="42" t="str">
        <f t="shared" si="48"/>
        <v/>
      </c>
      <c r="W409" s="16"/>
      <c r="X409" s="28"/>
      <c r="Y409" s="29"/>
      <c r="AA409" s="66"/>
      <c r="AB409" s="11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28"/>
      <c r="AD409" s="129"/>
      <c r="AE409" s="129"/>
      <c r="AF409" s="129"/>
      <c r="AG409" s="129"/>
      <c r="AH409" s="129"/>
      <c r="AI409" s="129"/>
      <c r="AJ409" s="130"/>
    </row>
    <row r="410" spans="11:36">
      <c r="K410" s="76"/>
      <c r="L410" s="48" t="e">
        <f t="shared" si="47"/>
        <v>#VALUE!</v>
      </c>
      <c r="M410" s="32" t="str">
        <f t="shared" si="46"/>
        <v/>
      </c>
      <c r="N410" s="63" t="e">
        <f t="shared" si="49"/>
        <v>#VALUE!</v>
      </c>
      <c r="O410" s="86"/>
      <c r="P410" s="223"/>
      <c r="Q410" s="224"/>
      <c r="R410" s="135"/>
      <c r="S410" s="139" cm="1">
        <f t="array" ref="S410">IF(P410="",0,IF(OR(O410=";",P410="EQU",P410="ORG"),0,HlpGetInstructionSize(P410,Q410,R410,$AC$12)))</f>
        <v>0</v>
      </c>
      <c r="V410" s="42" t="str">
        <f t="shared" si="48"/>
        <v/>
      </c>
      <c r="W410" s="16"/>
      <c r="X410" s="28"/>
      <c r="Y410" s="29"/>
      <c r="AA410" s="66"/>
      <c r="AB410" s="11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28"/>
      <c r="AD410" s="129"/>
      <c r="AE410" s="129"/>
      <c r="AF410" s="129"/>
      <c r="AG410" s="129"/>
      <c r="AH410" s="129"/>
      <c r="AI410" s="129"/>
      <c r="AJ410" s="130"/>
    </row>
    <row r="411" spans="11:36">
      <c r="K411" s="76"/>
      <c r="L411" s="48" t="e">
        <f t="shared" si="47"/>
        <v>#VALUE!</v>
      </c>
      <c r="M411" s="32" t="str">
        <f t="shared" si="46"/>
        <v/>
      </c>
      <c r="N411" s="63" t="e">
        <f t="shared" si="49"/>
        <v>#VALUE!</v>
      </c>
      <c r="O411" s="86"/>
      <c r="P411" s="223"/>
      <c r="Q411" s="224"/>
      <c r="R411" s="135"/>
      <c r="S411" s="139" cm="1">
        <f t="array" ref="S411">IF(P411="",0,IF(OR(O411=";",P411="EQU",P411="ORG"),0,HlpGetInstructionSize(P411,Q411,R411,$AC$12)))</f>
        <v>0</v>
      </c>
      <c r="V411" s="42" t="str">
        <f t="shared" si="48"/>
        <v/>
      </c>
      <c r="W411" s="16"/>
      <c r="X411" s="28"/>
      <c r="Y411" s="29"/>
      <c r="AA411" s="66"/>
      <c r="AB411" s="11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28"/>
      <c r="AD411" s="129"/>
      <c r="AE411" s="129"/>
      <c r="AF411" s="129"/>
      <c r="AG411" s="129"/>
      <c r="AH411" s="129"/>
      <c r="AI411" s="129"/>
      <c r="AJ411" s="130"/>
    </row>
    <row r="412" spans="11:36">
      <c r="K412" s="76"/>
      <c r="L412" s="48" t="e">
        <f t="shared" si="47"/>
        <v>#VALUE!</v>
      </c>
      <c r="M412" s="32" t="str">
        <f t="shared" si="46"/>
        <v/>
      </c>
      <c r="N412" s="63" t="e">
        <f t="shared" si="49"/>
        <v>#VALUE!</v>
      </c>
      <c r="O412" s="86"/>
      <c r="P412" s="223"/>
      <c r="Q412" s="224"/>
      <c r="R412" s="135"/>
      <c r="S412" s="139" cm="1">
        <f t="array" ref="S412">IF(P412="",0,IF(OR(O412=";",P412="EQU",P412="ORG"),0,HlpGetInstructionSize(P412,Q412,R412,$AC$12)))</f>
        <v>0</v>
      </c>
      <c r="V412" s="42" t="str">
        <f t="shared" si="48"/>
        <v/>
      </c>
      <c r="W412" s="16"/>
      <c r="X412" s="28"/>
      <c r="Y412" s="29"/>
      <c r="AA412" s="66"/>
      <c r="AB412" s="11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28"/>
      <c r="AD412" s="129"/>
      <c r="AE412" s="129"/>
      <c r="AF412" s="129"/>
      <c r="AG412" s="129"/>
      <c r="AH412" s="129"/>
      <c r="AI412" s="129"/>
      <c r="AJ412" s="130"/>
    </row>
    <row r="413" spans="11:36">
      <c r="K413" s="76"/>
      <c r="L413" s="48" t="e">
        <f t="shared" si="47"/>
        <v>#VALUE!</v>
      </c>
      <c r="M413" s="32" t="str">
        <f t="shared" ref="M413:M476" si="50">IFERROR(RIGHT("0000"&amp;DEC2HEX(N413),4),"")</f>
        <v/>
      </c>
      <c r="N413" s="63" t="e">
        <f t="shared" si="49"/>
        <v>#VALUE!</v>
      </c>
      <c r="O413" s="86"/>
      <c r="P413" s="223"/>
      <c r="Q413" s="224"/>
      <c r="R413" s="135"/>
      <c r="S413" s="139" cm="1">
        <f t="array" ref="S413">IF(P413="",0,IF(OR(O413=";",P413="EQU",P413="ORG"),0,HlpGetInstructionSize(P413,Q413,R413,$AC$12)))</f>
        <v>0</v>
      </c>
      <c r="V413" s="42" t="str">
        <f t="shared" si="48"/>
        <v/>
      </c>
      <c r="W413" s="16"/>
      <c r="X413" s="28"/>
      <c r="Y413" s="29"/>
      <c r="AA413" s="66"/>
      <c r="AB413" s="11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28"/>
      <c r="AD413" s="129"/>
      <c r="AE413" s="129"/>
      <c r="AF413" s="129"/>
      <c r="AG413" s="129"/>
      <c r="AH413" s="129"/>
      <c r="AI413" s="129"/>
      <c r="AJ413" s="130"/>
    </row>
    <row r="414" spans="11:36">
      <c r="K414" s="76"/>
      <c r="L414" s="48" t="e">
        <f t="shared" si="47"/>
        <v>#VALUE!</v>
      </c>
      <c r="M414" s="32" t="str">
        <f t="shared" si="50"/>
        <v/>
      </c>
      <c r="N414" s="63" t="e">
        <f t="shared" si="49"/>
        <v>#VALUE!</v>
      </c>
      <c r="O414" s="86"/>
      <c r="P414" s="223"/>
      <c r="Q414" s="224"/>
      <c r="R414" s="135"/>
      <c r="S414" s="139" cm="1">
        <f t="array" ref="S414">IF(P414="",0,IF(OR(O414=";",P414="EQU",P414="ORG"),0,HlpGetInstructionSize(P414,Q414,R414,$AC$12)))</f>
        <v>0</v>
      </c>
      <c r="V414" s="42" t="str">
        <f t="shared" si="48"/>
        <v/>
      </c>
      <c r="W414" s="16"/>
      <c r="X414" s="28"/>
      <c r="Y414" s="29"/>
      <c r="AA414" s="66"/>
      <c r="AB414" s="11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28"/>
      <c r="AD414" s="129"/>
      <c r="AE414" s="129"/>
      <c r="AF414" s="129"/>
      <c r="AG414" s="129"/>
      <c r="AH414" s="129"/>
      <c r="AI414" s="129"/>
      <c r="AJ414" s="130"/>
    </row>
    <row r="415" spans="11:36">
      <c r="K415" s="76"/>
      <c r="L415" s="48" t="e">
        <f t="shared" si="47"/>
        <v>#VALUE!</v>
      </c>
      <c r="M415" s="32" t="str">
        <f t="shared" si="50"/>
        <v/>
      </c>
      <c r="N415" s="63" t="e">
        <f t="shared" si="49"/>
        <v>#VALUE!</v>
      </c>
      <c r="O415" s="86"/>
      <c r="P415" s="223"/>
      <c r="Q415" s="224"/>
      <c r="R415" s="135"/>
      <c r="S415" s="139" cm="1">
        <f t="array" ref="S415">IF(P415="",0,IF(OR(O415=";",P415="EQU",P415="ORG"),0,HlpGetInstructionSize(P415,Q415,R415,$AC$12)))</f>
        <v>0</v>
      </c>
      <c r="V415" s="42" t="str">
        <f t="shared" si="48"/>
        <v/>
      </c>
      <c r="W415" s="16"/>
      <c r="X415" s="28"/>
      <c r="Y415" s="29"/>
      <c r="AA415" s="66"/>
      <c r="AB415" s="11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28"/>
      <c r="AD415" s="129"/>
      <c r="AE415" s="129"/>
      <c r="AF415" s="129"/>
      <c r="AG415" s="129"/>
      <c r="AH415" s="129"/>
      <c r="AI415" s="129"/>
      <c r="AJ415" s="130"/>
    </row>
    <row r="416" spans="11:36">
      <c r="K416" s="76"/>
      <c r="L416" s="48" t="e">
        <f t="shared" si="47"/>
        <v>#VALUE!</v>
      </c>
      <c r="M416" s="32" t="str">
        <f t="shared" si="50"/>
        <v/>
      </c>
      <c r="N416" s="63" t="e">
        <f t="shared" si="49"/>
        <v>#VALUE!</v>
      </c>
      <c r="O416" s="86"/>
      <c r="P416" s="223"/>
      <c r="Q416" s="224"/>
      <c r="R416" s="135"/>
      <c r="S416" s="139" cm="1">
        <f t="array" ref="S416">IF(P416="",0,IF(OR(O416=";",P416="EQU",P416="ORG"),0,HlpGetInstructionSize(P416,Q416,R416,$AC$12)))</f>
        <v>0</v>
      </c>
      <c r="V416" s="42" t="str">
        <f t="shared" si="48"/>
        <v/>
      </c>
      <c r="W416" s="16"/>
      <c r="X416" s="28"/>
      <c r="Y416" s="29"/>
      <c r="AA416" s="66"/>
      <c r="AB416" s="11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28"/>
      <c r="AD416" s="129"/>
      <c r="AE416" s="129"/>
      <c r="AF416" s="129"/>
      <c r="AG416" s="129"/>
      <c r="AH416" s="129"/>
      <c r="AI416" s="129"/>
      <c r="AJ416" s="130"/>
    </row>
    <row r="417" spans="11:36">
      <c r="K417" s="76"/>
      <c r="L417" s="48" t="e">
        <f t="shared" si="47"/>
        <v>#VALUE!</v>
      </c>
      <c r="M417" s="32" t="str">
        <f t="shared" si="50"/>
        <v/>
      </c>
      <c r="N417" s="63" t="e">
        <f t="shared" si="49"/>
        <v>#VALUE!</v>
      </c>
      <c r="O417" s="86"/>
      <c r="P417" s="223"/>
      <c r="Q417" s="224"/>
      <c r="R417" s="135"/>
      <c r="S417" s="139" cm="1">
        <f t="array" ref="S417">IF(P417="",0,IF(OR(O417=";",P417="EQU",P417="ORG"),0,HlpGetInstructionSize(P417,Q417,R417,$AC$12)))</f>
        <v>0</v>
      </c>
      <c r="V417" s="42" t="str">
        <f t="shared" si="48"/>
        <v/>
      </c>
      <c r="W417" s="16"/>
      <c r="X417" s="28"/>
      <c r="Y417" s="29"/>
      <c r="AA417" s="66"/>
      <c r="AB417" s="11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28"/>
      <c r="AD417" s="129"/>
      <c r="AE417" s="129"/>
      <c r="AF417" s="129"/>
      <c r="AG417" s="129"/>
      <c r="AH417" s="129"/>
      <c r="AI417" s="129"/>
      <c r="AJ417" s="130"/>
    </row>
    <row r="418" spans="11:36">
      <c r="K418" s="76"/>
      <c r="L418" s="48" t="e">
        <f t="shared" si="47"/>
        <v>#VALUE!</v>
      </c>
      <c r="M418" s="32" t="str">
        <f t="shared" si="50"/>
        <v/>
      </c>
      <c r="N418" s="63" t="e">
        <f t="shared" si="49"/>
        <v>#VALUE!</v>
      </c>
      <c r="O418" s="86"/>
      <c r="P418" s="223"/>
      <c r="Q418" s="224"/>
      <c r="R418" s="135"/>
      <c r="S418" s="139" cm="1">
        <f t="array" ref="S418">IF(P418="",0,IF(OR(O418=";",P418="EQU",P418="ORG"),0,HlpGetInstructionSize(P418,Q418,R418,$AC$12)))</f>
        <v>0</v>
      </c>
      <c r="V418" s="42" t="str">
        <f t="shared" si="48"/>
        <v/>
      </c>
      <c r="W418" s="16"/>
      <c r="X418" s="28"/>
      <c r="Y418" s="29"/>
      <c r="AA418" s="66"/>
      <c r="AB418" s="11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28"/>
      <c r="AD418" s="129"/>
      <c r="AE418" s="129"/>
      <c r="AF418" s="129"/>
      <c r="AG418" s="129"/>
      <c r="AH418" s="129"/>
      <c r="AI418" s="129"/>
      <c r="AJ418" s="130"/>
    </row>
    <row r="419" spans="11:36">
      <c r="K419" s="76"/>
      <c r="L419" s="48" t="e">
        <f t="shared" si="47"/>
        <v>#VALUE!</v>
      </c>
      <c r="M419" s="32" t="str">
        <f t="shared" si="50"/>
        <v/>
      </c>
      <c r="N419" s="63" t="e">
        <f t="shared" si="49"/>
        <v>#VALUE!</v>
      </c>
      <c r="O419" s="86"/>
      <c r="P419" s="223"/>
      <c r="Q419" s="224"/>
      <c r="R419" s="135"/>
      <c r="S419" s="139" cm="1">
        <f t="array" ref="S419">IF(P419="",0,IF(OR(O419=";",P419="EQU",P419="ORG"),0,HlpGetInstructionSize(P419,Q419,R419,$AC$12)))</f>
        <v>0</v>
      </c>
      <c r="V419" s="42" t="str">
        <f t="shared" si="48"/>
        <v/>
      </c>
      <c r="W419" s="16"/>
      <c r="X419" s="28"/>
      <c r="Y419" s="29"/>
      <c r="AA419" s="66"/>
      <c r="AB419" s="11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28"/>
      <c r="AD419" s="129"/>
      <c r="AE419" s="129"/>
      <c r="AF419" s="129"/>
      <c r="AG419" s="129"/>
      <c r="AH419" s="129"/>
      <c r="AI419" s="129"/>
      <c r="AJ419" s="130"/>
    </row>
    <row r="420" spans="11:36">
      <c r="K420" s="76"/>
      <c r="L420" s="48" t="e">
        <f t="shared" si="47"/>
        <v>#VALUE!</v>
      </c>
      <c r="M420" s="32" t="str">
        <f t="shared" si="50"/>
        <v/>
      </c>
      <c r="N420" s="63" t="e">
        <f t="shared" si="49"/>
        <v>#VALUE!</v>
      </c>
      <c r="O420" s="86"/>
      <c r="P420" s="223"/>
      <c r="Q420" s="224"/>
      <c r="R420" s="135"/>
      <c r="S420" s="139" cm="1">
        <f t="array" ref="S420">IF(P420="",0,IF(OR(O420=";",P420="EQU",P420="ORG"),0,HlpGetInstructionSize(P420,Q420,R420,$AC$12)))</f>
        <v>0</v>
      </c>
      <c r="V420" s="42" t="str">
        <f t="shared" si="48"/>
        <v/>
      </c>
      <c r="W420" s="16"/>
      <c r="X420" s="28"/>
      <c r="Y420" s="29"/>
      <c r="AA420" s="66"/>
      <c r="AB420" s="11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28"/>
      <c r="AD420" s="129"/>
      <c r="AE420" s="129"/>
      <c r="AF420" s="129"/>
      <c r="AG420" s="129"/>
      <c r="AH420" s="129"/>
      <c r="AI420" s="129"/>
      <c r="AJ420" s="130"/>
    </row>
    <row r="421" spans="11:36">
      <c r="K421" s="76"/>
      <c r="L421" s="48" t="e">
        <f t="shared" si="47"/>
        <v>#VALUE!</v>
      </c>
      <c r="M421" s="32" t="str">
        <f t="shared" si="50"/>
        <v/>
      </c>
      <c r="N421" s="63" t="e">
        <f t="shared" si="49"/>
        <v>#VALUE!</v>
      </c>
      <c r="O421" s="86"/>
      <c r="P421" s="223"/>
      <c r="Q421" s="224"/>
      <c r="R421" s="135"/>
      <c r="S421" s="139" cm="1">
        <f t="array" ref="S421">IF(P421="",0,IF(OR(O421=";",P421="EQU",P421="ORG"),0,HlpGetInstructionSize(P421,Q421,R421,$AC$12)))</f>
        <v>0</v>
      </c>
      <c r="V421" s="42" t="str">
        <f t="shared" si="48"/>
        <v/>
      </c>
      <c r="W421" s="16"/>
      <c r="X421" s="28"/>
      <c r="Y421" s="29"/>
      <c r="AA421" s="66"/>
      <c r="AB421" s="11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28"/>
      <c r="AD421" s="129"/>
      <c r="AE421" s="129"/>
      <c r="AF421" s="129"/>
      <c r="AG421" s="129"/>
      <c r="AH421" s="129"/>
      <c r="AI421" s="129"/>
      <c r="AJ421" s="130"/>
    </row>
    <row r="422" spans="11:36">
      <c r="K422" s="76"/>
      <c r="L422" s="48" t="e">
        <f t="shared" si="47"/>
        <v>#VALUE!</v>
      </c>
      <c r="M422" s="32" t="str">
        <f t="shared" si="50"/>
        <v/>
      </c>
      <c r="N422" s="63" t="e">
        <f t="shared" si="49"/>
        <v>#VALUE!</v>
      </c>
      <c r="O422" s="86"/>
      <c r="P422" s="223"/>
      <c r="Q422" s="224"/>
      <c r="R422" s="135"/>
      <c r="S422" s="139" cm="1">
        <f t="array" ref="S422">IF(P422="",0,IF(OR(O422=";",P422="EQU",P422="ORG"),0,HlpGetInstructionSize(P422,Q422,R422,$AC$12)))</f>
        <v>0</v>
      </c>
      <c r="V422" s="42" t="str">
        <f t="shared" si="48"/>
        <v/>
      </c>
      <c r="W422" s="16"/>
      <c r="X422" s="28"/>
      <c r="Y422" s="29"/>
      <c r="AA422" s="66"/>
      <c r="AB422" s="11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28"/>
      <c r="AD422" s="129"/>
      <c r="AE422" s="129"/>
      <c r="AF422" s="129"/>
      <c r="AG422" s="129"/>
      <c r="AH422" s="129"/>
      <c r="AI422" s="129"/>
      <c r="AJ422" s="130"/>
    </row>
    <row r="423" spans="11:36">
      <c r="K423" s="76"/>
      <c r="L423" s="48" t="e">
        <f t="shared" si="47"/>
        <v>#VALUE!</v>
      </c>
      <c r="M423" s="32" t="str">
        <f t="shared" si="50"/>
        <v/>
      </c>
      <c r="N423" s="63" t="e">
        <f t="shared" si="49"/>
        <v>#VALUE!</v>
      </c>
      <c r="O423" s="86"/>
      <c r="P423" s="223"/>
      <c r="Q423" s="224"/>
      <c r="R423" s="135"/>
      <c r="S423" s="139" cm="1">
        <f t="array" ref="S423">IF(P423="",0,IF(OR(O423=";",P423="EQU",P423="ORG"),0,HlpGetInstructionSize(P423,Q423,R423,$AC$12)))</f>
        <v>0</v>
      </c>
      <c r="V423" s="42" t="str">
        <f t="shared" si="48"/>
        <v/>
      </c>
      <c r="W423" s="16"/>
      <c r="X423" s="28"/>
      <c r="Y423" s="29"/>
      <c r="AA423" s="66"/>
      <c r="AB423" s="11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28"/>
      <c r="AD423" s="129"/>
      <c r="AE423" s="129"/>
      <c r="AF423" s="129"/>
      <c r="AG423" s="129"/>
      <c r="AH423" s="129"/>
      <c r="AI423" s="129"/>
      <c r="AJ423" s="130"/>
    </row>
    <row r="424" spans="11:36">
      <c r="K424" s="76"/>
      <c r="L424" s="48" t="e">
        <f t="shared" si="47"/>
        <v>#VALUE!</v>
      </c>
      <c r="M424" s="32" t="str">
        <f t="shared" si="50"/>
        <v/>
      </c>
      <c r="N424" s="63" t="e">
        <f t="shared" si="49"/>
        <v>#VALUE!</v>
      </c>
      <c r="O424" s="86"/>
      <c r="P424" s="223"/>
      <c r="Q424" s="224"/>
      <c r="R424" s="135"/>
      <c r="S424" s="139" cm="1">
        <f t="array" ref="S424">IF(P424="",0,IF(OR(O424=";",P424="EQU",P424="ORG"),0,HlpGetInstructionSize(P424,Q424,R424,$AC$12)))</f>
        <v>0</v>
      </c>
      <c r="V424" s="42" t="str">
        <f t="shared" si="48"/>
        <v/>
      </c>
      <c r="W424" s="16"/>
      <c r="X424" s="28"/>
      <c r="Y424" s="29"/>
      <c r="AA424" s="66"/>
      <c r="AB424" s="11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28"/>
      <c r="AD424" s="129"/>
      <c r="AE424" s="129"/>
      <c r="AF424" s="129"/>
      <c r="AG424" s="129"/>
      <c r="AH424" s="129"/>
      <c r="AI424" s="129"/>
      <c r="AJ424" s="130"/>
    </row>
    <row r="425" spans="11:36">
      <c r="K425" s="76"/>
      <c r="L425" s="48" t="e">
        <f t="shared" si="47"/>
        <v>#VALUE!</v>
      </c>
      <c r="M425" s="32" t="str">
        <f t="shared" si="50"/>
        <v/>
      </c>
      <c r="N425" s="63" t="e">
        <f t="shared" si="49"/>
        <v>#VALUE!</v>
      </c>
      <c r="O425" s="86"/>
      <c r="P425" s="223"/>
      <c r="Q425" s="224"/>
      <c r="R425" s="135"/>
      <c r="S425" s="139" cm="1">
        <f t="array" ref="S425">IF(P425="",0,IF(OR(O425=";",P425="EQU",P425="ORG"),0,HlpGetInstructionSize(P425,Q425,R425,$AC$12)))</f>
        <v>0</v>
      </c>
      <c r="V425" s="42" t="str">
        <f t="shared" si="48"/>
        <v/>
      </c>
      <c r="W425" s="16"/>
      <c r="X425" s="28"/>
      <c r="Y425" s="29"/>
      <c r="AA425" s="66"/>
      <c r="AB425" s="11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28"/>
      <c r="AD425" s="129"/>
      <c r="AE425" s="129"/>
      <c r="AF425" s="129"/>
      <c r="AG425" s="129"/>
      <c r="AH425" s="129"/>
      <c r="AI425" s="129"/>
      <c r="AJ425" s="130"/>
    </row>
    <row r="426" spans="11:36">
      <c r="K426" s="76"/>
      <c r="L426" s="48" t="e">
        <f t="shared" si="47"/>
        <v>#VALUE!</v>
      </c>
      <c r="M426" s="32" t="str">
        <f t="shared" si="50"/>
        <v/>
      </c>
      <c r="N426" s="63" t="e">
        <f t="shared" si="49"/>
        <v>#VALUE!</v>
      </c>
      <c r="O426" s="86"/>
      <c r="P426" s="223"/>
      <c r="Q426" s="224"/>
      <c r="R426" s="135"/>
      <c r="S426" s="139" cm="1">
        <f t="array" ref="S426">IF(P426="",0,IF(OR(O426=";",P426="EQU",P426="ORG"),0,HlpGetInstructionSize(P426,Q426,R426,$AC$12)))</f>
        <v>0</v>
      </c>
      <c r="V426" s="42" t="str">
        <f t="shared" si="48"/>
        <v/>
      </c>
      <c r="W426" s="16"/>
      <c r="X426" s="28"/>
      <c r="Y426" s="29"/>
      <c r="AA426" s="66"/>
      <c r="AB426" s="11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28"/>
      <c r="AD426" s="129"/>
      <c r="AE426" s="129"/>
      <c r="AF426" s="129"/>
      <c r="AG426" s="129"/>
      <c r="AH426" s="129"/>
      <c r="AI426" s="129"/>
      <c r="AJ426" s="130"/>
    </row>
    <row r="427" spans="11:36">
      <c r="K427" s="76"/>
      <c r="L427" s="48" t="e">
        <f t="shared" si="47"/>
        <v>#VALUE!</v>
      </c>
      <c r="M427" s="32" t="str">
        <f t="shared" si="50"/>
        <v/>
      </c>
      <c r="N427" s="63" t="e">
        <f t="shared" si="49"/>
        <v>#VALUE!</v>
      </c>
      <c r="O427" s="86"/>
      <c r="P427" s="223"/>
      <c r="Q427" s="224"/>
      <c r="R427" s="135"/>
      <c r="S427" s="139" cm="1">
        <f t="array" ref="S427">IF(P427="",0,IF(OR(O427=";",P427="EQU",P427="ORG"),0,HlpGetInstructionSize(P427,Q427,R427,$AC$12)))</f>
        <v>0</v>
      </c>
      <c r="V427" s="42" t="str">
        <f t="shared" si="48"/>
        <v/>
      </c>
      <c r="W427" s="16"/>
      <c r="X427" s="28"/>
      <c r="Y427" s="29"/>
      <c r="AA427" s="66"/>
      <c r="AB427" s="11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28"/>
      <c r="AD427" s="129"/>
      <c r="AE427" s="129"/>
      <c r="AF427" s="129"/>
      <c r="AG427" s="129"/>
      <c r="AH427" s="129"/>
      <c r="AI427" s="129"/>
      <c r="AJ427" s="130"/>
    </row>
    <row r="428" spans="11:36">
      <c r="K428" s="76"/>
      <c r="L428" s="48" t="e">
        <f t="shared" si="47"/>
        <v>#VALUE!</v>
      </c>
      <c r="M428" s="32" t="str">
        <f t="shared" si="50"/>
        <v/>
      </c>
      <c r="N428" s="63" t="e">
        <f t="shared" si="49"/>
        <v>#VALUE!</v>
      </c>
      <c r="O428" s="86"/>
      <c r="P428" s="223"/>
      <c r="Q428" s="224"/>
      <c r="R428" s="135"/>
      <c r="S428" s="139" cm="1">
        <f t="array" ref="S428">IF(P428="",0,IF(OR(O428=";",P428="EQU",P428="ORG"),0,HlpGetInstructionSize(P428,Q428,R428,$AC$12)))</f>
        <v>0</v>
      </c>
      <c r="V428" s="42" t="str">
        <f t="shared" si="48"/>
        <v/>
      </c>
      <c r="W428" s="16"/>
      <c r="X428" s="28"/>
      <c r="Y428" s="29"/>
      <c r="AA428" s="66"/>
      <c r="AB428" s="11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28"/>
      <c r="AD428" s="129"/>
      <c r="AE428" s="129"/>
      <c r="AF428" s="129"/>
      <c r="AG428" s="129"/>
      <c r="AH428" s="129"/>
      <c r="AI428" s="129"/>
      <c r="AJ428" s="130"/>
    </row>
    <row r="429" spans="11:36">
      <c r="K429" s="76"/>
      <c r="L429" s="48" t="e">
        <f t="shared" si="47"/>
        <v>#VALUE!</v>
      </c>
      <c r="M429" s="32" t="str">
        <f t="shared" si="50"/>
        <v/>
      </c>
      <c r="N429" s="63" t="e">
        <f t="shared" si="49"/>
        <v>#VALUE!</v>
      </c>
      <c r="O429" s="86"/>
      <c r="P429" s="223"/>
      <c r="Q429" s="224"/>
      <c r="R429" s="135"/>
      <c r="S429" s="139" cm="1">
        <f t="array" ref="S429">IF(P429="",0,IF(OR(O429=";",P429="EQU",P429="ORG"),0,HlpGetInstructionSize(P429,Q429,R429,$AC$12)))</f>
        <v>0</v>
      </c>
      <c r="V429" s="42" t="str">
        <f t="shared" si="48"/>
        <v/>
      </c>
      <c r="W429" s="16"/>
      <c r="X429" s="28"/>
      <c r="Y429" s="29"/>
      <c r="AA429" s="66"/>
      <c r="AB429" s="11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28"/>
      <c r="AD429" s="129"/>
      <c r="AE429" s="129"/>
      <c r="AF429" s="129"/>
      <c r="AG429" s="129"/>
      <c r="AH429" s="129"/>
      <c r="AI429" s="129"/>
      <c r="AJ429" s="130"/>
    </row>
    <row r="430" spans="11:36">
      <c r="K430" s="76"/>
      <c r="L430" s="48" t="e">
        <f t="shared" si="47"/>
        <v>#VALUE!</v>
      </c>
      <c r="M430" s="32" t="str">
        <f t="shared" si="50"/>
        <v/>
      </c>
      <c r="N430" s="63" t="e">
        <f t="shared" si="49"/>
        <v>#VALUE!</v>
      </c>
      <c r="O430" s="86"/>
      <c r="P430" s="223"/>
      <c r="Q430" s="224"/>
      <c r="R430" s="135"/>
      <c r="S430" s="139" cm="1">
        <f t="array" ref="S430">IF(P430="",0,IF(OR(O430=";",P430="EQU",P430="ORG"),0,HlpGetInstructionSize(P430,Q430,R430,$AC$12)))</f>
        <v>0</v>
      </c>
      <c r="V430" s="42" t="str">
        <f t="shared" si="48"/>
        <v/>
      </c>
      <c r="W430" s="16"/>
      <c r="X430" s="28"/>
      <c r="Y430" s="29"/>
      <c r="AA430" s="66"/>
      <c r="AB430" s="11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28"/>
      <c r="AD430" s="129"/>
      <c r="AE430" s="129"/>
      <c r="AF430" s="129"/>
      <c r="AG430" s="129"/>
      <c r="AH430" s="129"/>
      <c r="AI430" s="129"/>
      <c r="AJ430" s="130"/>
    </row>
    <row r="431" spans="11:36">
      <c r="K431" s="76"/>
      <c r="L431" s="48" t="e">
        <f t="shared" si="47"/>
        <v>#VALUE!</v>
      </c>
      <c r="M431" s="32" t="str">
        <f t="shared" si="50"/>
        <v/>
      </c>
      <c r="N431" s="63" t="e">
        <f t="shared" si="49"/>
        <v>#VALUE!</v>
      </c>
      <c r="O431" s="86"/>
      <c r="P431" s="223"/>
      <c r="Q431" s="224"/>
      <c r="R431" s="135"/>
      <c r="S431" s="139" cm="1">
        <f t="array" ref="S431">IF(P431="",0,IF(OR(O431=";",P431="EQU",P431="ORG"),0,HlpGetInstructionSize(P431,Q431,R431,$AC$12)))</f>
        <v>0</v>
      </c>
      <c r="V431" s="42" t="str">
        <f t="shared" si="48"/>
        <v/>
      </c>
      <c r="W431" s="16"/>
      <c r="X431" s="28"/>
      <c r="Y431" s="29"/>
      <c r="AA431" s="66"/>
      <c r="AB431" s="11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28"/>
      <c r="AD431" s="129"/>
      <c r="AE431" s="129"/>
      <c r="AF431" s="129"/>
      <c r="AG431" s="129"/>
      <c r="AH431" s="129"/>
      <c r="AI431" s="129"/>
      <c r="AJ431" s="130"/>
    </row>
    <row r="432" spans="11:36">
      <c r="K432" s="76"/>
      <c r="L432" s="48" t="e">
        <f t="shared" si="47"/>
        <v>#VALUE!</v>
      </c>
      <c r="M432" s="32" t="str">
        <f t="shared" si="50"/>
        <v/>
      </c>
      <c r="N432" s="63" t="e">
        <f t="shared" si="49"/>
        <v>#VALUE!</v>
      </c>
      <c r="O432" s="86"/>
      <c r="P432" s="223"/>
      <c r="Q432" s="224"/>
      <c r="R432" s="135"/>
      <c r="S432" s="139" cm="1">
        <f t="array" ref="S432">IF(P432="",0,IF(OR(O432=";",P432="EQU",P432="ORG"),0,HlpGetInstructionSize(P432,Q432,R432,$AC$12)))</f>
        <v>0</v>
      </c>
      <c r="V432" s="42" t="str">
        <f t="shared" si="48"/>
        <v/>
      </c>
      <c r="W432" s="16"/>
      <c r="X432" s="28"/>
      <c r="Y432" s="29"/>
      <c r="AA432" s="66"/>
      <c r="AB432" s="11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28"/>
      <c r="AD432" s="129"/>
      <c r="AE432" s="129"/>
      <c r="AF432" s="129"/>
      <c r="AG432" s="129"/>
      <c r="AH432" s="129"/>
      <c r="AI432" s="129"/>
      <c r="AJ432" s="130"/>
    </row>
    <row r="433" spans="11:36">
      <c r="K433" s="76"/>
      <c r="L433" s="48" t="e">
        <f t="shared" si="47"/>
        <v>#VALUE!</v>
      </c>
      <c r="M433" s="32" t="str">
        <f t="shared" si="50"/>
        <v/>
      </c>
      <c r="N433" s="63" t="e">
        <f t="shared" si="49"/>
        <v>#VALUE!</v>
      </c>
      <c r="O433" s="86"/>
      <c r="P433" s="223"/>
      <c r="Q433" s="224"/>
      <c r="R433" s="135"/>
      <c r="S433" s="139" cm="1">
        <f t="array" ref="S433">IF(P433="",0,IF(OR(O433=";",P433="EQU",P433="ORG"),0,HlpGetInstructionSize(P433,Q433,R433,$AC$12)))</f>
        <v>0</v>
      </c>
      <c r="V433" s="42" t="str">
        <f t="shared" si="48"/>
        <v/>
      </c>
      <c r="W433" s="16"/>
      <c r="X433" s="28"/>
      <c r="Y433" s="29"/>
      <c r="AA433" s="66"/>
      <c r="AB433" s="11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28"/>
      <c r="AD433" s="129"/>
      <c r="AE433" s="129"/>
      <c r="AF433" s="129"/>
      <c r="AG433" s="129"/>
      <c r="AH433" s="129"/>
      <c r="AI433" s="129"/>
      <c r="AJ433" s="130"/>
    </row>
    <row r="434" spans="11:36">
      <c r="K434" s="76"/>
      <c r="L434" s="48" t="e">
        <f t="shared" si="47"/>
        <v>#VALUE!</v>
      </c>
      <c r="M434" s="32" t="str">
        <f t="shared" si="50"/>
        <v/>
      </c>
      <c r="N434" s="63" t="e">
        <f t="shared" si="49"/>
        <v>#VALUE!</v>
      </c>
      <c r="O434" s="86"/>
      <c r="P434" s="223"/>
      <c r="Q434" s="224"/>
      <c r="R434" s="135"/>
      <c r="S434" s="139" cm="1">
        <f t="array" ref="S434">IF(P434="",0,IF(OR(O434=";",P434="EQU",P434="ORG"),0,HlpGetInstructionSize(P434,Q434,R434,$AC$12)))</f>
        <v>0</v>
      </c>
      <c r="V434" s="42" t="str">
        <f t="shared" si="48"/>
        <v/>
      </c>
      <c r="W434" s="16"/>
      <c r="X434" s="28"/>
      <c r="Y434" s="29"/>
      <c r="AA434" s="66"/>
      <c r="AB434" s="11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28"/>
      <c r="AD434" s="129"/>
      <c r="AE434" s="129"/>
      <c r="AF434" s="129"/>
      <c r="AG434" s="129"/>
      <c r="AH434" s="129"/>
      <c r="AI434" s="129"/>
      <c r="AJ434" s="130"/>
    </row>
    <row r="435" spans="11:36">
      <c r="K435" s="76"/>
      <c r="L435" s="48" t="e">
        <f t="shared" si="47"/>
        <v>#VALUE!</v>
      </c>
      <c r="M435" s="32" t="str">
        <f t="shared" si="50"/>
        <v/>
      </c>
      <c r="N435" s="63" t="e">
        <f t="shared" si="49"/>
        <v>#VALUE!</v>
      </c>
      <c r="O435" s="86"/>
      <c r="P435" s="223"/>
      <c r="Q435" s="224"/>
      <c r="R435" s="135"/>
      <c r="S435" s="139" cm="1">
        <f t="array" ref="S435">IF(P435="",0,IF(OR(O435=";",P435="EQU",P435="ORG"),0,HlpGetInstructionSize(P435,Q435,R435,$AC$12)))</f>
        <v>0</v>
      </c>
      <c r="V435" s="42" t="str">
        <f t="shared" si="48"/>
        <v/>
      </c>
      <c r="W435" s="16"/>
      <c r="X435" s="28"/>
      <c r="Y435" s="29"/>
      <c r="AA435" s="66"/>
      <c r="AB435" s="11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28"/>
      <c r="AD435" s="129"/>
      <c r="AE435" s="129"/>
      <c r="AF435" s="129"/>
      <c r="AG435" s="129"/>
      <c r="AH435" s="129"/>
      <c r="AI435" s="129"/>
      <c r="AJ435" s="130"/>
    </row>
    <row r="436" spans="11:36">
      <c r="K436" s="76"/>
      <c r="L436" s="48" t="e">
        <f t="shared" si="47"/>
        <v>#VALUE!</v>
      </c>
      <c r="M436" s="32" t="str">
        <f t="shared" si="50"/>
        <v/>
      </c>
      <c r="N436" s="63" t="e">
        <f t="shared" si="49"/>
        <v>#VALUE!</v>
      </c>
      <c r="O436" s="86"/>
      <c r="P436" s="223"/>
      <c r="Q436" s="224"/>
      <c r="R436" s="135"/>
      <c r="S436" s="139" cm="1">
        <f t="array" ref="S436">IF(P436="",0,IF(OR(O436=";",P436="EQU",P436="ORG"),0,HlpGetInstructionSize(P436,Q436,R436,$AC$12)))</f>
        <v>0</v>
      </c>
      <c r="V436" s="42" t="str">
        <f t="shared" si="48"/>
        <v/>
      </c>
      <c r="W436" s="16"/>
      <c r="X436" s="28"/>
      <c r="Y436" s="29"/>
      <c r="AA436" s="66"/>
      <c r="AB436" s="11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28"/>
      <c r="AD436" s="129"/>
      <c r="AE436" s="129"/>
      <c r="AF436" s="129"/>
      <c r="AG436" s="129"/>
      <c r="AH436" s="129"/>
      <c r="AI436" s="129"/>
      <c r="AJ436" s="130"/>
    </row>
    <row r="437" spans="11:36">
      <c r="K437" s="76"/>
      <c r="L437" s="48" t="e">
        <f t="shared" si="47"/>
        <v>#VALUE!</v>
      </c>
      <c r="M437" s="32" t="str">
        <f t="shared" si="50"/>
        <v/>
      </c>
      <c r="N437" s="63" t="e">
        <f t="shared" si="49"/>
        <v>#VALUE!</v>
      </c>
      <c r="O437" s="86"/>
      <c r="P437" s="223"/>
      <c r="Q437" s="224"/>
      <c r="R437" s="135"/>
      <c r="S437" s="139" cm="1">
        <f t="array" ref="S437">IF(P437="",0,IF(OR(O437=";",P437="EQU",P437="ORG"),0,HlpGetInstructionSize(P437,Q437,R437,$AC$12)))</f>
        <v>0</v>
      </c>
      <c r="V437" s="42" t="str">
        <f t="shared" si="48"/>
        <v/>
      </c>
      <c r="W437" s="16"/>
      <c r="X437" s="28"/>
      <c r="Y437" s="29"/>
      <c r="AA437" s="66"/>
      <c r="AB437" s="11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28"/>
      <c r="AD437" s="129"/>
      <c r="AE437" s="129"/>
      <c r="AF437" s="129"/>
      <c r="AG437" s="129"/>
      <c r="AH437" s="129"/>
      <c r="AI437" s="129"/>
      <c r="AJ437" s="130"/>
    </row>
    <row r="438" spans="11:36">
      <c r="K438" s="76"/>
      <c r="L438" s="48" t="e">
        <f t="shared" si="47"/>
        <v>#VALUE!</v>
      </c>
      <c r="M438" s="32" t="str">
        <f t="shared" si="50"/>
        <v/>
      </c>
      <c r="N438" s="63" t="e">
        <f t="shared" si="49"/>
        <v>#VALUE!</v>
      </c>
      <c r="O438" s="86"/>
      <c r="P438" s="223"/>
      <c r="Q438" s="224"/>
      <c r="R438" s="135"/>
      <c r="S438" s="139" cm="1">
        <f t="array" ref="S438">IF(P438="",0,IF(OR(O438=";",P438="EQU",P438="ORG"),0,HlpGetInstructionSize(P438,Q438,R438,$AC$12)))</f>
        <v>0</v>
      </c>
      <c r="V438" s="42" t="str">
        <f t="shared" si="48"/>
        <v/>
      </c>
      <c r="W438" s="16"/>
      <c r="X438" s="28"/>
      <c r="Y438" s="29"/>
      <c r="AA438" s="66"/>
      <c r="AB438" s="11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28"/>
      <c r="AD438" s="129"/>
      <c r="AE438" s="129"/>
      <c r="AF438" s="129"/>
      <c r="AG438" s="129"/>
      <c r="AH438" s="129"/>
      <c r="AI438" s="129"/>
      <c r="AJ438" s="130"/>
    </row>
    <row r="439" spans="11:36">
      <c r="K439" s="76"/>
      <c r="L439" s="48" t="e">
        <f t="shared" si="47"/>
        <v>#VALUE!</v>
      </c>
      <c r="M439" s="32" t="str">
        <f t="shared" si="50"/>
        <v/>
      </c>
      <c r="N439" s="63" t="e">
        <f t="shared" si="49"/>
        <v>#VALUE!</v>
      </c>
      <c r="O439" s="86"/>
      <c r="P439" s="223"/>
      <c r="Q439" s="224"/>
      <c r="R439" s="135"/>
      <c r="S439" s="139" cm="1">
        <f t="array" ref="S439">IF(P439="",0,IF(OR(O439=";",P439="EQU",P439="ORG"),0,HlpGetInstructionSize(P439,Q439,R439,$AC$12)))</f>
        <v>0</v>
      </c>
      <c r="V439" s="42" t="str">
        <f t="shared" si="48"/>
        <v/>
      </c>
      <c r="W439" s="16"/>
      <c r="X439" s="28"/>
      <c r="Y439" s="29"/>
      <c r="AA439" s="66"/>
      <c r="AB439" s="11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28"/>
      <c r="AD439" s="129"/>
      <c r="AE439" s="129"/>
      <c r="AF439" s="129"/>
      <c r="AG439" s="129"/>
      <c r="AH439" s="129"/>
      <c r="AI439" s="129"/>
      <c r="AJ439" s="130"/>
    </row>
    <row r="440" spans="11:36">
      <c r="K440" s="76"/>
      <c r="L440" s="48" t="e">
        <f t="shared" si="47"/>
        <v>#VALUE!</v>
      </c>
      <c r="M440" s="32" t="str">
        <f t="shared" si="50"/>
        <v/>
      </c>
      <c r="N440" s="63" t="e">
        <f t="shared" si="49"/>
        <v>#VALUE!</v>
      </c>
      <c r="O440" s="86"/>
      <c r="P440" s="223"/>
      <c r="Q440" s="224"/>
      <c r="R440" s="135"/>
      <c r="S440" s="139" cm="1">
        <f t="array" ref="S440">IF(P440="",0,IF(OR(O440=";",P440="EQU",P440="ORG"),0,HlpGetInstructionSize(P440,Q440,R440,$AC$12)))</f>
        <v>0</v>
      </c>
      <c r="V440" s="42" t="str">
        <f t="shared" si="48"/>
        <v/>
      </c>
      <c r="W440" s="16"/>
      <c r="X440" s="28"/>
      <c r="Y440" s="29"/>
      <c r="AA440" s="66"/>
      <c r="AB440" s="11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28"/>
      <c r="AD440" s="129"/>
      <c r="AE440" s="129"/>
      <c r="AF440" s="129"/>
      <c r="AG440" s="129"/>
      <c r="AH440" s="129"/>
      <c r="AI440" s="129"/>
      <c r="AJ440" s="130"/>
    </row>
    <row r="441" spans="11:36">
      <c r="K441" s="76"/>
      <c r="L441" s="48" t="e">
        <f t="shared" si="47"/>
        <v>#VALUE!</v>
      </c>
      <c r="M441" s="32" t="str">
        <f t="shared" si="50"/>
        <v/>
      </c>
      <c r="N441" s="63" t="e">
        <f t="shared" si="49"/>
        <v>#VALUE!</v>
      </c>
      <c r="O441" s="86"/>
      <c r="P441" s="223"/>
      <c r="Q441" s="224"/>
      <c r="R441" s="135"/>
      <c r="S441" s="139" cm="1">
        <f t="array" ref="S441">IF(P441="",0,IF(OR(O441=";",P441="EQU",P441="ORG"),0,HlpGetInstructionSize(P441,Q441,R441,$AC$12)))</f>
        <v>0</v>
      </c>
      <c r="V441" s="42" t="str">
        <f t="shared" si="48"/>
        <v/>
      </c>
      <c r="W441" s="16"/>
      <c r="X441" s="28"/>
      <c r="Y441" s="29"/>
      <c r="AA441" s="66"/>
      <c r="AB441" s="11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28"/>
      <c r="AD441" s="129"/>
      <c r="AE441" s="129"/>
      <c r="AF441" s="129"/>
      <c r="AG441" s="129"/>
      <c r="AH441" s="129"/>
      <c r="AI441" s="129"/>
      <c r="AJ441" s="130"/>
    </row>
    <row r="442" spans="11:36">
      <c r="K442" s="76"/>
      <c r="L442" s="48" t="e">
        <f t="shared" si="47"/>
        <v>#VALUE!</v>
      </c>
      <c r="M442" s="32" t="str">
        <f t="shared" si="50"/>
        <v/>
      </c>
      <c r="N442" s="63" t="e">
        <f t="shared" si="49"/>
        <v>#VALUE!</v>
      </c>
      <c r="O442" s="86"/>
      <c r="P442" s="223"/>
      <c r="Q442" s="224"/>
      <c r="R442" s="135"/>
      <c r="S442" s="139" cm="1">
        <f t="array" ref="S442">IF(P442="",0,IF(OR(O442=";",P442="EQU",P442="ORG"),0,HlpGetInstructionSize(P442,Q442,R442,$AC$12)))</f>
        <v>0</v>
      </c>
      <c r="V442" s="42" t="str">
        <f t="shared" si="48"/>
        <v/>
      </c>
      <c r="W442" s="16"/>
      <c r="X442" s="28"/>
      <c r="Y442" s="29"/>
      <c r="AA442" s="66"/>
      <c r="AB442" s="11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28"/>
      <c r="AD442" s="129"/>
      <c r="AE442" s="129"/>
      <c r="AF442" s="129"/>
      <c r="AG442" s="129"/>
      <c r="AH442" s="129"/>
      <c r="AI442" s="129"/>
      <c r="AJ442" s="130"/>
    </row>
    <row r="443" spans="11:36">
      <c r="K443" s="76"/>
      <c r="L443" s="48" t="e">
        <f t="shared" si="47"/>
        <v>#VALUE!</v>
      </c>
      <c r="M443" s="32" t="str">
        <f t="shared" si="50"/>
        <v/>
      </c>
      <c r="N443" s="63" t="e">
        <f t="shared" si="49"/>
        <v>#VALUE!</v>
      </c>
      <c r="O443" s="86"/>
      <c r="P443" s="223"/>
      <c r="Q443" s="224"/>
      <c r="R443" s="135"/>
      <c r="S443" s="139" cm="1">
        <f t="array" ref="S443">IF(P443="",0,IF(OR(O443=";",P443="EQU",P443="ORG"),0,HlpGetInstructionSize(P443,Q443,R443,$AC$12)))</f>
        <v>0</v>
      </c>
      <c r="V443" s="42" t="str">
        <f t="shared" si="48"/>
        <v/>
      </c>
      <c r="W443" s="16"/>
      <c r="X443" s="28"/>
      <c r="Y443" s="29"/>
      <c r="AA443" s="66"/>
      <c r="AB443" s="11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28"/>
      <c r="AD443" s="129"/>
      <c r="AE443" s="129"/>
      <c r="AF443" s="129"/>
      <c r="AG443" s="129"/>
      <c r="AH443" s="129"/>
      <c r="AI443" s="129"/>
      <c r="AJ443" s="130"/>
    </row>
    <row r="444" spans="11:36">
      <c r="K444" s="76"/>
      <c r="L444" s="48" t="e">
        <f t="shared" si="47"/>
        <v>#VALUE!</v>
      </c>
      <c r="M444" s="32" t="str">
        <f t="shared" si="50"/>
        <v/>
      </c>
      <c r="N444" s="63" t="e">
        <f t="shared" si="49"/>
        <v>#VALUE!</v>
      </c>
      <c r="O444" s="86"/>
      <c r="P444" s="223"/>
      <c r="Q444" s="224"/>
      <c r="R444" s="135"/>
      <c r="S444" s="139" cm="1">
        <f t="array" ref="S444">IF(P444="",0,IF(OR(O444=";",P444="EQU",P444="ORG"),0,HlpGetInstructionSize(P444,Q444,R444,$AC$12)))</f>
        <v>0</v>
      </c>
      <c r="V444" s="42" t="str">
        <f t="shared" si="48"/>
        <v/>
      </c>
      <c r="W444" s="16"/>
      <c r="X444" s="28"/>
      <c r="Y444" s="29"/>
      <c r="AA444" s="66"/>
      <c r="AB444" s="11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28"/>
      <c r="AD444" s="129"/>
      <c r="AE444" s="129"/>
      <c r="AF444" s="129"/>
      <c r="AG444" s="129"/>
      <c r="AH444" s="129"/>
      <c r="AI444" s="129"/>
      <c r="AJ444" s="130"/>
    </row>
    <row r="445" spans="11:36">
      <c r="K445" s="76"/>
      <c r="L445" s="48" t="e">
        <f t="shared" si="47"/>
        <v>#VALUE!</v>
      </c>
      <c r="M445" s="32" t="str">
        <f t="shared" si="50"/>
        <v/>
      </c>
      <c r="N445" s="63" t="e">
        <f t="shared" si="49"/>
        <v>#VALUE!</v>
      </c>
      <c r="O445" s="86"/>
      <c r="P445" s="223"/>
      <c r="Q445" s="224"/>
      <c r="R445" s="135"/>
      <c r="S445" s="139" cm="1">
        <f t="array" ref="S445">IF(P445="",0,IF(OR(O445=";",P445="EQU",P445="ORG"),0,HlpGetInstructionSize(P445,Q445,R445,$AC$12)))</f>
        <v>0</v>
      </c>
      <c r="V445" s="42" t="str">
        <f t="shared" si="48"/>
        <v/>
      </c>
      <c r="W445" s="16"/>
      <c r="X445" s="28"/>
      <c r="Y445" s="29"/>
      <c r="AA445" s="66"/>
      <c r="AB445" s="11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28"/>
      <c r="AD445" s="129"/>
      <c r="AE445" s="129"/>
      <c r="AF445" s="129"/>
      <c r="AG445" s="129"/>
      <c r="AH445" s="129"/>
      <c r="AI445" s="129"/>
      <c r="AJ445" s="130"/>
    </row>
    <row r="446" spans="11:36">
      <c r="K446" s="76"/>
      <c r="L446" s="48" t="e">
        <f t="shared" si="47"/>
        <v>#VALUE!</v>
      </c>
      <c r="M446" s="32" t="str">
        <f t="shared" si="50"/>
        <v/>
      </c>
      <c r="N446" s="63" t="e">
        <f t="shared" si="49"/>
        <v>#VALUE!</v>
      </c>
      <c r="O446" s="86"/>
      <c r="P446" s="223"/>
      <c r="Q446" s="224"/>
      <c r="R446" s="135"/>
      <c r="S446" s="139" cm="1">
        <f t="array" ref="S446">IF(P446="",0,IF(OR(O446=";",P446="EQU",P446="ORG"),0,HlpGetInstructionSize(P446,Q446,R446,$AC$12)))</f>
        <v>0</v>
      </c>
      <c r="V446" s="42" t="str">
        <f t="shared" si="48"/>
        <v/>
      </c>
      <c r="W446" s="16"/>
      <c r="X446" s="28"/>
      <c r="Y446" s="29"/>
      <c r="AA446" s="66"/>
      <c r="AB446" s="11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28"/>
      <c r="AD446" s="129"/>
      <c r="AE446" s="129"/>
      <c r="AF446" s="129"/>
      <c r="AG446" s="129"/>
      <c r="AH446" s="129"/>
      <c r="AI446" s="129"/>
      <c r="AJ446" s="130"/>
    </row>
    <row r="447" spans="11:36">
      <c r="K447" s="76"/>
      <c r="L447" s="48" t="e">
        <f t="shared" si="47"/>
        <v>#VALUE!</v>
      </c>
      <c r="M447" s="32" t="str">
        <f t="shared" si="50"/>
        <v/>
      </c>
      <c r="N447" s="63" t="e">
        <f t="shared" si="49"/>
        <v>#VALUE!</v>
      </c>
      <c r="O447" s="86"/>
      <c r="P447" s="223"/>
      <c r="Q447" s="224"/>
      <c r="R447" s="135"/>
      <c r="S447" s="139" cm="1">
        <f t="array" ref="S447">IF(P447="",0,IF(OR(O447=";",P447="EQU",P447="ORG"),0,HlpGetInstructionSize(P447,Q447,R447,$AC$12)))</f>
        <v>0</v>
      </c>
      <c r="V447" s="42" t="str">
        <f t="shared" si="48"/>
        <v/>
      </c>
      <c r="W447" s="16"/>
      <c r="X447" s="28"/>
      <c r="Y447" s="29"/>
      <c r="AA447" s="66"/>
      <c r="AB447" s="11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28"/>
      <c r="AD447" s="129"/>
      <c r="AE447" s="129"/>
      <c r="AF447" s="129"/>
      <c r="AG447" s="129"/>
      <c r="AH447" s="129"/>
      <c r="AI447" s="129"/>
      <c r="AJ447" s="130"/>
    </row>
    <row r="448" spans="11:36">
      <c r="K448" s="76"/>
      <c r="L448" s="48" t="e">
        <f t="shared" si="47"/>
        <v>#VALUE!</v>
      </c>
      <c r="M448" s="32" t="str">
        <f t="shared" si="50"/>
        <v/>
      </c>
      <c r="N448" s="63" t="e">
        <f t="shared" si="49"/>
        <v>#VALUE!</v>
      </c>
      <c r="O448" s="86"/>
      <c r="P448" s="223"/>
      <c r="Q448" s="224"/>
      <c r="R448" s="135"/>
      <c r="S448" s="139" cm="1">
        <f t="array" ref="S448">IF(P448="",0,IF(OR(O448=";",P448="EQU",P448="ORG"),0,HlpGetInstructionSize(P448,Q448,R448,$AC$12)))</f>
        <v>0</v>
      </c>
      <c r="V448" s="42" t="str">
        <f t="shared" si="48"/>
        <v/>
      </c>
      <c r="W448" s="16"/>
      <c r="X448" s="28"/>
      <c r="Y448" s="29"/>
      <c r="AA448" s="66"/>
      <c r="AB448" s="11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28"/>
      <c r="AD448" s="129"/>
      <c r="AE448" s="129"/>
      <c r="AF448" s="129"/>
      <c r="AG448" s="129"/>
      <c r="AH448" s="129"/>
      <c r="AI448" s="129"/>
      <c r="AJ448" s="130"/>
    </row>
    <row r="449" spans="11:36">
      <c r="K449" s="76"/>
      <c r="L449" s="48" t="e">
        <f t="shared" si="47"/>
        <v>#VALUE!</v>
      </c>
      <c r="M449" s="32" t="str">
        <f t="shared" si="50"/>
        <v/>
      </c>
      <c r="N449" s="63" t="e">
        <f t="shared" si="49"/>
        <v>#VALUE!</v>
      </c>
      <c r="O449" s="86"/>
      <c r="P449" s="223"/>
      <c r="Q449" s="224"/>
      <c r="R449" s="135"/>
      <c r="S449" s="139" cm="1">
        <f t="array" ref="S449">IF(P449="",0,IF(OR(O449=";",P449="EQU",P449="ORG"),0,HlpGetInstructionSize(P449,Q449,R449,$AC$12)))</f>
        <v>0</v>
      </c>
      <c r="V449" s="42" t="str">
        <f t="shared" si="48"/>
        <v/>
      </c>
      <c r="W449" s="16"/>
      <c r="X449" s="28"/>
      <c r="Y449" s="29"/>
      <c r="AA449" s="66"/>
      <c r="AB449" s="11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28"/>
      <c r="AD449" s="129"/>
      <c r="AE449" s="129"/>
      <c r="AF449" s="129"/>
      <c r="AG449" s="129"/>
      <c r="AH449" s="129"/>
      <c r="AI449" s="129"/>
      <c r="AJ449" s="130"/>
    </row>
    <row r="450" spans="11:36">
      <c r="K450" s="76"/>
      <c r="L450" s="48" t="e">
        <f t="shared" si="47"/>
        <v>#VALUE!</v>
      </c>
      <c r="M450" s="32" t="str">
        <f t="shared" si="50"/>
        <v/>
      </c>
      <c r="N450" s="63" t="e">
        <f t="shared" si="49"/>
        <v>#VALUE!</v>
      </c>
      <c r="O450" s="86"/>
      <c r="P450" s="223"/>
      <c r="Q450" s="224"/>
      <c r="R450" s="135"/>
      <c r="S450" s="139" cm="1">
        <f t="array" ref="S450">IF(P450="",0,IF(OR(O450=";",P450="EQU",P450="ORG"),0,HlpGetInstructionSize(P450,Q450,R450,$AC$12)))</f>
        <v>0</v>
      </c>
      <c r="V450" s="42" t="str">
        <f t="shared" si="48"/>
        <v/>
      </c>
      <c r="W450" s="16"/>
      <c r="X450" s="28"/>
      <c r="Y450" s="29"/>
      <c r="AA450" s="66"/>
      <c r="AB450" s="11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28"/>
      <c r="AD450" s="129"/>
      <c r="AE450" s="129"/>
      <c r="AF450" s="129"/>
      <c r="AG450" s="129"/>
      <c r="AH450" s="129"/>
      <c r="AI450" s="129"/>
      <c r="AJ450" s="130"/>
    </row>
    <row r="451" spans="11:36">
      <c r="K451" s="76"/>
      <c r="L451" s="48" t="e">
        <f t="shared" si="47"/>
        <v>#VALUE!</v>
      </c>
      <c r="M451" s="32" t="str">
        <f t="shared" si="50"/>
        <v/>
      </c>
      <c r="N451" s="63" t="e">
        <f t="shared" si="49"/>
        <v>#VALUE!</v>
      </c>
      <c r="O451" s="86"/>
      <c r="P451" s="223"/>
      <c r="Q451" s="224"/>
      <c r="R451" s="135"/>
      <c r="S451" s="139" cm="1">
        <f t="array" ref="S451">IF(P451="",0,IF(OR(O451=";",P451="EQU",P451="ORG"),0,HlpGetInstructionSize(P451,Q451,R451,$AC$12)))</f>
        <v>0</v>
      </c>
      <c r="V451" s="42" t="str">
        <f t="shared" si="48"/>
        <v/>
      </c>
      <c r="W451" s="16"/>
      <c r="X451" s="28"/>
      <c r="Y451" s="29"/>
      <c r="AA451" s="66"/>
      <c r="AB451" s="11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28"/>
      <c r="AD451" s="129"/>
      <c r="AE451" s="129"/>
      <c r="AF451" s="129"/>
      <c r="AG451" s="129"/>
      <c r="AH451" s="129"/>
      <c r="AI451" s="129"/>
      <c r="AJ451" s="130"/>
    </row>
    <row r="452" spans="11:36">
      <c r="K452" s="76"/>
      <c r="L452" s="48" t="e">
        <f t="shared" si="47"/>
        <v>#VALUE!</v>
      </c>
      <c r="M452" s="32" t="str">
        <f t="shared" si="50"/>
        <v/>
      </c>
      <c r="N452" s="63" t="e">
        <f t="shared" si="49"/>
        <v>#VALUE!</v>
      </c>
      <c r="O452" s="86"/>
      <c r="P452" s="223"/>
      <c r="Q452" s="224"/>
      <c r="R452" s="135"/>
      <c r="S452" s="139" cm="1">
        <f t="array" ref="S452">IF(P452="",0,IF(OR(O452=";",P452="EQU",P452="ORG"),0,HlpGetInstructionSize(P452,Q452,R452,$AC$12)))</f>
        <v>0</v>
      </c>
      <c r="V452" s="42" t="str">
        <f t="shared" si="48"/>
        <v/>
      </c>
      <c r="W452" s="16"/>
      <c r="X452" s="28"/>
      <c r="Y452" s="29"/>
      <c r="AA452" s="66"/>
      <c r="AB452" s="11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28"/>
      <c r="AD452" s="129"/>
      <c r="AE452" s="129"/>
      <c r="AF452" s="129"/>
      <c r="AG452" s="129"/>
      <c r="AH452" s="129"/>
      <c r="AI452" s="129"/>
      <c r="AJ452" s="130"/>
    </row>
    <row r="453" spans="11:36">
      <c r="K453" s="76"/>
      <c r="L453" s="48" t="e">
        <f t="shared" si="47"/>
        <v>#VALUE!</v>
      </c>
      <c r="M453" s="32" t="str">
        <f t="shared" si="50"/>
        <v/>
      </c>
      <c r="N453" s="63" t="e">
        <f t="shared" si="49"/>
        <v>#VALUE!</v>
      </c>
      <c r="O453" s="86"/>
      <c r="P453" s="223"/>
      <c r="Q453" s="224"/>
      <c r="R453" s="135"/>
      <c r="S453" s="139" cm="1">
        <f t="array" ref="S453">IF(P453="",0,IF(OR(O453=";",P453="EQU",P453="ORG"),0,HlpGetInstructionSize(P453,Q453,R453,$AC$12)))</f>
        <v>0</v>
      </c>
      <c r="V453" s="42" t="str">
        <f t="shared" si="48"/>
        <v/>
      </c>
      <c r="W453" s="16"/>
      <c r="X453" s="28"/>
      <c r="Y453" s="29"/>
      <c r="AA453" s="66"/>
      <c r="AB453" s="11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28"/>
      <c r="AD453" s="129"/>
      <c r="AE453" s="129"/>
      <c r="AF453" s="129"/>
      <c r="AG453" s="129"/>
      <c r="AH453" s="129"/>
      <c r="AI453" s="129"/>
      <c r="AJ453" s="130"/>
    </row>
    <row r="454" spans="11:36">
      <c r="K454" s="76"/>
      <c r="L454" s="48" t="e">
        <f t="shared" si="47"/>
        <v>#VALUE!</v>
      </c>
      <c r="M454" s="32" t="str">
        <f t="shared" si="50"/>
        <v/>
      </c>
      <c r="N454" s="63" t="e">
        <f t="shared" si="49"/>
        <v>#VALUE!</v>
      </c>
      <c r="O454" s="86"/>
      <c r="P454" s="223"/>
      <c r="Q454" s="224"/>
      <c r="R454" s="135"/>
      <c r="S454" s="139" cm="1">
        <f t="array" ref="S454">IF(P454="",0,IF(OR(O454=";",P454="EQU",P454="ORG"),0,HlpGetInstructionSize(P454,Q454,R454,$AC$12)))</f>
        <v>0</v>
      </c>
      <c r="V454" s="42" t="str">
        <f t="shared" si="48"/>
        <v/>
      </c>
      <c r="W454" s="16"/>
      <c r="X454" s="28"/>
      <c r="Y454" s="29"/>
      <c r="AA454" s="66"/>
      <c r="AB454" s="11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28"/>
      <c r="AD454" s="129"/>
      <c r="AE454" s="129"/>
      <c r="AF454" s="129"/>
      <c r="AG454" s="129"/>
      <c r="AH454" s="129"/>
      <c r="AI454" s="129"/>
      <c r="AJ454" s="130"/>
    </row>
    <row r="455" spans="11:36">
      <c r="K455" s="76"/>
      <c r="L455" s="48" t="e">
        <f t="shared" si="47"/>
        <v>#VALUE!</v>
      </c>
      <c r="M455" s="32" t="str">
        <f t="shared" si="50"/>
        <v/>
      </c>
      <c r="N455" s="63" t="e">
        <f t="shared" si="49"/>
        <v>#VALUE!</v>
      </c>
      <c r="O455" s="86"/>
      <c r="P455" s="223"/>
      <c r="Q455" s="224"/>
      <c r="R455" s="135"/>
      <c r="S455" s="139" cm="1">
        <f t="array" ref="S455">IF(P455="",0,IF(OR(O455=";",P455="EQU",P455="ORG"),0,HlpGetInstructionSize(P455,Q455,R455,$AC$12)))</f>
        <v>0</v>
      </c>
      <c r="V455" s="42" t="str">
        <f t="shared" si="48"/>
        <v/>
      </c>
      <c r="W455" s="16"/>
      <c r="X455" s="28"/>
      <c r="Y455" s="29"/>
      <c r="AA455" s="66"/>
      <c r="AB455" s="11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28"/>
      <c r="AD455" s="129"/>
      <c r="AE455" s="129"/>
      <c r="AF455" s="129"/>
      <c r="AG455" s="129"/>
      <c r="AH455" s="129"/>
      <c r="AI455" s="129"/>
      <c r="AJ455" s="130"/>
    </row>
    <row r="456" spans="11:36">
      <c r="K456" s="76"/>
      <c r="L456" s="48" t="e">
        <f t="shared" si="47"/>
        <v>#VALUE!</v>
      </c>
      <c r="M456" s="32" t="str">
        <f t="shared" si="50"/>
        <v/>
      </c>
      <c r="N456" s="63" t="e">
        <f t="shared" si="49"/>
        <v>#VALUE!</v>
      </c>
      <c r="O456" s="86"/>
      <c r="P456" s="223"/>
      <c r="Q456" s="224"/>
      <c r="R456" s="135"/>
      <c r="S456" s="139" cm="1">
        <f t="array" ref="S456">IF(P456="",0,IF(OR(O456=";",P456="EQU",P456="ORG"),0,HlpGetInstructionSize(P456,Q456,R456,$AC$12)))</f>
        <v>0</v>
      </c>
      <c r="V456" s="42" t="str">
        <f t="shared" si="48"/>
        <v/>
      </c>
      <c r="W456" s="16"/>
      <c r="X456" s="28"/>
      <c r="Y456" s="29"/>
      <c r="AA456" s="66"/>
      <c r="AB456" s="11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28"/>
      <c r="AD456" s="129"/>
      <c r="AE456" s="129"/>
      <c r="AF456" s="129"/>
      <c r="AG456" s="129"/>
      <c r="AH456" s="129"/>
      <c r="AI456" s="129"/>
      <c r="AJ456" s="130"/>
    </row>
    <row r="457" spans="11:36">
      <c r="K457" s="76"/>
      <c r="L457" s="48" t="e">
        <f t="shared" ref="L457:L520" si="51">IF(UPPER(P457)="EQU","E",IF(P457="DB","D",IF(O457&lt;&gt;"","L",IF(N457="","F",""))))</f>
        <v>#VALUE!</v>
      </c>
      <c r="M457" s="32" t="str">
        <f t="shared" si="50"/>
        <v/>
      </c>
      <c r="N457" s="63" t="e">
        <f t="shared" si="49"/>
        <v>#VALUE!</v>
      </c>
      <c r="O457" s="86"/>
      <c r="P457" s="223"/>
      <c r="Q457" s="224"/>
      <c r="R457" s="135"/>
      <c r="S457" s="139" cm="1">
        <f t="array" ref="S457">IF(P457="",0,IF(OR(O457=";",P457="EQU",P457="ORG"),0,HlpGetInstructionSize(P457,Q457,R457,$AC$12)))</f>
        <v>0</v>
      </c>
      <c r="V457" s="42" t="str">
        <f t="shared" ref="V457:V520" si="52">IF(W457&gt;0,RIGHT("0000"&amp;DEC2HEX(W457),4),"")</f>
        <v/>
      </c>
      <c r="W457" s="16"/>
      <c r="X457" s="28"/>
      <c r="Y457" s="29"/>
      <c r="AA457" s="66"/>
      <c r="AB457" s="11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28"/>
      <c r="AD457" s="129"/>
      <c r="AE457" s="129"/>
      <c r="AF457" s="129"/>
      <c r="AG457" s="129"/>
      <c r="AH457" s="129"/>
      <c r="AI457" s="129"/>
      <c r="AJ457" s="130"/>
    </row>
    <row r="458" spans="11:36">
      <c r="K458" s="76"/>
      <c r="L458" s="48" t="e">
        <f t="shared" si="51"/>
        <v>#VALUE!</v>
      </c>
      <c r="M458" s="32" t="str">
        <f t="shared" si="50"/>
        <v/>
      </c>
      <c r="N458" s="63" t="e">
        <f t="shared" ref="N458:N521" si="53">N457+S457</f>
        <v>#VALUE!</v>
      </c>
      <c r="O458" s="86"/>
      <c r="P458" s="223"/>
      <c r="Q458" s="224"/>
      <c r="R458" s="135"/>
      <c r="S458" s="139" cm="1">
        <f t="array" ref="S458">IF(P458="",0,IF(OR(O458=";",P458="EQU",P458="ORG"),0,HlpGetInstructionSize(P458,Q458,R458,$AC$12)))</f>
        <v>0</v>
      </c>
      <c r="V458" s="42" t="str">
        <f t="shared" si="52"/>
        <v/>
      </c>
      <c r="W458" s="16"/>
      <c r="X458" s="28"/>
      <c r="Y458" s="29"/>
      <c r="AA458" s="66"/>
      <c r="AB458" s="11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28"/>
      <c r="AD458" s="129"/>
      <c r="AE458" s="129"/>
      <c r="AF458" s="129"/>
      <c r="AG458" s="129"/>
      <c r="AH458" s="129"/>
      <c r="AI458" s="129"/>
      <c r="AJ458" s="130"/>
    </row>
    <row r="459" spans="11:36">
      <c r="K459" s="76"/>
      <c r="L459" s="48" t="e">
        <f t="shared" si="51"/>
        <v>#VALUE!</v>
      </c>
      <c r="M459" s="32" t="str">
        <f t="shared" si="50"/>
        <v/>
      </c>
      <c r="N459" s="63" t="e">
        <f t="shared" si="53"/>
        <v>#VALUE!</v>
      </c>
      <c r="O459" s="86"/>
      <c r="P459" s="223"/>
      <c r="Q459" s="224"/>
      <c r="R459" s="135"/>
      <c r="S459" s="139" cm="1">
        <f t="array" ref="S459">IF(P459="",0,IF(OR(O459=";",P459="EQU",P459="ORG"),0,HlpGetInstructionSize(P459,Q459,R459,$AC$12)))</f>
        <v>0</v>
      </c>
      <c r="V459" s="42" t="str">
        <f t="shared" si="52"/>
        <v/>
      </c>
      <c r="W459" s="16"/>
      <c r="X459" s="28"/>
      <c r="Y459" s="29"/>
      <c r="AA459" s="66"/>
      <c r="AB459" s="11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28"/>
      <c r="AD459" s="129"/>
      <c r="AE459" s="129"/>
      <c r="AF459" s="129"/>
      <c r="AG459" s="129"/>
      <c r="AH459" s="129"/>
      <c r="AI459" s="129"/>
      <c r="AJ459" s="130"/>
    </row>
    <row r="460" spans="11:36">
      <c r="K460" s="76"/>
      <c r="L460" s="48" t="e">
        <f t="shared" si="51"/>
        <v>#VALUE!</v>
      </c>
      <c r="M460" s="32" t="str">
        <f t="shared" si="50"/>
        <v/>
      </c>
      <c r="N460" s="63" t="e">
        <f t="shared" si="53"/>
        <v>#VALUE!</v>
      </c>
      <c r="O460" s="86"/>
      <c r="P460" s="223"/>
      <c r="Q460" s="224"/>
      <c r="R460" s="135"/>
      <c r="S460" s="139" cm="1">
        <f t="array" ref="S460">IF(P460="",0,IF(OR(O460=";",P460="EQU",P460="ORG"),0,HlpGetInstructionSize(P460,Q460,R460,$AC$12)))</f>
        <v>0</v>
      </c>
      <c r="V460" s="42" t="str">
        <f t="shared" si="52"/>
        <v/>
      </c>
      <c r="W460" s="16"/>
      <c r="X460" s="28"/>
      <c r="Y460" s="29"/>
      <c r="AA460" s="66"/>
      <c r="AB460" s="11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28"/>
      <c r="AD460" s="129"/>
      <c r="AE460" s="129"/>
      <c r="AF460" s="129"/>
      <c r="AG460" s="129"/>
      <c r="AH460" s="129"/>
      <c r="AI460" s="129"/>
      <c r="AJ460" s="130"/>
    </row>
    <row r="461" spans="11:36">
      <c r="K461" s="76"/>
      <c r="L461" s="48" t="e">
        <f t="shared" si="51"/>
        <v>#VALUE!</v>
      </c>
      <c r="M461" s="32" t="str">
        <f t="shared" si="50"/>
        <v/>
      </c>
      <c r="N461" s="63" t="e">
        <f t="shared" si="53"/>
        <v>#VALUE!</v>
      </c>
      <c r="O461" s="86"/>
      <c r="P461" s="223"/>
      <c r="Q461" s="224"/>
      <c r="R461" s="135"/>
      <c r="S461" s="139" cm="1">
        <f t="array" ref="S461">IF(P461="",0,IF(OR(O461=";",P461="EQU",P461="ORG"),0,HlpGetInstructionSize(P461,Q461,R461,$AC$12)))</f>
        <v>0</v>
      </c>
      <c r="V461" s="42" t="str">
        <f t="shared" si="52"/>
        <v/>
      </c>
      <c r="W461" s="16"/>
      <c r="X461" s="28"/>
      <c r="Y461" s="29"/>
      <c r="AA461" s="66"/>
      <c r="AB461" s="11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28"/>
      <c r="AD461" s="129"/>
      <c r="AE461" s="129"/>
      <c r="AF461" s="129"/>
      <c r="AG461" s="129"/>
      <c r="AH461" s="129"/>
      <c r="AI461" s="129"/>
      <c r="AJ461" s="130"/>
    </row>
    <row r="462" spans="11:36">
      <c r="K462" s="76"/>
      <c r="L462" s="48" t="e">
        <f t="shared" si="51"/>
        <v>#VALUE!</v>
      </c>
      <c r="M462" s="32" t="str">
        <f t="shared" si="50"/>
        <v/>
      </c>
      <c r="N462" s="63" t="e">
        <f t="shared" si="53"/>
        <v>#VALUE!</v>
      </c>
      <c r="O462" s="86"/>
      <c r="P462" s="223"/>
      <c r="Q462" s="224"/>
      <c r="R462" s="135"/>
      <c r="S462" s="139" cm="1">
        <f t="array" ref="S462">IF(P462="",0,IF(OR(O462=";",P462="EQU",P462="ORG"),0,HlpGetInstructionSize(P462,Q462,R462,$AC$12)))</f>
        <v>0</v>
      </c>
      <c r="V462" s="42" t="str">
        <f t="shared" si="52"/>
        <v/>
      </c>
      <c r="W462" s="16"/>
      <c r="X462" s="28"/>
      <c r="Y462" s="29"/>
      <c r="AA462" s="66"/>
      <c r="AB462" s="11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28"/>
      <c r="AD462" s="129"/>
      <c r="AE462" s="129"/>
      <c r="AF462" s="129"/>
      <c r="AG462" s="129"/>
      <c r="AH462" s="129"/>
      <c r="AI462" s="129"/>
      <c r="AJ462" s="130"/>
    </row>
    <row r="463" spans="11:36">
      <c r="K463" s="76"/>
      <c r="L463" s="48" t="e">
        <f t="shared" si="51"/>
        <v>#VALUE!</v>
      </c>
      <c r="M463" s="32" t="str">
        <f t="shared" si="50"/>
        <v/>
      </c>
      <c r="N463" s="63" t="e">
        <f t="shared" si="53"/>
        <v>#VALUE!</v>
      </c>
      <c r="O463" s="86"/>
      <c r="P463" s="223"/>
      <c r="Q463" s="224"/>
      <c r="R463" s="135"/>
      <c r="S463" s="139" cm="1">
        <f t="array" ref="S463">IF(P463="",0,IF(OR(O463=";",P463="EQU",P463="ORG"),0,HlpGetInstructionSize(P463,Q463,R463,$AC$12)))</f>
        <v>0</v>
      </c>
      <c r="V463" s="42" t="str">
        <f t="shared" si="52"/>
        <v/>
      </c>
      <c r="W463" s="16"/>
      <c r="X463" s="28"/>
      <c r="Y463" s="29"/>
      <c r="AA463" s="66"/>
      <c r="AB463" s="11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28"/>
      <c r="AD463" s="129"/>
      <c r="AE463" s="129"/>
      <c r="AF463" s="129"/>
      <c r="AG463" s="129"/>
      <c r="AH463" s="129"/>
      <c r="AI463" s="129"/>
      <c r="AJ463" s="130"/>
    </row>
    <row r="464" spans="11:36">
      <c r="K464" s="76"/>
      <c r="L464" s="48" t="e">
        <f t="shared" si="51"/>
        <v>#VALUE!</v>
      </c>
      <c r="M464" s="32" t="str">
        <f t="shared" si="50"/>
        <v/>
      </c>
      <c r="N464" s="63" t="e">
        <f t="shared" si="53"/>
        <v>#VALUE!</v>
      </c>
      <c r="O464" s="86"/>
      <c r="P464" s="223"/>
      <c r="Q464" s="224"/>
      <c r="R464" s="135"/>
      <c r="S464" s="139" cm="1">
        <f t="array" ref="S464">IF(P464="",0,IF(OR(O464=";",P464="EQU",P464="ORG"),0,HlpGetInstructionSize(P464,Q464,R464,$AC$12)))</f>
        <v>0</v>
      </c>
      <c r="V464" s="42" t="str">
        <f t="shared" si="52"/>
        <v/>
      </c>
      <c r="W464" s="16"/>
      <c r="X464" s="28"/>
      <c r="Y464" s="29"/>
      <c r="AA464" s="66"/>
      <c r="AB464" s="11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28"/>
      <c r="AD464" s="129"/>
      <c r="AE464" s="129"/>
      <c r="AF464" s="129"/>
      <c r="AG464" s="129"/>
      <c r="AH464" s="129"/>
      <c r="AI464" s="129"/>
      <c r="AJ464" s="130"/>
    </row>
    <row r="465" spans="11:36">
      <c r="K465" s="76"/>
      <c r="L465" s="48" t="e">
        <f t="shared" si="51"/>
        <v>#VALUE!</v>
      </c>
      <c r="M465" s="32" t="str">
        <f t="shared" si="50"/>
        <v/>
      </c>
      <c r="N465" s="63" t="e">
        <f t="shared" si="53"/>
        <v>#VALUE!</v>
      </c>
      <c r="O465" s="86"/>
      <c r="P465" s="223"/>
      <c r="Q465" s="224"/>
      <c r="R465" s="135"/>
      <c r="S465" s="139" cm="1">
        <f t="array" ref="S465">IF(P465="",0,IF(OR(O465=";",P465="EQU",P465="ORG"),0,HlpGetInstructionSize(P465,Q465,R465,$AC$12)))</f>
        <v>0</v>
      </c>
      <c r="V465" s="42" t="str">
        <f t="shared" si="52"/>
        <v/>
      </c>
      <c r="W465" s="16"/>
      <c r="X465" s="28"/>
      <c r="Y465" s="29"/>
      <c r="AA465" s="66"/>
      <c r="AB465" s="11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28"/>
      <c r="AD465" s="129"/>
      <c r="AE465" s="129"/>
      <c r="AF465" s="129"/>
      <c r="AG465" s="129"/>
      <c r="AH465" s="129"/>
      <c r="AI465" s="129"/>
      <c r="AJ465" s="130"/>
    </row>
    <row r="466" spans="11:36">
      <c r="K466" s="76"/>
      <c r="L466" s="48" t="e">
        <f t="shared" si="51"/>
        <v>#VALUE!</v>
      </c>
      <c r="M466" s="32" t="str">
        <f t="shared" si="50"/>
        <v/>
      </c>
      <c r="N466" s="63" t="e">
        <f t="shared" si="53"/>
        <v>#VALUE!</v>
      </c>
      <c r="O466" s="86"/>
      <c r="P466" s="223"/>
      <c r="Q466" s="224"/>
      <c r="R466" s="135"/>
      <c r="S466" s="139" cm="1">
        <f t="array" ref="S466">IF(P466="",0,IF(OR(O466=";",P466="EQU",P466="ORG"),0,HlpGetInstructionSize(P466,Q466,R466,$AC$12)))</f>
        <v>0</v>
      </c>
      <c r="V466" s="42" t="str">
        <f t="shared" si="52"/>
        <v/>
      </c>
      <c r="W466" s="16"/>
      <c r="X466" s="28"/>
      <c r="Y466" s="29"/>
      <c r="AA466" s="66"/>
      <c r="AB466" s="11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28"/>
      <c r="AD466" s="129"/>
      <c r="AE466" s="129"/>
      <c r="AF466" s="129"/>
      <c r="AG466" s="129"/>
      <c r="AH466" s="129"/>
      <c r="AI466" s="129"/>
      <c r="AJ466" s="130"/>
    </row>
    <row r="467" spans="11:36">
      <c r="K467" s="76"/>
      <c r="L467" s="48" t="e">
        <f t="shared" si="51"/>
        <v>#VALUE!</v>
      </c>
      <c r="M467" s="32" t="str">
        <f t="shared" si="50"/>
        <v/>
      </c>
      <c r="N467" s="63" t="e">
        <f t="shared" si="53"/>
        <v>#VALUE!</v>
      </c>
      <c r="O467" s="86"/>
      <c r="P467" s="223"/>
      <c r="Q467" s="224"/>
      <c r="R467" s="135"/>
      <c r="S467" s="139" cm="1">
        <f t="array" ref="S467">IF(P467="",0,IF(OR(O467=";",P467="EQU",P467="ORG"),0,HlpGetInstructionSize(P467,Q467,R467,$AC$12)))</f>
        <v>0</v>
      </c>
      <c r="V467" s="42" t="str">
        <f t="shared" si="52"/>
        <v/>
      </c>
      <c r="W467" s="16"/>
      <c r="X467" s="28"/>
      <c r="Y467" s="29"/>
      <c r="AA467" s="66"/>
      <c r="AB467" s="11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28"/>
      <c r="AD467" s="129"/>
      <c r="AE467" s="129"/>
      <c r="AF467" s="129"/>
      <c r="AG467" s="129"/>
      <c r="AH467" s="129"/>
      <c r="AI467" s="129"/>
      <c r="AJ467" s="130"/>
    </row>
    <row r="468" spans="11:36">
      <c r="K468" s="76"/>
      <c r="L468" s="48" t="e">
        <f t="shared" si="51"/>
        <v>#VALUE!</v>
      </c>
      <c r="M468" s="32" t="str">
        <f t="shared" si="50"/>
        <v/>
      </c>
      <c r="N468" s="63" t="e">
        <f t="shared" si="53"/>
        <v>#VALUE!</v>
      </c>
      <c r="O468" s="86"/>
      <c r="P468" s="223"/>
      <c r="Q468" s="224"/>
      <c r="R468" s="135"/>
      <c r="S468" s="139" cm="1">
        <f t="array" ref="S468">IF(P468="",0,IF(OR(O468=";",P468="EQU",P468="ORG"),0,HlpGetInstructionSize(P468,Q468,R468,$AC$12)))</f>
        <v>0</v>
      </c>
      <c r="V468" s="42" t="str">
        <f t="shared" si="52"/>
        <v/>
      </c>
      <c r="W468" s="16"/>
      <c r="X468" s="28"/>
      <c r="Y468" s="29"/>
      <c r="AA468" s="66"/>
      <c r="AB468" s="11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28"/>
      <c r="AD468" s="129"/>
      <c r="AE468" s="129"/>
      <c r="AF468" s="129"/>
      <c r="AG468" s="129"/>
      <c r="AH468" s="129"/>
      <c r="AI468" s="129"/>
      <c r="AJ468" s="130"/>
    </row>
    <row r="469" spans="11:36">
      <c r="K469" s="76"/>
      <c r="L469" s="48" t="e">
        <f t="shared" si="51"/>
        <v>#VALUE!</v>
      </c>
      <c r="M469" s="32" t="str">
        <f t="shared" si="50"/>
        <v/>
      </c>
      <c r="N469" s="63" t="e">
        <f t="shared" si="53"/>
        <v>#VALUE!</v>
      </c>
      <c r="O469" s="86"/>
      <c r="P469" s="223"/>
      <c r="Q469" s="224"/>
      <c r="R469" s="135"/>
      <c r="S469" s="139" cm="1">
        <f t="array" ref="S469">IF(P469="",0,IF(OR(O469=";",P469="EQU",P469="ORG"),0,HlpGetInstructionSize(P469,Q469,R469,$AC$12)))</f>
        <v>0</v>
      </c>
      <c r="V469" s="42" t="str">
        <f t="shared" si="52"/>
        <v/>
      </c>
      <c r="W469" s="16"/>
      <c r="X469" s="28"/>
      <c r="Y469" s="29"/>
      <c r="AA469" s="66"/>
      <c r="AB469" s="11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28"/>
      <c r="AD469" s="129"/>
      <c r="AE469" s="129"/>
      <c r="AF469" s="129"/>
      <c r="AG469" s="129"/>
      <c r="AH469" s="129"/>
      <c r="AI469" s="129"/>
      <c r="AJ469" s="130"/>
    </row>
    <row r="470" spans="11:36">
      <c r="K470" s="76"/>
      <c r="L470" s="48" t="e">
        <f t="shared" si="51"/>
        <v>#VALUE!</v>
      </c>
      <c r="M470" s="32" t="str">
        <f t="shared" si="50"/>
        <v/>
      </c>
      <c r="N470" s="63" t="e">
        <f t="shared" si="53"/>
        <v>#VALUE!</v>
      </c>
      <c r="O470" s="86"/>
      <c r="P470" s="223"/>
      <c r="Q470" s="224"/>
      <c r="R470" s="135"/>
      <c r="S470" s="139" cm="1">
        <f t="array" ref="S470">IF(P470="",0,IF(OR(O470=";",P470="EQU",P470="ORG"),0,HlpGetInstructionSize(P470,Q470,R470,$AC$12)))</f>
        <v>0</v>
      </c>
      <c r="V470" s="42" t="str">
        <f t="shared" si="52"/>
        <v/>
      </c>
      <c r="W470" s="16"/>
      <c r="X470" s="28"/>
      <c r="Y470" s="29"/>
      <c r="AA470" s="66"/>
      <c r="AB470" s="11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28"/>
      <c r="AD470" s="129"/>
      <c r="AE470" s="129"/>
      <c r="AF470" s="129"/>
      <c r="AG470" s="129"/>
      <c r="AH470" s="129"/>
      <c r="AI470" s="129"/>
      <c r="AJ470" s="130"/>
    </row>
    <row r="471" spans="11:36">
      <c r="K471" s="76"/>
      <c r="L471" s="48" t="e">
        <f t="shared" si="51"/>
        <v>#VALUE!</v>
      </c>
      <c r="M471" s="32" t="str">
        <f t="shared" si="50"/>
        <v/>
      </c>
      <c r="N471" s="63" t="e">
        <f t="shared" si="53"/>
        <v>#VALUE!</v>
      </c>
      <c r="O471" s="86"/>
      <c r="P471" s="223"/>
      <c r="Q471" s="224"/>
      <c r="R471" s="135"/>
      <c r="S471" s="139" cm="1">
        <f t="array" ref="S471">IF(P471="",0,IF(OR(O471=";",P471="EQU",P471="ORG"),0,HlpGetInstructionSize(P471,Q471,R471,$AC$12)))</f>
        <v>0</v>
      </c>
      <c r="V471" s="42" t="str">
        <f t="shared" si="52"/>
        <v/>
      </c>
      <c r="W471" s="16"/>
      <c r="X471" s="28"/>
      <c r="Y471" s="29"/>
      <c r="AA471" s="66"/>
      <c r="AB471" s="11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28"/>
      <c r="AD471" s="129"/>
      <c r="AE471" s="129"/>
      <c r="AF471" s="129"/>
      <c r="AG471" s="129"/>
      <c r="AH471" s="129"/>
      <c r="AI471" s="129"/>
      <c r="AJ471" s="130"/>
    </row>
    <row r="472" spans="11:36">
      <c r="K472" s="76"/>
      <c r="L472" s="48" t="e">
        <f t="shared" si="51"/>
        <v>#VALUE!</v>
      </c>
      <c r="M472" s="32" t="str">
        <f t="shared" si="50"/>
        <v/>
      </c>
      <c r="N472" s="63" t="e">
        <f t="shared" si="53"/>
        <v>#VALUE!</v>
      </c>
      <c r="O472" s="86"/>
      <c r="P472" s="223"/>
      <c r="Q472" s="224"/>
      <c r="R472" s="135"/>
      <c r="S472" s="139" cm="1">
        <f t="array" ref="S472">IF(P472="",0,IF(OR(O472=";",P472="EQU",P472="ORG"),0,HlpGetInstructionSize(P472,Q472,R472,$AC$12)))</f>
        <v>0</v>
      </c>
      <c r="V472" s="42" t="str">
        <f t="shared" si="52"/>
        <v/>
      </c>
      <c r="W472" s="16"/>
      <c r="X472" s="28"/>
      <c r="Y472" s="29"/>
      <c r="AA472" s="66"/>
      <c r="AB472" s="11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28"/>
      <c r="AD472" s="129"/>
      <c r="AE472" s="129"/>
      <c r="AF472" s="129"/>
      <c r="AG472" s="129"/>
      <c r="AH472" s="129"/>
      <c r="AI472" s="129"/>
      <c r="AJ472" s="130"/>
    </row>
    <row r="473" spans="11:36">
      <c r="K473" s="76"/>
      <c r="L473" s="48" t="e">
        <f t="shared" si="51"/>
        <v>#VALUE!</v>
      </c>
      <c r="M473" s="32" t="str">
        <f t="shared" si="50"/>
        <v/>
      </c>
      <c r="N473" s="63" t="e">
        <f t="shared" si="53"/>
        <v>#VALUE!</v>
      </c>
      <c r="O473" s="86"/>
      <c r="P473" s="223"/>
      <c r="Q473" s="224"/>
      <c r="R473" s="135"/>
      <c r="S473" s="139" cm="1">
        <f t="array" ref="S473">IF(P473="",0,IF(OR(O473=";",P473="EQU",P473="ORG"),0,HlpGetInstructionSize(P473,Q473,R473,$AC$12)))</f>
        <v>0</v>
      </c>
      <c r="V473" s="42" t="str">
        <f t="shared" si="52"/>
        <v/>
      </c>
      <c r="W473" s="16"/>
      <c r="X473" s="28"/>
      <c r="Y473" s="29"/>
      <c r="AA473" s="66"/>
      <c r="AB473" s="11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28"/>
      <c r="AD473" s="129"/>
      <c r="AE473" s="129"/>
      <c r="AF473" s="129"/>
      <c r="AG473" s="129"/>
      <c r="AH473" s="129"/>
      <c r="AI473" s="129"/>
      <c r="AJ473" s="130"/>
    </row>
    <row r="474" spans="11:36">
      <c r="K474" s="76"/>
      <c r="L474" s="48" t="e">
        <f t="shared" si="51"/>
        <v>#VALUE!</v>
      </c>
      <c r="M474" s="32" t="str">
        <f t="shared" si="50"/>
        <v/>
      </c>
      <c r="N474" s="63" t="e">
        <f t="shared" si="53"/>
        <v>#VALUE!</v>
      </c>
      <c r="O474" s="86"/>
      <c r="P474" s="223"/>
      <c r="Q474" s="224"/>
      <c r="R474" s="135"/>
      <c r="S474" s="139" cm="1">
        <f t="array" ref="S474">IF(P474="",0,IF(OR(O474=";",P474="EQU",P474="ORG"),0,HlpGetInstructionSize(P474,Q474,R474,$AC$12)))</f>
        <v>0</v>
      </c>
      <c r="V474" s="42" t="str">
        <f t="shared" si="52"/>
        <v/>
      </c>
      <c r="W474" s="16"/>
      <c r="X474" s="28"/>
      <c r="Y474" s="29"/>
      <c r="AA474" s="66"/>
      <c r="AB474" s="11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28"/>
      <c r="AD474" s="129"/>
      <c r="AE474" s="129"/>
      <c r="AF474" s="129"/>
      <c r="AG474" s="129"/>
      <c r="AH474" s="129"/>
      <c r="AI474" s="129"/>
      <c r="AJ474" s="130"/>
    </row>
    <row r="475" spans="11:36">
      <c r="K475" s="76"/>
      <c r="L475" s="48" t="e">
        <f t="shared" si="51"/>
        <v>#VALUE!</v>
      </c>
      <c r="M475" s="32" t="str">
        <f t="shared" si="50"/>
        <v/>
      </c>
      <c r="N475" s="63" t="e">
        <f t="shared" si="53"/>
        <v>#VALUE!</v>
      </c>
      <c r="O475" s="86"/>
      <c r="P475" s="223"/>
      <c r="Q475" s="224"/>
      <c r="R475" s="135"/>
      <c r="S475" s="139" cm="1">
        <f t="array" ref="S475">IF(P475="",0,IF(OR(O475=";",P475="EQU",P475="ORG"),0,HlpGetInstructionSize(P475,Q475,R475,$AC$12)))</f>
        <v>0</v>
      </c>
      <c r="V475" s="42" t="str">
        <f t="shared" si="52"/>
        <v/>
      </c>
      <c r="W475" s="16"/>
      <c r="X475" s="28"/>
      <c r="Y475" s="29"/>
      <c r="AA475" s="66"/>
      <c r="AB475" s="11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28"/>
      <c r="AD475" s="129"/>
      <c r="AE475" s="129"/>
      <c r="AF475" s="129"/>
      <c r="AG475" s="129"/>
      <c r="AH475" s="129"/>
      <c r="AI475" s="129"/>
      <c r="AJ475" s="130"/>
    </row>
    <row r="476" spans="11:36">
      <c r="K476" s="76"/>
      <c r="L476" s="48" t="e">
        <f t="shared" si="51"/>
        <v>#VALUE!</v>
      </c>
      <c r="M476" s="32" t="str">
        <f t="shared" si="50"/>
        <v/>
      </c>
      <c r="N476" s="63" t="e">
        <f t="shared" si="53"/>
        <v>#VALUE!</v>
      </c>
      <c r="O476" s="86"/>
      <c r="P476" s="223"/>
      <c r="Q476" s="224"/>
      <c r="R476" s="135"/>
      <c r="S476" s="139" cm="1">
        <f t="array" ref="S476">IF(P476="",0,IF(OR(O476=";",P476="EQU",P476="ORG"),0,HlpGetInstructionSize(P476,Q476,R476,$AC$12)))</f>
        <v>0</v>
      </c>
      <c r="V476" s="42" t="str">
        <f t="shared" si="52"/>
        <v/>
      </c>
      <c r="W476" s="16"/>
      <c r="X476" s="28"/>
      <c r="Y476" s="29"/>
      <c r="AA476" s="66"/>
      <c r="AB476" s="11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28"/>
      <c r="AD476" s="129"/>
      <c r="AE476" s="129"/>
      <c r="AF476" s="129"/>
      <c r="AG476" s="129"/>
      <c r="AH476" s="129"/>
      <c r="AI476" s="129"/>
      <c r="AJ476" s="130"/>
    </row>
    <row r="477" spans="11:36">
      <c r="K477" s="76"/>
      <c r="L477" s="48" t="e">
        <f t="shared" si="51"/>
        <v>#VALUE!</v>
      </c>
      <c r="M477" s="32" t="str">
        <f t="shared" ref="M477:M540" si="54">IFERROR(RIGHT("0000"&amp;DEC2HEX(N477),4),"")</f>
        <v/>
      </c>
      <c r="N477" s="63" t="e">
        <f t="shared" si="53"/>
        <v>#VALUE!</v>
      </c>
      <c r="O477" s="86"/>
      <c r="P477" s="223"/>
      <c r="Q477" s="224"/>
      <c r="R477" s="135"/>
      <c r="S477" s="139" cm="1">
        <f t="array" ref="S477">IF(P477="",0,IF(OR(O477=";",P477="EQU",P477="ORG"),0,HlpGetInstructionSize(P477,Q477,R477,$AC$12)))</f>
        <v>0</v>
      </c>
      <c r="V477" s="42" t="str">
        <f t="shared" si="52"/>
        <v/>
      </c>
      <c r="W477" s="16"/>
      <c r="X477" s="28"/>
      <c r="Y477" s="29"/>
      <c r="AA477" s="66"/>
      <c r="AB477" s="11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28"/>
      <c r="AD477" s="129"/>
      <c r="AE477" s="129"/>
      <c r="AF477" s="129"/>
      <c r="AG477" s="129"/>
      <c r="AH477" s="129"/>
      <c r="AI477" s="129"/>
      <c r="AJ477" s="130"/>
    </row>
    <row r="478" spans="11:36">
      <c r="K478" s="76"/>
      <c r="L478" s="48" t="e">
        <f t="shared" si="51"/>
        <v>#VALUE!</v>
      </c>
      <c r="M478" s="32" t="str">
        <f t="shared" si="54"/>
        <v/>
      </c>
      <c r="N478" s="63" t="e">
        <f t="shared" si="53"/>
        <v>#VALUE!</v>
      </c>
      <c r="O478" s="86"/>
      <c r="P478" s="223"/>
      <c r="Q478" s="224"/>
      <c r="R478" s="135"/>
      <c r="S478" s="139" cm="1">
        <f t="array" ref="S478">IF(P478="",0,IF(OR(O478=";",P478="EQU",P478="ORG"),0,HlpGetInstructionSize(P478,Q478,R478,$AC$12)))</f>
        <v>0</v>
      </c>
      <c r="V478" s="42" t="str">
        <f t="shared" si="52"/>
        <v/>
      </c>
      <c r="W478" s="16"/>
      <c r="X478" s="28"/>
      <c r="Y478" s="29"/>
      <c r="AA478" s="66"/>
      <c r="AB478" s="11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28"/>
      <c r="AD478" s="129"/>
      <c r="AE478" s="129"/>
      <c r="AF478" s="129"/>
      <c r="AG478" s="129"/>
      <c r="AH478" s="129"/>
      <c r="AI478" s="129"/>
      <c r="AJ478" s="130"/>
    </row>
    <row r="479" spans="11:36">
      <c r="K479" s="76"/>
      <c r="L479" s="48" t="e">
        <f t="shared" si="51"/>
        <v>#VALUE!</v>
      </c>
      <c r="M479" s="32" t="str">
        <f t="shared" si="54"/>
        <v/>
      </c>
      <c r="N479" s="63" t="e">
        <f t="shared" si="53"/>
        <v>#VALUE!</v>
      </c>
      <c r="O479" s="86"/>
      <c r="P479" s="223"/>
      <c r="Q479" s="224"/>
      <c r="R479" s="135"/>
      <c r="S479" s="139" cm="1">
        <f t="array" ref="S479">IF(P479="",0,IF(OR(O479=";",P479="EQU",P479="ORG"),0,HlpGetInstructionSize(P479,Q479,R479,$AC$12)))</f>
        <v>0</v>
      </c>
      <c r="V479" s="42" t="str">
        <f t="shared" si="52"/>
        <v/>
      </c>
      <c r="W479" s="16"/>
      <c r="X479" s="28"/>
      <c r="Y479" s="29"/>
      <c r="AA479" s="66"/>
      <c r="AB479" s="11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28"/>
      <c r="AD479" s="129"/>
      <c r="AE479" s="129"/>
      <c r="AF479" s="129"/>
      <c r="AG479" s="129"/>
      <c r="AH479" s="129"/>
      <c r="AI479" s="129"/>
      <c r="AJ479" s="130"/>
    </row>
    <row r="480" spans="11:36">
      <c r="K480" s="76"/>
      <c r="L480" s="48" t="e">
        <f t="shared" si="51"/>
        <v>#VALUE!</v>
      </c>
      <c r="M480" s="32" t="str">
        <f t="shared" si="54"/>
        <v/>
      </c>
      <c r="N480" s="63" t="e">
        <f t="shared" si="53"/>
        <v>#VALUE!</v>
      </c>
      <c r="O480" s="86"/>
      <c r="P480" s="223"/>
      <c r="Q480" s="224"/>
      <c r="R480" s="135"/>
      <c r="S480" s="139" cm="1">
        <f t="array" ref="S480">IF(P480="",0,IF(OR(O480=";",P480="EQU",P480="ORG"),0,HlpGetInstructionSize(P480,Q480,R480,$AC$12)))</f>
        <v>0</v>
      </c>
      <c r="V480" s="42" t="str">
        <f t="shared" si="52"/>
        <v/>
      </c>
      <c r="W480" s="16"/>
      <c r="X480" s="28"/>
      <c r="Y480" s="29"/>
      <c r="AA480" s="66"/>
      <c r="AB480" s="11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28"/>
      <c r="AD480" s="129"/>
      <c r="AE480" s="129"/>
      <c r="AF480" s="129"/>
      <c r="AG480" s="129"/>
      <c r="AH480" s="129"/>
      <c r="AI480" s="129"/>
      <c r="AJ480" s="130"/>
    </row>
    <row r="481" spans="11:36">
      <c r="K481" s="76"/>
      <c r="L481" s="48" t="e">
        <f t="shared" si="51"/>
        <v>#VALUE!</v>
      </c>
      <c r="M481" s="32" t="str">
        <f t="shared" si="54"/>
        <v/>
      </c>
      <c r="N481" s="63" t="e">
        <f t="shared" si="53"/>
        <v>#VALUE!</v>
      </c>
      <c r="O481" s="86"/>
      <c r="P481" s="223"/>
      <c r="Q481" s="224"/>
      <c r="R481" s="135"/>
      <c r="S481" s="139" cm="1">
        <f t="array" ref="S481">IF(P481="",0,IF(OR(O481=";",P481="EQU",P481="ORG"),0,HlpGetInstructionSize(P481,Q481,R481,$AC$12)))</f>
        <v>0</v>
      </c>
      <c r="V481" s="42" t="str">
        <f t="shared" si="52"/>
        <v/>
      </c>
      <c r="W481" s="16"/>
      <c r="X481" s="28"/>
      <c r="Y481" s="29"/>
      <c r="AA481" s="66"/>
      <c r="AB481" s="11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28"/>
      <c r="AD481" s="129"/>
      <c r="AE481" s="129"/>
      <c r="AF481" s="129"/>
      <c r="AG481" s="129"/>
      <c r="AH481" s="129"/>
      <c r="AI481" s="129"/>
      <c r="AJ481" s="130"/>
    </row>
    <row r="482" spans="11:36">
      <c r="K482" s="76"/>
      <c r="L482" s="48" t="e">
        <f t="shared" si="51"/>
        <v>#VALUE!</v>
      </c>
      <c r="M482" s="32" t="str">
        <f t="shared" si="54"/>
        <v/>
      </c>
      <c r="N482" s="63" t="e">
        <f t="shared" si="53"/>
        <v>#VALUE!</v>
      </c>
      <c r="O482" s="86"/>
      <c r="P482" s="223"/>
      <c r="Q482" s="224"/>
      <c r="R482" s="135"/>
      <c r="S482" s="139" cm="1">
        <f t="array" ref="S482">IF(P482="",0,IF(OR(O482=";",P482="EQU",P482="ORG"),0,HlpGetInstructionSize(P482,Q482,R482,$AC$12)))</f>
        <v>0</v>
      </c>
      <c r="V482" s="42" t="str">
        <f t="shared" si="52"/>
        <v/>
      </c>
      <c r="W482" s="16"/>
      <c r="X482" s="28"/>
      <c r="Y482" s="29"/>
      <c r="AA482" s="66"/>
      <c r="AB482" s="11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28"/>
      <c r="AD482" s="129"/>
      <c r="AE482" s="129"/>
      <c r="AF482" s="129"/>
      <c r="AG482" s="129"/>
      <c r="AH482" s="129"/>
      <c r="AI482" s="129"/>
      <c r="AJ482" s="130"/>
    </row>
    <row r="483" spans="11:36">
      <c r="K483" s="76"/>
      <c r="L483" s="48" t="e">
        <f t="shared" si="51"/>
        <v>#VALUE!</v>
      </c>
      <c r="M483" s="32" t="str">
        <f t="shared" si="54"/>
        <v/>
      </c>
      <c r="N483" s="63" t="e">
        <f t="shared" si="53"/>
        <v>#VALUE!</v>
      </c>
      <c r="O483" s="86"/>
      <c r="P483" s="223"/>
      <c r="Q483" s="224"/>
      <c r="R483" s="135"/>
      <c r="S483" s="139" cm="1">
        <f t="array" ref="S483">IF(P483="",0,IF(OR(O483=";",P483="EQU",P483="ORG"),0,HlpGetInstructionSize(P483,Q483,R483,$AC$12)))</f>
        <v>0</v>
      </c>
      <c r="V483" s="42" t="str">
        <f t="shared" si="52"/>
        <v/>
      </c>
      <c r="W483" s="16"/>
      <c r="X483" s="28"/>
      <c r="Y483" s="29"/>
      <c r="AA483" s="66"/>
      <c r="AB483" s="11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28"/>
      <c r="AD483" s="129"/>
      <c r="AE483" s="129"/>
      <c r="AF483" s="129"/>
      <c r="AG483" s="129"/>
      <c r="AH483" s="129"/>
      <c r="AI483" s="129"/>
      <c r="AJ483" s="130"/>
    </row>
    <row r="484" spans="11:36">
      <c r="K484" s="76"/>
      <c r="L484" s="48" t="e">
        <f t="shared" si="51"/>
        <v>#VALUE!</v>
      </c>
      <c r="M484" s="32" t="str">
        <f t="shared" si="54"/>
        <v/>
      </c>
      <c r="N484" s="63" t="e">
        <f t="shared" si="53"/>
        <v>#VALUE!</v>
      </c>
      <c r="O484" s="86"/>
      <c r="P484" s="223"/>
      <c r="Q484" s="224"/>
      <c r="R484" s="135"/>
      <c r="S484" s="139" cm="1">
        <f t="array" ref="S484">IF(P484="",0,IF(OR(O484=";",P484="EQU",P484="ORG"),0,HlpGetInstructionSize(P484,Q484,R484,$AC$12)))</f>
        <v>0</v>
      </c>
      <c r="V484" s="42" t="str">
        <f t="shared" si="52"/>
        <v/>
      </c>
      <c r="W484" s="16"/>
      <c r="X484" s="28"/>
      <c r="Y484" s="29"/>
      <c r="AA484" s="66"/>
      <c r="AB484" s="11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28"/>
      <c r="AD484" s="129"/>
      <c r="AE484" s="129"/>
      <c r="AF484" s="129"/>
      <c r="AG484" s="129"/>
      <c r="AH484" s="129"/>
      <c r="AI484" s="129"/>
      <c r="AJ484" s="130"/>
    </row>
    <row r="485" spans="11:36">
      <c r="K485" s="76"/>
      <c r="L485" s="48" t="e">
        <f t="shared" si="51"/>
        <v>#VALUE!</v>
      </c>
      <c r="M485" s="32" t="str">
        <f t="shared" si="54"/>
        <v/>
      </c>
      <c r="N485" s="63" t="e">
        <f t="shared" si="53"/>
        <v>#VALUE!</v>
      </c>
      <c r="O485" s="86"/>
      <c r="P485" s="223"/>
      <c r="Q485" s="224"/>
      <c r="R485" s="135"/>
      <c r="S485" s="139" cm="1">
        <f t="array" ref="S485">IF(P485="",0,IF(OR(O485=";",P485="EQU",P485="ORG"),0,HlpGetInstructionSize(P485,Q485,R485,$AC$12)))</f>
        <v>0</v>
      </c>
      <c r="V485" s="42" t="str">
        <f t="shared" si="52"/>
        <v/>
      </c>
      <c r="W485" s="16"/>
      <c r="X485" s="28"/>
      <c r="Y485" s="29"/>
      <c r="AA485" s="66"/>
      <c r="AB485" s="11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28"/>
      <c r="AD485" s="129"/>
      <c r="AE485" s="129"/>
      <c r="AF485" s="129"/>
      <c r="AG485" s="129"/>
      <c r="AH485" s="129"/>
      <c r="AI485" s="129"/>
      <c r="AJ485" s="130"/>
    </row>
    <row r="486" spans="11:36">
      <c r="K486" s="76"/>
      <c r="L486" s="48" t="e">
        <f t="shared" si="51"/>
        <v>#VALUE!</v>
      </c>
      <c r="M486" s="32" t="str">
        <f t="shared" si="54"/>
        <v/>
      </c>
      <c r="N486" s="63" t="e">
        <f t="shared" si="53"/>
        <v>#VALUE!</v>
      </c>
      <c r="O486" s="86"/>
      <c r="P486" s="223"/>
      <c r="Q486" s="224"/>
      <c r="R486" s="135"/>
      <c r="S486" s="139" cm="1">
        <f t="array" ref="S486">IF(P486="",0,IF(OR(O486=";",P486="EQU",P486="ORG"),0,HlpGetInstructionSize(P486,Q486,R486,$AC$12)))</f>
        <v>0</v>
      </c>
      <c r="V486" s="42" t="str">
        <f t="shared" si="52"/>
        <v/>
      </c>
      <c r="W486" s="16"/>
      <c r="X486" s="28"/>
      <c r="Y486" s="29"/>
      <c r="AA486" s="66"/>
      <c r="AB486" s="11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28"/>
      <c r="AD486" s="129"/>
      <c r="AE486" s="129"/>
      <c r="AF486" s="129"/>
      <c r="AG486" s="129"/>
      <c r="AH486" s="129"/>
      <c r="AI486" s="129"/>
      <c r="AJ486" s="130"/>
    </row>
    <row r="487" spans="11:36">
      <c r="K487" s="76"/>
      <c r="L487" s="48" t="e">
        <f t="shared" si="51"/>
        <v>#VALUE!</v>
      </c>
      <c r="M487" s="32" t="str">
        <f t="shared" si="54"/>
        <v/>
      </c>
      <c r="N487" s="63" t="e">
        <f t="shared" si="53"/>
        <v>#VALUE!</v>
      </c>
      <c r="O487" s="86"/>
      <c r="P487" s="223"/>
      <c r="Q487" s="224"/>
      <c r="R487" s="135"/>
      <c r="S487" s="139" cm="1">
        <f t="array" ref="S487">IF(P487="",0,IF(OR(O487=";",P487="EQU",P487="ORG"),0,HlpGetInstructionSize(P487,Q487,R487,$AC$12)))</f>
        <v>0</v>
      </c>
      <c r="V487" s="42" t="str">
        <f t="shared" si="52"/>
        <v/>
      </c>
      <c r="W487" s="16"/>
      <c r="X487" s="28"/>
      <c r="Y487" s="29"/>
      <c r="AA487" s="66"/>
      <c r="AB487" s="11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28"/>
      <c r="AD487" s="129"/>
      <c r="AE487" s="129"/>
      <c r="AF487" s="129"/>
      <c r="AG487" s="129"/>
      <c r="AH487" s="129"/>
      <c r="AI487" s="129"/>
      <c r="AJ487" s="130"/>
    </row>
    <row r="488" spans="11:36">
      <c r="K488" s="76"/>
      <c r="L488" s="48" t="e">
        <f t="shared" si="51"/>
        <v>#VALUE!</v>
      </c>
      <c r="M488" s="32" t="str">
        <f t="shared" si="54"/>
        <v/>
      </c>
      <c r="N488" s="63" t="e">
        <f t="shared" si="53"/>
        <v>#VALUE!</v>
      </c>
      <c r="O488" s="86"/>
      <c r="P488" s="223"/>
      <c r="Q488" s="224"/>
      <c r="R488" s="135"/>
      <c r="S488" s="139" cm="1">
        <f t="array" ref="S488">IF(P488="",0,IF(OR(O488=";",P488="EQU",P488="ORG"),0,HlpGetInstructionSize(P488,Q488,R488,$AC$12)))</f>
        <v>0</v>
      </c>
      <c r="V488" s="42" t="str">
        <f t="shared" si="52"/>
        <v/>
      </c>
      <c r="W488" s="16"/>
      <c r="X488" s="28"/>
      <c r="Y488" s="29"/>
      <c r="AA488" s="66"/>
      <c r="AB488" s="11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28"/>
      <c r="AD488" s="129"/>
      <c r="AE488" s="129"/>
      <c r="AF488" s="129"/>
      <c r="AG488" s="129"/>
      <c r="AH488" s="129"/>
      <c r="AI488" s="129"/>
      <c r="AJ488" s="130"/>
    </row>
    <row r="489" spans="11:36">
      <c r="K489" s="76"/>
      <c r="L489" s="48" t="e">
        <f t="shared" si="51"/>
        <v>#VALUE!</v>
      </c>
      <c r="M489" s="32" t="str">
        <f t="shared" si="54"/>
        <v/>
      </c>
      <c r="N489" s="63" t="e">
        <f t="shared" si="53"/>
        <v>#VALUE!</v>
      </c>
      <c r="O489" s="86"/>
      <c r="P489" s="223"/>
      <c r="Q489" s="224"/>
      <c r="R489" s="135"/>
      <c r="S489" s="139" cm="1">
        <f t="array" ref="S489">IF(P489="",0,IF(OR(O489=";",P489="EQU",P489="ORG"),0,HlpGetInstructionSize(P489,Q489,R489,$AC$12)))</f>
        <v>0</v>
      </c>
      <c r="V489" s="42" t="str">
        <f t="shared" si="52"/>
        <v/>
      </c>
      <c r="W489" s="16"/>
      <c r="X489" s="28"/>
      <c r="Y489" s="29"/>
      <c r="AA489" s="66"/>
      <c r="AB489" s="11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28"/>
      <c r="AD489" s="129"/>
      <c r="AE489" s="129"/>
      <c r="AF489" s="129"/>
      <c r="AG489" s="129"/>
      <c r="AH489" s="129"/>
      <c r="AI489" s="129"/>
      <c r="AJ489" s="130"/>
    </row>
    <row r="490" spans="11:36">
      <c r="K490" s="76"/>
      <c r="L490" s="48" t="e">
        <f t="shared" si="51"/>
        <v>#VALUE!</v>
      </c>
      <c r="M490" s="32" t="str">
        <f t="shared" si="54"/>
        <v/>
      </c>
      <c r="N490" s="63" t="e">
        <f t="shared" si="53"/>
        <v>#VALUE!</v>
      </c>
      <c r="O490" s="86"/>
      <c r="P490" s="223"/>
      <c r="Q490" s="224"/>
      <c r="R490" s="135"/>
      <c r="S490" s="139" cm="1">
        <f t="array" ref="S490">IF(P490="",0,IF(OR(O490=";",P490="EQU",P490="ORG"),0,HlpGetInstructionSize(P490,Q490,R490,$AC$12)))</f>
        <v>0</v>
      </c>
      <c r="V490" s="42" t="str">
        <f t="shared" si="52"/>
        <v/>
      </c>
      <c r="W490" s="16"/>
      <c r="X490" s="28"/>
      <c r="Y490" s="29"/>
      <c r="AA490" s="66"/>
      <c r="AB490" s="11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28"/>
      <c r="AD490" s="129"/>
      <c r="AE490" s="129"/>
      <c r="AF490" s="129"/>
      <c r="AG490" s="129"/>
      <c r="AH490" s="129"/>
      <c r="AI490" s="129"/>
      <c r="AJ490" s="130"/>
    </row>
    <row r="491" spans="11:36">
      <c r="K491" s="76"/>
      <c r="L491" s="48" t="e">
        <f t="shared" si="51"/>
        <v>#VALUE!</v>
      </c>
      <c r="M491" s="32" t="str">
        <f t="shared" si="54"/>
        <v/>
      </c>
      <c r="N491" s="63" t="e">
        <f t="shared" si="53"/>
        <v>#VALUE!</v>
      </c>
      <c r="O491" s="86"/>
      <c r="P491" s="223"/>
      <c r="Q491" s="224"/>
      <c r="R491" s="135"/>
      <c r="S491" s="139" cm="1">
        <f t="array" ref="S491">IF(P491="",0,IF(OR(O491=";",P491="EQU",P491="ORG"),0,HlpGetInstructionSize(P491,Q491,R491,$AC$12)))</f>
        <v>0</v>
      </c>
      <c r="V491" s="42" t="str">
        <f t="shared" si="52"/>
        <v/>
      </c>
      <c r="W491" s="16"/>
      <c r="X491" s="28"/>
      <c r="Y491" s="29"/>
      <c r="AA491" s="66"/>
      <c r="AB491" s="11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28"/>
      <c r="AD491" s="129"/>
      <c r="AE491" s="129"/>
      <c r="AF491" s="129"/>
      <c r="AG491" s="129"/>
      <c r="AH491" s="129"/>
      <c r="AI491" s="129"/>
      <c r="AJ491" s="130"/>
    </row>
    <row r="492" spans="11:36">
      <c r="K492" s="76"/>
      <c r="L492" s="48" t="e">
        <f t="shared" si="51"/>
        <v>#VALUE!</v>
      </c>
      <c r="M492" s="32" t="str">
        <f t="shared" si="54"/>
        <v/>
      </c>
      <c r="N492" s="63" t="e">
        <f t="shared" si="53"/>
        <v>#VALUE!</v>
      </c>
      <c r="O492" s="86"/>
      <c r="P492" s="223"/>
      <c r="Q492" s="224"/>
      <c r="R492" s="135"/>
      <c r="S492" s="139" cm="1">
        <f t="array" ref="S492">IF(P492="",0,IF(OR(O492=";",P492="EQU",P492="ORG"),0,HlpGetInstructionSize(P492,Q492,R492,$AC$12)))</f>
        <v>0</v>
      </c>
      <c r="V492" s="42" t="str">
        <f t="shared" si="52"/>
        <v/>
      </c>
      <c r="W492" s="16"/>
      <c r="X492" s="28"/>
      <c r="Y492" s="29"/>
      <c r="AA492" s="66"/>
      <c r="AB492" s="11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28"/>
      <c r="AD492" s="129"/>
      <c r="AE492" s="129"/>
      <c r="AF492" s="129"/>
      <c r="AG492" s="129"/>
      <c r="AH492" s="129"/>
      <c r="AI492" s="129"/>
      <c r="AJ492" s="130"/>
    </row>
    <row r="493" spans="11:36">
      <c r="K493" s="76"/>
      <c r="L493" s="48" t="e">
        <f t="shared" si="51"/>
        <v>#VALUE!</v>
      </c>
      <c r="M493" s="32" t="str">
        <f t="shared" si="54"/>
        <v/>
      </c>
      <c r="N493" s="63" t="e">
        <f t="shared" si="53"/>
        <v>#VALUE!</v>
      </c>
      <c r="O493" s="86"/>
      <c r="P493" s="223"/>
      <c r="Q493" s="224"/>
      <c r="R493" s="135"/>
      <c r="S493" s="139" cm="1">
        <f t="array" ref="S493">IF(P493="",0,IF(OR(O493=";",P493="EQU",P493="ORG"),0,HlpGetInstructionSize(P493,Q493,R493,$AC$12)))</f>
        <v>0</v>
      </c>
      <c r="V493" s="42" t="str">
        <f t="shared" si="52"/>
        <v/>
      </c>
      <c r="W493" s="16"/>
      <c r="X493" s="28"/>
      <c r="Y493" s="29"/>
      <c r="AA493" s="66"/>
      <c r="AB493" s="11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28"/>
      <c r="AD493" s="129"/>
      <c r="AE493" s="129"/>
      <c r="AF493" s="129"/>
      <c r="AG493" s="129"/>
      <c r="AH493" s="129"/>
      <c r="AI493" s="129"/>
      <c r="AJ493" s="130"/>
    </row>
    <row r="494" spans="11:36">
      <c r="K494" s="76"/>
      <c r="L494" s="48" t="e">
        <f t="shared" si="51"/>
        <v>#VALUE!</v>
      </c>
      <c r="M494" s="32" t="str">
        <f t="shared" si="54"/>
        <v/>
      </c>
      <c r="N494" s="63" t="e">
        <f t="shared" si="53"/>
        <v>#VALUE!</v>
      </c>
      <c r="O494" s="86"/>
      <c r="P494" s="223"/>
      <c r="Q494" s="224"/>
      <c r="R494" s="135"/>
      <c r="S494" s="139" cm="1">
        <f t="array" ref="S494">IF(P494="",0,IF(OR(O494=";",P494="EQU",P494="ORG"),0,HlpGetInstructionSize(P494,Q494,R494,$AC$12)))</f>
        <v>0</v>
      </c>
      <c r="V494" s="42" t="str">
        <f t="shared" si="52"/>
        <v/>
      </c>
      <c r="W494" s="16"/>
      <c r="X494" s="28"/>
      <c r="Y494" s="29"/>
      <c r="AA494" s="66"/>
      <c r="AB494" s="11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28"/>
      <c r="AD494" s="129"/>
      <c r="AE494" s="129"/>
      <c r="AF494" s="129"/>
      <c r="AG494" s="129"/>
      <c r="AH494" s="129"/>
      <c r="AI494" s="129"/>
      <c r="AJ494" s="130"/>
    </row>
    <row r="495" spans="11:36">
      <c r="K495" s="76"/>
      <c r="L495" s="48" t="e">
        <f t="shared" si="51"/>
        <v>#VALUE!</v>
      </c>
      <c r="M495" s="32" t="str">
        <f t="shared" si="54"/>
        <v/>
      </c>
      <c r="N495" s="63" t="e">
        <f t="shared" si="53"/>
        <v>#VALUE!</v>
      </c>
      <c r="O495" s="86"/>
      <c r="P495" s="223"/>
      <c r="Q495" s="224"/>
      <c r="R495" s="135"/>
      <c r="S495" s="139" cm="1">
        <f t="array" ref="S495">IF(P495="",0,IF(OR(O495=";",P495="EQU",P495="ORG"),0,HlpGetInstructionSize(P495,Q495,R495,$AC$12)))</f>
        <v>0</v>
      </c>
      <c r="V495" s="42" t="str">
        <f t="shared" si="52"/>
        <v/>
      </c>
      <c r="W495" s="16"/>
      <c r="X495" s="28"/>
      <c r="Y495" s="29"/>
      <c r="AA495" s="66"/>
      <c r="AB495" s="11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28"/>
      <c r="AD495" s="129"/>
      <c r="AE495" s="129"/>
      <c r="AF495" s="129"/>
      <c r="AG495" s="129"/>
      <c r="AH495" s="129"/>
      <c r="AI495" s="129"/>
      <c r="AJ495" s="130"/>
    </row>
    <row r="496" spans="11:36">
      <c r="K496" s="76"/>
      <c r="L496" s="48" t="e">
        <f t="shared" si="51"/>
        <v>#VALUE!</v>
      </c>
      <c r="M496" s="32" t="str">
        <f t="shared" si="54"/>
        <v/>
      </c>
      <c r="N496" s="63" t="e">
        <f t="shared" si="53"/>
        <v>#VALUE!</v>
      </c>
      <c r="O496" s="86"/>
      <c r="P496" s="223"/>
      <c r="Q496" s="224"/>
      <c r="R496" s="135"/>
      <c r="S496" s="139" cm="1">
        <f t="array" ref="S496">IF(P496="",0,IF(OR(O496=";",P496="EQU",P496="ORG"),0,HlpGetInstructionSize(P496,Q496,R496,$AC$12)))</f>
        <v>0</v>
      </c>
      <c r="V496" s="42" t="str">
        <f t="shared" si="52"/>
        <v/>
      </c>
      <c r="W496" s="16"/>
      <c r="X496" s="28"/>
      <c r="Y496" s="29"/>
      <c r="AA496" s="66"/>
      <c r="AB496" s="11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28"/>
      <c r="AD496" s="129"/>
      <c r="AE496" s="129"/>
      <c r="AF496" s="129"/>
      <c r="AG496" s="129"/>
      <c r="AH496" s="129"/>
      <c r="AI496" s="129"/>
      <c r="AJ496" s="130"/>
    </row>
    <row r="497" spans="11:36">
      <c r="K497" s="76"/>
      <c r="L497" s="48" t="e">
        <f t="shared" si="51"/>
        <v>#VALUE!</v>
      </c>
      <c r="M497" s="32" t="str">
        <f t="shared" si="54"/>
        <v/>
      </c>
      <c r="N497" s="63" t="e">
        <f t="shared" si="53"/>
        <v>#VALUE!</v>
      </c>
      <c r="O497" s="86"/>
      <c r="P497" s="223"/>
      <c r="Q497" s="224"/>
      <c r="R497" s="135"/>
      <c r="S497" s="139" cm="1">
        <f t="array" ref="S497">IF(P497="",0,IF(OR(O497=";",P497="EQU",P497="ORG"),0,HlpGetInstructionSize(P497,Q497,R497,$AC$12)))</f>
        <v>0</v>
      </c>
      <c r="V497" s="42" t="str">
        <f t="shared" si="52"/>
        <v/>
      </c>
      <c r="W497" s="16"/>
      <c r="X497" s="28"/>
      <c r="Y497" s="29"/>
      <c r="AA497" s="66"/>
      <c r="AB497" s="11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28"/>
      <c r="AD497" s="129"/>
      <c r="AE497" s="129"/>
      <c r="AF497" s="129"/>
      <c r="AG497" s="129"/>
      <c r="AH497" s="129"/>
      <c r="AI497" s="129"/>
      <c r="AJ497" s="130"/>
    </row>
    <row r="498" spans="11:36">
      <c r="K498" s="76"/>
      <c r="L498" s="48" t="e">
        <f t="shared" si="51"/>
        <v>#VALUE!</v>
      </c>
      <c r="M498" s="32" t="str">
        <f t="shared" si="54"/>
        <v/>
      </c>
      <c r="N498" s="63" t="e">
        <f t="shared" si="53"/>
        <v>#VALUE!</v>
      </c>
      <c r="O498" s="86"/>
      <c r="P498" s="223"/>
      <c r="Q498" s="224"/>
      <c r="R498" s="135"/>
      <c r="S498" s="139" cm="1">
        <f t="array" ref="S498">IF(P498="",0,IF(OR(O498=";",P498="EQU",P498="ORG"),0,HlpGetInstructionSize(P498,Q498,R498,$AC$12)))</f>
        <v>0</v>
      </c>
      <c r="V498" s="42" t="str">
        <f t="shared" si="52"/>
        <v/>
      </c>
      <c r="W498" s="16"/>
      <c r="X498" s="28"/>
      <c r="Y498" s="29"/>
      <c r="AA498" s="66"/>
      <c r="AB498" s="11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28"/>
      <c r="AD498" s="129"/>
      <c r="AE498" s="129"/>
      <c r="AF498" s="129"/>
      <c r="AG498" s="129"/>
      <c r="AH498" s="129"/>
      <c r="AI498" s="129"/>
      <c r="AJ498" s="130"/>
    </row>
    <row r="499" spans="11:36">
      <c r="K499" s="76"/>
      <c r="L499" s="48" t="e">
        <f t="shared" si="51"/>
        <v>#VALUE!</v>
      </c>
      <c r="M499" s="32" t="str">
        <f t="shared" si="54"/>
        <v/>
      </c>
      <c r="N499" s="63" t="e">
        <f t="shared" si="53"/>
        <v>#VALUE!</v>
      </c>
      <c r="O499" s="86"/>
      <c r="P499" s="223"/>
      <c r="Q499" s="224"/>
      <c r="R499" s="135"/>
      <c r="S499" s="139" cm="1">
        <f t="array" ref="S499">IF(P499="",0,IF(OR(O499=";",P499="EQU",P499="ORG"),0,HlpGetInstructionSize(P499,Q499,R499,$AC$12)))</f>
        <v>0</v>
      </c>
      <c r="V499" s="42" t="str">
        <f t="shared" si="52"/>
        <v/>
      </c>
      <c r="W499" s="16"/>
      <c r="X499" s="28"/>
      <c r="Y499" s="29"/>
      <c r="AA499" s="66"/>
      <c r="AB499" s="11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28"/>
      <c r="AD499" s="129"/>
      <c r="AE499" s="129"/>
      <c r="AF499" s="129"/>
      <c r="AG499" s="129"/>
      <c r="AH499" s="129"/>
      <c r="AI499" s="129"/>
      <c r="AJ499" s="130"/>
    </row>
    <row r="500" spans="11:36">
      <c r="K500" s="76"/>
      <c r="L500" s="48" t="e">
        <f t="shared" si="51"/>
        <v>#VALUE!</v>
      </c>
      <c r="M500" s="32" t="str">
        <f t="shared" si="54"/>
        <v/>
      </c>
      <c r="N500" s="63" t="e">
        <f t="shared" si="53"/>
        <v>#VALUE!</v>
      </c>
      <c r="O500" s="86"/>
      <c r="P500" s="223"/>
      <c r="Q500" s="224"/>
      <c r="R500" s="135"/>
      <c r="S500" s="139" cm="1">
        <f t="array" ref="S500">IF(P500="",0,IF(OR(O500=";",P500="EQU",P500="ORG"),0,HlpGetInstructionSize(P500,Q500,R500,$AC$12)))</f>
        <v>0</v>
      </c>
      <c r="V500" s="42" t="str">
        <f t="shared" si="52"/>
        <v/>
      </c>
      <c r="W500" s="16"/>
      <c r="X500" s="28"/>
      <c r="Y500" s="29"/>
      <c r="AA500" s="66"/>
      <c r="AB500" s="11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28"/>
      <c r="AD500" s="129"/>
      <c r="AE500" s="129"/>
      <c r="AF500" s="129"/>
      <c r="AG500" s="129"/>
      <c r="AH500" s="129"/>
      <c r="AI500" s="129"/>
      <c r="AJ500" s="130"/>
    </row>
    <row r="501" spans="11:36">
      <c r="K501" s="76"/>
      <c r="L501" s="48" t="e">
        <f t="shared" si="51"/>
        <v>#VALUE!</v>
      </c>
      <c r="M501" s="32" t="str">
        <f t="shared" si="54"/>
        <v/>
      </c>
      <c r="N501" s="63" t="e">
        <f t="shared" si="53"/>
        <v>#VALUE!</v>
      </c>
      <c r="O501" s="86"/>
      <c r="P501" s="223"/>
      <c r="Q501" s="224"/>
      <c r="R501" s="135"/>
      <c r="S501" s="139" cm="1">
        <f t="array" ref="S501">IF(P501="",0,IF(OR(O501=";",P501="EQU",P501="ORG"),0,HlpGetInstructionSize(P501,Q501,R501,$AC$12)))</f>
        <v>0</v>
      </c>
      <c r="V501" s="42" t="str">
        <f t="shared" si="52"/>
        <v/>
      </c>
      <c r="W501" s="16"/>
      <c r="X501" s="28"/>
      <c r="Y501" s="29"/>
      <c r="AA501" s="66"/>
      <c r="AB501" s="11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28"/>
      <c r="AD501" s="129"/>
      <c r="AE501" s="129"/>
      <c r="AF501" s="129"/>
      <c r="AG501" s="129"/>
      <c r="AH501" s="129"/>
      <c r="AI501" s="129"/>
      <c r="AJ501" s="130"/>
    </row>
    <row r="502" spans="11:36">
      <c r="K502" s="76"/>
      <c r="L502" s="48" t="e">
        <f t="shared" si="51"/>
        <v>#VALUE!</v>
      </c>
      <c r="M502" s="32" t="str">
        <f t="shared" si="54"/>
        <v/>
      </c>
      <c r="N502" s="63" t="e">
        <f t="shared" si="53"/>
        <v>#VALUE!</v>
      </c>
      <c r="O502" s="86"/>
      <c r="P502" s="223"/>
      <c r="Q502" s="224"/>
      <c r="R502" s="135"/>
      <c r="S502" s="139" cm="1">
        <f t="array" ref="S502">IF(P502="",0,IF(OR(O502=";",P502="EQU",P502="ORG"),0,HlpGetInstructionSize(P502,Q502,R502,$AC$12)))</f>
        <v>0</v>
      </c>
      <c r="V502" s="42" t="str">
        <f t="shared" si="52"/>
        <v/>
      </c>
      <c r="W502" s="16"/>
      <c r="X502" s="28"/>
      <c r="Y502" s="29"/>
      <c r="AA502" s="66"/>
      <c r="AB502" s="11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28"/>
      <c r="AD502" s="129"/>
      <c r="AE502" s="129"/>
      <c r="AF502" s="129"/>
      <c r="AG502" s="129"/>
      <c r="AH502" s="129"/>
      <c r="AI502" s="129"/>
      <c r="AJ502" s="130"/>
    </row>
    <row r="503" spans="11:36">
      <c r="K503" s="76"/>
      <c r="L503" s="48" t="e">
        <f t="shared" si="51"/>
        <v>#VALUE!</v>
      </c>
      <c r="M503" s="32" t="str">
        <f t="shared" si="54"/>
        <v/>
      </c>
      <c r="N503" s="63" t="e">
        <f t="shared" si="53"/>
        <v>#VALUE!</v>
      </c>
      <c r="O503" s="86"/>
      <c r="P503" s="223"/>
      <c r="Q503" s="224"/>
      <c r="R503" s="135"/>
      <c r="S503" s="139" cm="1">
        <f t="array" ref="S503">IF(P503="",0,IF(OR(O503=";",P503="EQU",P503="ORG"),0,HlpGetInstructionSize(P503,Q503,R503,$AC$12)))</f>
        <v>0</v>
      </c>
      <c r="V503" s="42" t="str">
        <f t="shared" si="52"/>
        <v/>
      </c>
      <c r="W503" s="16"/>
      <c r="X503" s="28"/>
      <c r="Y503" s="29"/>
      <c r="AA503" s="66"/>
      <c r="AB503" s="11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28"/>
      <c r="AD503" s="129"/>
      <c r="AE503" s="129"/>
      <c r="AF503" s="129"/>
      <c r="AG503" s="129"/>
      <c r="AH503" s="129"/>
      <c r="AI503" s="129"/>
      <c r="AJ503" s="130"/>
    </row>
    <row r="504" spans="11:36">
      <c r="K504" s="76"/>
      <c r="L504" s="48" t="e">
        <f t="shared" si="51"/>
        <v>#VALUE!</v>
      </c>
      <c r="M504" s="32" t="str">
        <f t="shared" si="54"/>
        <v/>
      </c>
      <c r="N504" s="63" t="e">
        <f t="shared" si="53"/>
        <v>#VALUE!</v>
      </c>
      <c r="O504" s="86"/>
      <c r="P504" s="223"/>
      <c r="Q504" s="224"/>
      <c r="R504" s="135"/>
      <c r="S504" s="139" cm="1">
        <f t="array" ref="S504">IF(P504="",0,IF(OR(O504=";",P504="EQU",P504="ORG"),0,HlpGetInstructionSize(P504,Q504,R504,$AC$12)))</f>
        <v>0</v>
      </c>
      <c r="V504" s="42" t="str">
        <f t="shared" si="52"/>
        <v/>
      </c>
      <c r="W504" s="16"/>
      <c r="X504" s="28"/>
      <c r="Y504" s="29"/>
      <c r="AA504" s="66"/>
      <c r="AB504" s="11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28"/>
      <c r="AD504" s="129"/>
      <c r="AE504" s="129"/>
      <c r="AF504" s="129"/>
      <c r="AG504" s="129"/>
      <c r="AH504" s="129"/>
      <c r="AI504" s="129"/>
      <c r="AJ504" s="130"/>
    </row>
    <row r="505" spans="11:36">
      <c r="K505" s="76"/>
      <c r="L505" s="48" t="e">
        <f t="shared" si="51"/>
        <v>#VALUE!</v>
      </c>
      <c r="M505" s="32" t="str">
        <f t="shared" si="54"/>
        <v/>
      </c>
      <c r="N505" s="63" t="e">
        <f t="shared" si="53"/>
        <v>#VALUE!</v>
      </c>
      <c r="O505" s="86"/>
      <c r="P505" s="223"/>
      <c r="Q505" s="224"/>
      <c r="R505" s="135"/>
      <c r="S505" s="139" cm="1">
        <f t="array" ref="S505">IF(P505="",0,IF(OR(O505=";",P505="EQU",P505="ORG"),0,HlpGetInstructionSize(P505,Q505,R505,$AC$12)))</f>
        <v>0</v>
      </c>
      <c r="V505" s="42" t="str">
        <f t="shared" si="52"/>
        <v/>
      </c>
      <c r="W505" s="16"/>
      <c r="X505" s="28"/>
      <c r="Y505" s="29"/>
      <c r="AA505" s="66"/>
      <c r="AB505" s="11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28"/>
      <c r="AD505" s="129"/>
      <c r="AE505" s="129"/>
      <c r="AF505" s="129"/>
      <c r="AG505" s="129"/>
      <c r="AH505" s="129"/>
      <c r="AI505" s="129"/>
      <c r="AJ505" s="130"/>
    </row>
    <row r="506" spans="11:36">
      <c r="K506" s="76"/>
      <c r="L506" s="48" t="e">
        <f t="shared" si="51"/>
        <v>#VALUE!</v>
      </c>
      <c r="M506" s="32" t="str">
        <f t="shared" si="54"/>
        <v/>
      </c>
      <c r="N506" s="63" t="e">
        <f t="shared" si="53"/>
        <v>#VALUE!</v>
      </c>
      <c r="O506" s="86"/>
      <c r="P506" s="223"/>
      <c r="Q506" s="224"/>
      <c r="R506" s="135"/>
      <c r="S506" s="139" cm="1">
        <f t="array" ref="S506">IF(P506="",0,IF(OR(O506=";",P506="EQU",P506="ORG"),0,HlpGetInstructionSize(P506,Q506,R506,$AC$12)))</f>
        <v>0</v>
      </c>
      <c r="V506" s="42" t="str">
        <f t="shared" si="52"/>
        <v/>
      </c>
      <c r="W506" s="16"/>
      <c r="X506" s="28"/>
      <c r="Y506" s="29"/>
      <c r="AA506" s="66"/>
      <c r="AB506" s="11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28"/>
      <c r="AD506" s="129"/>
      <c r="AE506" s="129"/>
      <c r="AF506" s="129"/>
      <c r="AG506" s="129"/>
      <c r="AH506" s="129"/>
      <c r="AI506" s="129"/>
      <c r="AJ506" s="130"/>
    </row>
    <row r="507" spans="11:36">
      <c r="K507" s="76"/>
      <c r="L507" s="48" t="e">
        <f t="shared" si="51"/>
        <v>#VALUE!</v>
      </c>
      <c r="M507" s="32" t="str">
        <f t="shared" si="54"/>
        <v/>
      </c>
      <c r="N507" s="63" t="e">
        <f t="shared" si="53"/>
        <v>#VALUE!</v>
      </c>
      <c r="O507" s="86"/>
      <c r="P507" s="223"/>
      <c r="Q507" s="224"/>
      <c r="R507" s="135"/>
      <c r="S507" s="139" cm="1">
        <f t="array" ref="S507">IF(P507="",0,IF(OR(O507=";",P507="EQU",P507="ORG"),0,HlpGetInstructionSize(P507,Q507,R507,$AC$12)))</f>
        <v>0</v>
      </c>
      <c r="V507" s="42" t="str">
        <f t="shared" si="52"/>
        <v/>
      </c>
      <c r="W507" s="16"/>
      <c r="X507" s="28"/>
      <c r="Y507" s="29"/>
      <c r="AA507" s="66"/>
      <c r="AB507" s="11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28"/>
      <c r="AD507" s="129"/>
      <c r="AE507" s="129"/>
      <c r="AF507" s="129"/>
      <c r="AG507" s="129"/>
      <c r="AH507" s="129"/>
      <c r="AI507" s="129"/>
      <c r="AJ507" s="130"/>
    </row>
    <row r="508" spans="11:36">
      <c r="K508" s="76"/>
      <c r="L508" s="48" t="e">
        <f t="shared" si="51"/>
        <v>#VALUE!</v>
      </c>
      <c r="M508" s="32" t="str">
        <f t="shared" si="54"/>
        <v/>
      </c>
      <c r="N508" s="63" t="e">
        <f t="shared" si="53"/>
        <v>#VALUE!</v>
      </c>
      <c r="O508" s="86"/>
      <c r="P508" s="223"/>
      <c r="Q508" s="224"/>
      <c r="R508" s="135"/>
      <c r="S508" s="139" cm="1">
        <f t="array" ref="S508">IF(P508="",0,IF(OR(O508=";",P508="EQU",P508="ORG"),0,HlpGetInstructionSize(P508,Q508,R508,$AC$12)))</f>
        <v>0</v>
      </c>
      <c r="V508" s="42" t="str">
        <f t="shared" si="52"/>
        <v/>
      </c>
      <c r="W508" s="16"/>
      <c r="X508" s="28"/>
      <c r="Y508" s="29"/>
      <c r="AA508" s="66"/>
      <c r="AB508" s="11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28"/>
      <c r="AD508" s="129"/>
      <c r="AE508" s="129"/>
      <c r="AF508" s="129"/>
      <c r="AG508" s="129"/>
      <c r="AH508" s="129"/>
      <c r="AI508" s="129"/>
      <c r="AJ508" s="130"/>
    </row>
    <row r="509" spans="11:36">
      <c r="K509" s="76"/>
      <c r="L509" s="48" t="e">
        <f t="shared" si="51"/>
        <v>#VALUE!</v>
      </c>
      <c r="M509" s="32" t="str">
        <f t="shared" si="54"/>
        <v/>
      </c>
      <c r="N509" s="63" t="e">
        <f t="shared" si="53"/>
        <v>#VALUE!</v>
      </c>
      <c r="O509" s="86"/>
      <c r="P509" s="223"/>
      <c r="Q509" s="224"/>
      <c r="R509" s="135"/>
      <c r="S509" s="139" cm="1">
        <f t="array" ref="S509">IF(P509="",0,IF(OR(O509=";",P509="EQU",P509="ORG"),0,HlpGetInstructionSize(P509,Q509,R509,$AC$12)))</f>
        <v>0</v>
      </c>
      <c r="V509" s="42" t="str">
        <f t="shared" si="52"/>
        <v/>
      </c>
      <c r="W509" s="16"/>
      <c r="X509" s="28"/>
      <c r="Y509" s="29"/>
      <c r="AA509" s="66"/>
      <c r="AB509" s="11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28"/>
      <c r="AD509" s="129"/>
      <c r="AE509" s="129"/>
      <c r="AF509" s="129"/>
      <c r="AG509" s="129"/>
      <c r="AH509" s="129"/>
      <c r="AI509" s="129"/>
      <c r="AJ509" s="130"/>
    </row>
    <row r="510" spans="11:36">
      <c r="K510" s="76"/>
      <c r="L510" s="48" t="e">
        <f t="shared" si="51"/>
        <v>#VALUE!</v>
      </c>
      <c r="M510" s="32" t="str">
        <f t="shared" si="54"/>
        <v/>
      </c>
      <c r="N510" s="63" t="e">
        <f t="shared" si="53"/>
        <v>#VALUE!</v>
      </c>
      <c r="O510" s="86"/>
      <c r="P510" s="223"/>
      <c r="Q510" s="224"/>
      <c r="R510" s="135"/>
      <c r="S510" s="139" cm="1">
        <f t="array" ref="S510">IF(P510="",0,IF(OR(O510=";",P510="EQU",P510="ORG"),0,HlpGetInstructionSize(P510,Q510,R510,$AC$12)))</f>
        <v>0</v>
      </c>
      <c r="V510" s="42" t="str">
        <f t="shared" si="52"/>
        <v/>
      </c>
      <c r="W510" s="16"/>
      <c r="X510" s="28"/>
      <c r="Y510" s="29"/>
      <c r="AA510" s="66"/>
      <c r="AB510" s="11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28"/>
      <c r="AD510" s="129"/>
      <c r="AE510" s="129"/>
      <c r="AF510" s="129"/>
      <c r="AG510" s="129"/>
      <c r="AH510" s="129"/>
      <c r="AI510" s="129"/>
      <c r="AJ510" s="130"/>
    </row>
    <row r="511" spans="11:36">
      <c r="K511" s="76"/>
      <c r="L511" s="48" t="e">
        <f t="shared" si="51"/>
        <v>#VALUE!</v>
      </c>
      <c r="M511" s="32" t="str">
        <f t="shared" si="54"/>
        <v/>
      </c>
      <c r="N511" s="63" t="e">
        <f t="shared" si="53"/>
        <v>#VALUE!</v>
      </c>
      <c r="O511" s="86"/>
      <c r="P511" s="223"/>
      <c r="Q511" s="224"/>
      <c r="R511" s="135"/>
      <c r="S511" s="139" cm="1">
        <f t="array" ref="S511">IF(P511="",0,IF(OR(O511=";",P511="EQU",P511="ORG"),0,HlpGetInstructionSize(P511,Q511,R511,$AC$12)))</f>
        <v>0</v>
      </c>
      <c r="V511" s="42" t="str">
        <f t="shared" si="52"/>
        <v/>
      </c>
      <c r="W511" s="16"/>
      <c r="X511" s="28"/>
      <c r="Y511" s="29"/>
      <c r="AA511" s="66"/>
      <c r="AB511" s="11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28"/>
      <c r="AD511" s="129"/>
      <c r="AE511" s="129"/>
      <c r="AF511" s="129"/>
      <c r="AG511" s="129"/>
      <c r="AH511" s="129"/>
      <c r="AI511" s="129"/>
      <c r="AJ511" s="130"/>
    </row>
    <row r="512" spans="11:36">
      <c r="K512" s="76"/>
      <c r="L512" s="48" t="e">
        <f t="shared" si="51"/>
        <v>#VALUE!</v>
      </c>
      <c r="M512" s="32" t="str">
        <f t="shared" si="54"/>
        <v/>
      </c>
      <c r="N512" s="63" t="e">
        <f t="shared" si="53"/>
        <v>#VALUE!</v>
      </c>
      <c r="O512" s="86"/>
      <c r="P512" s="223"/>
      <c r="Q512" s="224"/>
      <c r="R512" s="135"/>
      <c r="S512" s="139" cm="1">
        <f t="array" ref="S512">IF(P512="",0,IF(OR(O512=";",P512="EQU",P512="ORG"),0,HlpGetInstructionSize(P512,Q512,R512,$AC$12)))</f>
        <v>0</v>
      </c>
      <c r="V512" s="42" t="str">
        <f t="shared" si="52"/>
        <v/>
      </c>
      <c r="W512" s="16"/>
      <c r="X512" s="28"/>
      <c r="Y512" s="29"/>
      <c r="AA512" s="66"/>
      <c r="AB512" s="11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28"/>
      <c r="AD512" s="129"/>
      <c r="AE512" s="129"/>
      <c r="AF512" s="129"/>
      <c r="AG512" s="129"/>
      <c r="AH512" s="129"/>
      <c r="AI512" s="129"/>
      <c r="AJ512" s="130"/>
    </row>
    <row r="513" spans="11:36">
      <c r="K513" s="76"/>
      <c r="L513" s="48" t="e">
        <f t="shared" si="51"/>
        <v>#VALUE!</v>
      </c>
      <c r="M513" s="32" t="str">
        <f t="shared" si="54"/>
        <v/>
      </c>
      <c r="N513" s="63" t="e">
        <f t="shared" si="53"/>
        <v>#VALUE!</v>
      </c>
      <c r="O513" s="86"/>
      <c r="P513" s="223"/>
      <c r="Q513" s="224"/>
      <c r="R513" s="135"/>
      <c r="S513" s="139" cm="1">
        <f t="array" ref="S513">IF(P513="",0,IF(OR(O513=";",P513="EQU",P513="ORG"),0,HlpGetInstructionSize(P513,Q513,R513,$AC$12)))</f>
        <v>0</v>
      </c>
      <c r="V513" s="42" t="str">
        <f t="shared" si="52"/>
        <v/>
      </c>
      <c r="W513" s="16"/>
      <c r="X513" s="28"/>
      <c r="Y513" s="29"/>
      <c r="AA513" s="66"/>
      <c r="AB513" s="11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28"/>
      <c r="AD513" s="129"/>
      <c r="AE513" s="129"/>
      <c r="AF513" s="129"/>
      <c r="AG513" s="129"/>
      <c r="AH513" s="129"/>
      <c r="AI513" s="129"/>
      <c r="AJ513" s="130"/>
    </row>
    <row r="514" spans="11:36">
      <c r="K514" s="76"/>
      <c r="L514" s="48" t="e">
        <f t="shared" si="51"/>
        <v>#VALUE!</v>
      </c>
      <c r="M514" s="32" t="str">
        <f t="shared" si="54"/>
        <v/>
      </c>
      <c r="N514" s="63" t="e">
        <f t="shared" si="53"/>
        <v>#VALUE!</v>
      </c>
      <c r="O514" s="86"/>
      <c r="P514" s="223"/>
      <c r="Q514" s="224"/>
      <c r="R514" s="135"/>
      <c r="S514" s="139" cm="1">
        <f t="array" ref="S514">IF(P514="",0,IF(OR(O514=";",P514="EQU",P514="ORG"),0,HlpGetInstructionSize(P514,Q514,R514,$AC$12)))</f>
        <v>0</v>
      </c>
      <c r="V514" s="42" t="str">
        <f t="shared" si="52"/>
        <v/>
      </c>
      <c r="W514" s="16"/>
      <c r="X514" s="28"/>
      <c r="Y514" s="29"/>
      <c r="AA514" s="66"/>
      <c r="AB514" s="11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28"/>
      <c r="AD514" s="129"/>
      <c r="AE514" s="129"/>
      <c r="AF514" s="129"/>
      <c r="AG514" s="129"/>
      <c r="AH514" s="129"/>
      <c r="AI514" s="129"/>
      <c r="AJ514" s="130"/>
    </row>
    <row r="515" spans="11:36">
      <c r="K515" s="76"/>
      <c r="L515" s="48" t="e">
        <f t="shared" si="51"/>
        <v>#VALUE!</v>
      </c>
      <c r="M515" s="32" t="str">
        <f t="shared" si="54"/>
        <v/>
      </c>
      <c r="N515" s="63" t="e">
        <f t="shared" si="53"/>
        <v>#VALUE!</v>
      </c>
      <c r="O515" s="86"/>
      <c r="P515" s="223"/>
      <c r="Q515" s="224"/>
      <c r="R515" s="135"/>
      <c r="S515" s="139" cm="1">
        <f t="array" ref="S515">IF(P515="",0,IF(OR(O515=";",P515="EQU",P515="ORG"),0,HlpGetInstructionSize(P515,Q515,R515,$AC$12)))</f>
        <v>0</v>
      </c>
      <c r="V515" s="42" t="str">
        <f t="shared" si="52"/>
        <v/>
      </c>
      <c r="W515" s="16"/>
      <c r="X515" s="28"/>
      <c r="Y515" s="29"/>
      <c r="AA515" s="66"/>
      <c r="AB515" s="11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28"/>
      <c r="AD515" s="129"/>
      <c r="AE515" s="129"/>
      <c r="AF515" s="129"/>
      <c r="AG515" s="129"/>
      <c r="AH515" s="129"/>
      <c r="AI515" s="129"/>
      <c r="AJ515" s="130"/>
    </row>
    <row r="516" spans="11:36">
      <c r="K516" s="76"/>
      <c r="L516" s="48" t="e">
        <f t="shared" si="51"/>
        <v>#VALUE!</v>
      </c>
      <c r="M516" s="32" t="str">
        <f t="shared" si="54"/>
        <v/>
      </c>
      <c r="N516" s="63" t="e">
        <f t="shared" si="53"/>
        <v>#VALUE!</v>
      </c>
      <c r="O516" s="86"/>
      <c r="P516" s="223"/>
      <c r="Q516" s="224"/>
      <c r="R516" s="135"/>
      <c r="S516" s="139" cm="1">
        <f t="array" ref="S516">IF(P516="",0,IF(OR(O516=";",P516="EQU",P516="ORG"),0,HlpGetInstructionSize(P516,Q516,R516,$AC$12)))</f>
        <v>0</v>
      </c>
      <c r="V516" s="42" t="str">
        <f t="shared" si="52"/>
        <v/>
      </c>
      <c r="W516" s="16"/>
      <c r="X516" s="28"/>
      <c r="Y516" s="29"/>
      <c r="AA516" s="66"/>
      <c r="AB516" s="11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28"/>
      <c r="AD516" s="129"/>
      <c r="AE516" s="129"/>
      <c r="AF516" s="129"/>
      <c r="AG516" s="129"/>
      <c r="AH516" s="129"/>
      <c r="AI516" s="129"/>
      <c r="AJ516" s="130"/>
    </row>
    <row r="517" spans="11:36">
      <c r="K517" s="76"/>
      <c r="L517" s="48" t="e">
        <f t="shared" si="51"/>
        <v>#VALUE!</v>
      </c>
      <c r="M517" s="32" t="str">
        <f t="shared" si="54"/>
        <v/>
      </c>
      <c r="N517" s="63" t="e">
        <f t="shared" si="53"/>
        <v>#VALUE!</v>
      </c>
      <c r="O517" s="86"/>
      <c r="P517" s="223"/>
      <c r="Q517" s="224"/>
      <c r="R517" s="135"/>
      <c r="S517" s="139" cm="1">
        <f t="array" ref="S517">IF(P517="",0,IF(OR(O517=";",P517="EQU",P517="ORG"),0,HlpGetInstructionSize(P517,Q517,R517,$AC$12)))</f>
        <v>0</v>
      </c>
      <c r="V517" s="42" t="str">
        <f t="shared" si="52"/>
        <v/>
      </c>
      <c r="W517" s="16"/>
      <c r="X517" s="28"/>
      <c r="Y517" s="29"/>
      <c r="AA517" s="66"/>
      <c r="AB517" s="11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28"/>
      <c r="AD517" s="129"/>
      <c r="AE517" s="129"/>
      <c r="AF517" s="129"/>
      <c r="AG517" s="129"/>
      <c r="AH517" s="129"/>
      <c r="AI517" s="129"/>
      <c r="AJ517" s="130"/>
    </row>
    <row r="518" spans="11:36">
      <c r="K518" s="76"/>
      <c r="L518" s="48" t="e">
        <f t="shared" si="51"/>
        <v>#VALUE!</v>
      </c>
      <c r="M518" s="32" t="str">
        <f t="shared" si="54"/>
        <v/>
      </c>
      <c r="N518" s="63" t="e">
        <f t="shared" si="53"/>
        <v>#VALUE!</v>
      </c>
      <c r="O518" s="86"/>
      <c r="P518" s="223"/>
      <c r="Q518" s="224"/>
      <c r="R518" s="135"/>
      <c r="S518" s="139" cm="1">
        <f t="array" ref="S518">IF(P518="",0,IF(OR(O518=";",P518="EQU",P518="ORG"),0,HlpGetInstructionSize(P518,Q518,R518,$AC$12)))</f>
        <v>0</v>
      </c>
      <c r="V518" s="42" t="str">
        <f t="shared" si="52"/>
        <v/>
      </c>
      <c r="W518" s="16"/>
      <c r="X518" s="28"/>
      <c r="Y518" s="29"/>
      <c r="AA518" s="66"/>
      <c r="AB518" s="11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28"/>
      <c r="AD518" s="129"/>
      <c r="AE518" s="129"/>
      <c r="AF518" s="129"/>
      <c r="AG518" s="129"/>
      <c r="AH518" s="129"/>
      <c r="AI518" s="129"/>
      <c r="AJ518" s="130"/>
    </row>
    <row r="519" spans="11:36">
      <c r="K519" s="76"/>
      <c r="L519" s="48" t="e">
        <f t="shared" si="51"/>
        <v>#VALUE!</v>
      </c>
      <c r="M519" s="32" t="str">
        <f t="shared" si="54"/>
        <v/>
      </c>
      <c r="N519" s="63" t="e">
        <f t="shared" si="53"/>
        <v>#VALUE!</v>
      </c>
      <c r="O519" s="86"/>
      <c r="P519" s="223"/>
      <c r="Q519" s="224"/>
      <c r="R519" s="135"/>
      <c r="S519" s="139" cm="1">
        <f t="array" ref="S519">IF(P519="",0,IF(OR(O519=";",P519="EQU",P519="ORG"),0,HlpGetInstructionSize(P519,Q519,R519,$AC$12)))</f>
        <v>0</v>
      </c>
      <c r="V519" s="42" t="str">
        <f t="shared" si="52"/>
        <v/>
      </c>
      <c r="W519" s="16"/>
      <c r="X519" s="28"/>
      <c r="Y519" s="29"/>
      <c r="AA519" s="66"/>
      <c r="AB519" s="11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28"/>
      <c r="AD519" s="129"/>
      <c r="AE519" s="129"/>
      <c r="AF519" s="129"/>
      <c r="AG519" s="129"/>
      <c r="AH519" s="129"/>
      <c r="AI519" s="129"/>
      <c r="AJ519" s="130"/>
    </row>
    <row r="520" spans="11:36">
      <c r="K520" s="76"/>
      <c r="L520" s="48" t="e">
        <f t="shared" si="51"/>
        <v>#VALUE!</v>
      </c>
      <c r="M520" s="32" t="str">
        <f t="shared" si="54"/>
        <v/>
      </c>
      <c r="N520" s="63" t="e">
        <f t="shared" si="53"/>
        <v>#VALUE!</v>
      </c>
      <c r="O520" s="86"/>
      <c r="P520" s="223"/>
      <c r="Q520" s="224"/>
      <c r="R520" s="135"/>
      <c r="S520" s="139" cm="1">
        <f t="array" ref="S520">IF(P520="",0,IF(OR(O520=";",P520="EQU",P520="ORG"),0,HlpGetInstructionSize(P520,Q520,R520,$AC$12)))</f>
        <v>0</v>
      </c>
      <c r="V520" s="42" t="str">
        <f t="shared" si="52"/>
        <v/>
      </c>
      <c r="W520" s="16"/>
      <c r="X520" s="28"/>
      <c r="Y520" s="29"/>
      <c r="AA520" s="66"/>
      <c r="AB520" s="11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28"/>
      <c r="AD520" s="129"/>
      <c r="AE520" s="129"/>
      <c r="AF520" s="129"/>
      <c r="AG520" s="129"/>
      <c r="AH520" s="129"/>
      <c r="AI520" s="129"/>
      <c r="AJ520" s="130"/>
    </row>
    <row r="521" spans="11:36">
      <c r="K521" s="76"/>
      <c r="L521" s="48" t="e">
        <f t="shared" ref="L521:L584" si="55">IF(UPPER(P521)="EQU","E",IF(P521="DB","D",IF(O521&lt;&gt;"","L",IF(N521="","F",""))))</f>
        <v>#VALUE!</v>
      </c>
      <c r="M521" s="32" t="str">
        <f t="shared" si="54"/>
        <v/>
      </c>
      <c r="N521" s="63" t="e">
        <f t="shared" si="53"/>
        <v>#VALUE!</v>
      </c>
      <c r="O521" s="86"/>
      <c r="P521" s="223"/>
      <c r="Q521" s="224"/>
      <c r="R521" s="135"/>
      <c r="S521" s="139" cm="1">
        <f t="array" ref="S521">IF(P521="",0,IF(OR(O521=";",P521="EQU",P521="ORG"),0,HlpGetInstructionSize(P521,Q521,R521,$AC$12)))</f>
        <v>0</v>
      </c>
      <c r="V521" s="42" t="str">
        <f t="shared" ref="V521:V584" si="56">IF(W521&gt;0,RIGHT("0000"&amp;DEC2HEX(W521),4),"")</f>
        <v/>
      </c>
      <c r="W521" s="16"/>
      <c r="X521" s="28"/>
      <c r="Y521" s="29"/>
      <c r="AA521" s="66"/>
      <c r="AB521" s="11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28"/>
      <c r="AD521" s="129"/>
      <c r="AE521" s="129"/>
      <c r="AF521" s="129"/>
      <c r="AG521" s="129"/>
      <c r="AH521" s="129"/>
      <c r="AI521" s="129"/>
      <c r="AJ521" s="130"/>
    </row>
    <row r="522" spans="11:36">
      <c r="K522" s="76"/>
      <c r="L522" s="48" t="e">
        <f t="shared" si="55"/>
        <v>#VALUE!</v>
      </c>
      <c r="M522" s="32" t="str">
        <f t="shared" si="54"/>
        <v/>
      </c>
      <c r="N522" s="63" t="e">
        <f t="shared" ref="N522:N585" si="57">N521+S521</f>
        <v>#VALUE!</v>
      </c>
      <c r="O522" s="86"/>
      <c r="P522" s="223"/>
      <c r="Q522" s="224"/>
      <c r="R522" s="135"/>
      <c r="S522" s="139" cm="1">
        <f t="array" ref="S522">IF(P522="",0,IF(OR(O522=";",P522="EQU",P522="ORG"),0,HlpGetInstructionSize(P522,Q522,R522,$AC$12)))</f>
        <v>0</v>
      </c>
      <c r="V522" s="42" t="str">
        <f t="shared" si="56"/>
        <v/>
      </c>
      <c r="W522" s="16"/>
      <c r="X522" s="28"/>
      <c r="Y522" s="29"/>
      <c r="AA522" s="66"/>
      <c r="AB522" s="11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28"/>
      <c r="AD522" s="129"/>
      <c r="AE522" s="129"/>
      <c r="AF522" s="129"/>
      <c r="AG522" s="129"/>
      <c r="AH522" s="129"/>
      <c r="AI522" s="129"/>
      <c r="AJ522" s="130"/>
    </row>
    <row r="523" spans="11:36">
      <c r="K523" s="76"/>
      <c r="L523" s="48" t="e">
        <f t="shared" si="55"/>
        <v>#VALUE!</v>
      </c>
      <c r="M523" s="32" t="str">
        <f t="shared" si="54"/>
        <v/>
      </c>
      <c r="N523" s="63" t="e">
        <f t="shared" si="57"/>
        <v>#VALUE!</v>
      </c>
      <c r="O523" s="86"/>
      <c r="P523" s="223"/>
      <c r="Q523" s="224"/>
      <c r="R523" s="135"/>
      <c r="S523" s="139" cm="1">
        <f t="array" ref="S523">IF(P523="",0,IF(OR(O523=";",P523="EQU",P523="ORG"),0,HlpGetInstructionSize(P523,Q523,R523,$AC$12)))</f>
        <v>0</v>
      </c>
      <c r="V523" s="42" t="str">
        <f t="shared" si="56"/>
        <v/>
      </c>
      <c r="W523" s="16"/>
      <c r="X523" s="28"/>
      <c r="Y523" s="29"/>
      <c r="AA523" s="66"/>
      <c r="AB523" s="11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28"/>
      <c r="AD523" s="129"/>
      <c r="AE523" s="129"/>
      <c r="AF523" s="129"/>
      <c r="AG523" s="129"/>
      <c r="AH523" s="129"/>
      <c r="AI523" s="129"/>
      <c r="AJ523" s="130"/>
    </row>
    <row r="524" spans="11:36">
      <c r="K524" s="76"/>
      <c r="L524" s="48" t="e">
        <f t="shared" si="55"/>
        <v>#VALUE!</v>
      </c>
      <c r="M524" s="32" t="str">
        <f t="shared" si="54"/>
        <v/>
      </c>
      <c r="N524" s="63" t="e">
        <f t="shared" si="57"/>
        <v>#VALUE!</v>
      </c>
      <c r="O524" s="86"/>
      <c r="P524" s="223"/>
      <c r="Q524" s="224"/>
      <c r="R524" s="135"/>
      <c r="S524" s="139" cm="1">
        <f t="array" ref="S524">IF(P524="",0,IF(OR(O524=";",P524="EQU",P524="ORG"),0,HlpGetInstructionSize(P524,Q524,R524,$AC$12)))</f>
        <v>0</v>
      </c>
      <c r="V524" s="42" t="str">
        <f t="shared" si="56"/>
        <v/>
      </c>
      <c r="W524" s="16"/>
      <c r="X524" s="28"/>
      <c r="Y524" s="29"/>
      <c r="AA524" s="66"/>
      <c r="AB524" s="11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28"/>
      <c r="AD524" s="129"/>
      <c r="AE524" s="129"/>
      <c r="AF524" s="129"/>
      <c r="AG524" s="129"/>
      <c r="AH524" s="129"/>
      <c r="AI524" s="129"/>
      <c r="AJ524" s="130"/>
    </row>
    <row r="525" spans="11:36">
      <c r="K525" s="76"/>
      <c r="L525" s="48" t="e">
        <f t="shared" si="55"/>
        <v>#VALUE!</v>
      </c>
      <c r="M525" s="32" t="str">
        <f t="shared" si="54"/>
        <v/>
      </c>
      <c r="N525" s="63" t="e">
        <f t="shared" si="57"/>
        <v>#VALUE!</v>
      </c>
      <c r="O525" s="86"/>
      <c r="P525" s="223"/>
      <c r="Q525" s="224"/>
      <c r="R525" s="135"/>
      <c r="S525" s="139" cm="1">
        <f t="array" ref="S525">IF(P525="",0,IF(OR(O525=";",P525="EQU",P525="ORG"),0,HlpGetInstructionSize(P525,Q525,R525,$AC$12)))</f>
        <v>0</v>
      </c>
      <c r="V525" s="42" t="str">
        <f t="shared" si="56"/>
        <v/>
      </c>
      <c r="W525" s="16"/>
      <c r="X525" s="28"/>
      <c r="Y525" s="29"/>
      <c r="AA525" s="66"/>
      <c r="AB525" s="11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28"/>
      <c r="AD525" s="129"/>
      <c r="AE525" s="129"/>
      <c r="AF525" s="129"/>
      <c r="AG525" s="129"/>
      <c r="AH525" s="129"/>
      <c r="AI525" s="129"/>
      <c r="AJ525" s="130"/>
    </row>
    <row r="526" spans="11:36">
      <c r="K526" s="76"/>
      <c r="L526" s="48" t="e">
        <f t="shared" si="55"/>
        <v>#VALUE!</v>
      </c>
      <c r="M526" s="32" t="str">
        <f t="shared" si="54"/>
        <v/>
      </c>
      <c r="N526" s="63" t="e">
        <f t="shared" si="57"/>
        <v>#VALUE!</v>
      </c>
      <c r="O526" s="86"/>
      <c r="P526" s="223"/>
      <c r="Q526" s="224"/>
      <c r="R526" s="135"/>
      <c r="S526" s="139" cm="1">
        <f t="array" ref="S526">IF(P526="",0,IF(OR(O526=";",P526="EQU",P526="ORG"),0,HlpGetInstructionSize(P526,Q526,R526,$AC$12)))</f>
        <v>0</v>
      </c>
      <c r="V526" s="42" t="str">
        <f t="shared" si="56"/>
        <v/>
      </c>
      <c r="W526" s="16"/>
      <c r="X526" s="28"/>
      <c r="Y526" s="29"/>
      <c r="AA526" s="66"/>
      <c r="AB526" s="11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28"/>
      <c r="AD526" s="129"/>
      <c r="AE526" s="129"/>
      <c r="AF526" s="129"/>
      <c r="AG526" s="129"/>
      <c r="AH526" s="129"/>
      <c r="AI526" s="129"/>
      <c r="AJ526" s="130"/>
    </row>
    <row r="527" spans="11:36">
      <c r="K527" s="76"/>
      <c r="L527" s="48" t="e">
        <f t="shared" si="55"/>
        <v>#VALUE!</v>
      </c>
      <c r="M527" s="32" t="str">
        <f t="shared" si="54"/>
        <v/>
      </c>
      <c r="N527" s="63" t="e">
        <f t="shared" si="57"/>
        <v>#VALUE!</v>
      </c>
      <c r="O527" s="86"/>
      <c r="P527" s="223"/>
      <c r="Q527" s="224"/>
      <c r="R527" s="135"/>
      <c r="S527" s="139" cm="1">
        <f t="array" ref="S527">IF(P527="",0,IF(OR(O527=";",P527="EQU",P527="ORG"),0,HlpGetInstructionSize(P527,Q527,R527,$AC$12)))</f>
        <v>0</v>
      </c>
      <c r="V527" s="42" t="str">
        <f t="shared" si="56"/>
        <v/>
      </c>
      <c r="W527" s="16"/>
      <c r="X527" s="28"/>
      <c r="Y527" s="29"/>
      <c r="AA527" s="66"/>
      <c r="AB527" s="11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28"/>
      <c r="AD527" s="129"/>
      <c r="AE527" s="129"/>
      <c r="AF527" s="129"/>
      <c r="AG527" s="129"/>
      <c r="AH527" s="129"/>
      <c r="AI527" s="129"/>
      <c r="AJ527" s="130"/>
    </row>
    <row r="528" spans="11:36">
      <c r="K528" s="76"/>
      <c r="L528" s="48" t="e">
        <f t="shared" si="55"/>
        <v>#VALUE!</v>
      </c>
      <c r="M528" s="32" t="str">
        <f t="shared" si="54"/>
        <v/>
      </c>
      <c r="N528" s="63" t="e">
        <f t="shared" si="57"/>
        <v>#VALUE!</v>
      </c>
      <c r="O528" s="86"/>
      <c r="P528" s="223"/>
      <c r="Q528" s="224"/>
      <c r="R528" s="135"/>
      <c r="S528" s="139" cm="1">
        <f t="array" ref="S528">IF(P528="",0,IF(OR(O528=";",P528="EQU",P528="ORG"),0,HlpGetInstructionSize(P528,Q528,R528,$AC$12)))</f>
        <v>0</v>
      </c>
      <c r="V528" s="42" t="str">
        <f t="shared" si="56"/>
        <v/>
      </c>
      <c r="W528" s="16"/>
      <c r="X528" s="28"/>
      <c r="Y528" s="29"/>
      <c r="AA528" s="66"/>
      <c r="AB528" s="11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28"/>
      <c r="AD528" s="129"/>
      <c r="AE528" s="129"/>
      <c r="AF528" s="129"/>
      <c r="AG528" s="129"/>
      <c r="AH528" s="129"/>
      <c r="AI528" s="129"/>
      <c r="AJ528" s="130"/>
    </row>
    <row r="529" spans="11:36">
      <c r="K529" s="76"/>
      <c r="L529" s="48" t="e">
        <f t="shared" si="55"/>
        <v>#VALUE!</v>
      </c>
      <c r="M529" s="32" t="str">
        <f t="shared" si="54"/>
        <v/>
      </c>
      <c r="N529" s="63" t="e">
        <f t="shared" si="57"/>
        <v>#VALUE!</v>
      </c>
      <c r="O529" s="86"/>
      <c r="P529" s="223"/>
      <c r="Q529" s="224"/>
      <c r="R529" s="135"/>
      <c r="S529" s="139" cm="1">
        <f t="array" ref="S529">IF(P529="",0,IF(OR(O529=";",P529="EQU",P529="ORG"),0,HlpGetInstructionSize(P529,Q529,R529,$AC$12)))</f>
        <v>0</v>
      </c>
      <c r="V529" s="42" t="str">
        <f t="shared" si="56"/>
        <v/>
      </c>
      <c r="W529" s="16"/>
      <c r="X529" s="28"/>
      <c r="Y529" s="29"/>
      <c r="AA529" s="66"/>
      <c r="AB529" s="11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28"/>
      <c r="AD529" s="129"/>
      <c r="AE529" s="129"/>
      <c r="AF529" s="129"/>
      <c r="AG529" s="129"/>
      <c r="AH529" s="129"/>
      <c r="AI529" s="129"/>
      <c r="AJ529" s="130"/>
    </row>
    <row r="530" spans="11:36">
      <c r="K530" s="76"/>
      <c r="L530" s="48" t="e">
        <f t="shared" si="55"/>
        <v>#VALUE!</v>
      </c>
      <c r="M530" s="32" t="str">
        <f t="shared" si="54"/>
        <v/>
      </c>
      <c r="N530" s="63" t="e">
        <f t="shared" si="57"/>
        <v>#VALUE!</v>
      </c>
      <c r="O530" s="86"/>
      <c r="P530" s="223"/>
      <c r="Q530" s="224"/>
      <c r="R530" s="135"/>
      <c r="S530" s="139" cm="1">
        <f t="array" ref="S530">IF(P530="",0,IF(OR(O530=";",P530="EQU",P530="ORG"),0,HlpGetInstructionSize(P530,Q530,R530,$AC$12)))</f>
        <v>0</v>
      </c>
      <c r="V530" s="42" t="str">
        <f t="shared" si="56"/>
        <v/>
      </c>
      <c r="W530" s="16"/>
      <c r="X530" s="28"/>
      <c r="Y530" s="29"/>
      <c r="AA530" s="66"/>
      <c r="AB530" s="11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28"/>
      <c r="AD530" s="129"/>
      <c r="AE530" s="129"/>
      <c r="AF530" s="129"/>
      <c r="AG530" s="129"/>
      <c r="AH530" s="129"/>
      <c r="AI530" s="129"/>
      <c r="AJ530" s="130"/>
    </row>
    <row r="531" spans="11:36">
      <c r="K531" s="76"/>
      <c r="L531" s="48" t="e">
        <f t="shared" si="55"/>
        <v>#VALUE!</v>
      </c>
      <c r="M531" s="32" t="str">
        <f t="shared" si="54"/>
        <v/>
      </c>
      <c r="N531" s="63" t="e">
        <f t="shared" si="57"/>
        <v>#VALUE!</v>
      </c>
      <c r="O531" s="86"/>
      <c r="P531" s="223"/>
      <c r="Q531" s="224"/>
      <c r="R531" s="135"/>
      <c r="S531" s="139" cm="1">
        <f t="array" ref="S531">IF(P531="",0,IF(OR(O531=";",P531="EQU",P531="ORG"),0,HlpGetInstructionSize(P531,Q531,R531,$AC$12)))</f>
        <v>0</v>
      </c>
      <c r="V531" s="42" t="str">
        <f t="shared" si="56"/>
        <v/>
      </c>
      <c r="W531" s="16"/>
      <c r="X531" s="28"/>
      <c r="Y531" s="29"/>
      <c r="AA531" s="66"/>
      <c r="AB531" s="11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28"/>
      <c r="AD531" s="129"/>
      <c r="AE531" s="129"/>
      <c r="AF531" s="129"/>
      <c r="AG531" s="129"/>
      <c r="AH531" s="129"/>
      <c r="AI531" s="129"/>
      <c r="AJ531" s="130"/>
    </row>
    <row r="532" spans="11:36">
      <c r="K532" s="76"/>
      <c r="L532" s="48" t="e">
        <f t="shared" si="55"/>
        <v>#VALUE!</v>
      </c>
      <c r="M532" s="32" t="str">
        <f t="shared" si="54"/>
        <v/>
      </c>
      <c r="N532" s="63" t="e">
        <f t="shared" si="57"/>
        <v>#VALUE!</v>
      </c>
      <c r="O532" s="86"/>
      <c r="P532" s="223"/>
      <c r="Q532" s="224"/>
      <c r="R532" s="135"/>
      <c r="S532" s="139" cm="1">
        <f t="array" ref="S532">IF(P532="",0,IF(OR(O532=";",P532="EQU",P532="ORG"),0,HlpGetInstructionSize(P532,Q532,R532,$AC$12)))</f>
        <v>0</v>
      </c>
      <c r="V532" s="42" t="str">
        <f t="shared" si="56"/>
        <v/>
      </c>
      <c r="W532" s="16"/>
      <c r="X532" s="28"/>
      <c r="Y532" s="29"/>
      <c r="AA532" s="66"/>
      <c r="AB532" s="11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28"/>
      <c r="AD532" s="129"/>
      <c r="AE532" s="129"/>
      <c r="AF532" s="129"/>
      <c r="AG532" s="129"/>
      <c r="AH532" s="129"/>
      <c r="AI532" s="129"/>
      <c r="AJ532" s="130"/>
    </row>
    <row r="533" spans="11:36">
      <c r="K533" s="76"/>
      <c r="L533" s="48" t="e">
        <f t="shared" si="55"/>
        <v>#VALUE!</v>
      </c>
      <c r="M533" s="32" t="str">
        <f t="shared" si="54"/>
        <v/>
      </c>
      <c r="N533" s="63" t="e">
        <f t="shared" si="57"/>
        <v>#VALUE!</v>
      </c>
      <c r="O533" s="86"/>
      <c r="P533" s="223"/>
      <c r="Q533" s="224"/>
      <c r="R533" s="135"/>
      <c r="S533" s="139" cm="1">
        <f t="array" ref="S533">IF(P533="",0,IF(OR(O533=";",P533="EQU",P533="ORG"),0,HlpGetInstructionSize(P533,Q533,R533,$AC$12)))</f>
        <v>0</v>
      </c>
      <c r="V533" s="42" t="str">
        <f t="shared" si="56"/>
        <v/>
      </c>
      <c r="W533" s="16"/>
      <c r="X533" s="28"/>
      <c r="Y533" s="29"/>
      <c r="AA533" s="66"/>
      <c r="AB533" s="11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28"/>
      <c r="AD533" s="129"/>
      <c r="AE533" s="129"/>
      <c r="AF533" s="129"/>
      <c r="AG533" s="129"/>
      <c r="AH533" s="129"/>
      <c r="AI533" s="129"/>
      <c r="AJ533" s="130"/>
    </row>
    <row r="534" spans="11:36">
      <c r="K534" s="76"/>
      <c r="L534" s="48" t="e">
        <f t="shared" si="55"/>
        <v>#VALUE!</v>
      </c>
      <c r="M534" s="32" t="str">
        <f t="shared" si="54"/>
        <v/>
      </c>
      <c r="N534" s="63" t="e">
        <f t="shared" si="57"/>
        <v>#VALUE!</v>
      </c>
      <c r="O534" s="86"/>
      <c r="P534" s="223"/>
      <c r="Q534" s="224"/>
      <c r="R534" s="135"/>
      <c r="S534" s="139" cm="1">
        <f t="array" ref="S534">IF(P534="",0,IF(OR(O534=";",P534="EQU",P534="ORG"),0,HlpGetInstructionSize(P534,Q534,R534,$AC$12)))</f>
        <v>0</v>
      </c>
      <c r="V534" s="42" t="str">
        <f t="shared" si="56"/>
        <v/>
      </c>
      <c r="W534" s="16"/>
      <c r="X534" s="28"/>
      <c r="Y534" s="29"/>
      <c r="AA534" s="66"/>
      <c r="AB534" s="11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28"/>
      <c r="AD534" s="129"/>
      <c r="AE534" s="129"/>
      <c r="AF534" s="129"/>
      <c r="AG534" s="129"/>
      <c r="AH534" s="129"/>
      <c r="AI534" s="129"/>
      <c r="AJ534" s="130"/>
    </row>
    <row r="535" spans="11:36">
      <c r="K535" s="76"/>
      <c r="L535" s="48" t="e">
        <f t="shared" si="55"/>
        <v>#VALUE!</v>
      </c>
      <c r="M535" s="32" t="str">
        <f t="shared" si="54"/>
        <v/>
      </c>
      <c r="N535" s="63" t="e">
        <f t="shared" si="57"/>
        <v>#VALUE!</v>
      </c>
      <c r="O535" s="86"/>
      <c r="P535" s="223"/>
      <c r="Q535" s="224"/>
      <c r="R535" s="135"/>
      <c r="S535" s="139" cm="1">
        <f t="array" ref="S535">IF(P535="",0,IF(OR(O535=";",P535="EQU",P535="ORG"),0,HlpGetInstructionSize(P535,Q535,R535,$AC$12)))</f>
        <v>0</v>
      </c>
      <c r="V535" s="42" t="str">
        <f t="shared" si="56"/>
        <v/>
      </c>
      <c r="W535" s="16"/>
      <c r="X535" s="28"/>
      <c r="Y535" s="29"/>
      <c r="AA535" s="66"/>
      <c r="AB535" s="11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28"/>
      <c r="AD535" s="129"/>
      <c r="AE535" s="129"/>
      <c r="AF535" s="129"/>
      <c r="AG535" s="129"/>
      <c r="AH535" s="129"/>
      <c r="AI535" s="129"/>
      <c r="AJ535" s="130"/>
    </row>
    <row r="536" spans="11:36">
      <c r="K536" s="76"/>
      <c r="L536" s="48" t="e">
        <f t="shared" si="55"/>
        <v>#VALUE!</v>
      </c>
      <c r="M536" s="32" t="str">
        <f t="shared" si="54"/>
        <v/>
      </c>
      <c r="N536" s="63" t="e">
        <f t="shared" si="57"/>
        <v>#VALUE!</v>
      </c>
      <c r="O536" s="86"/>
      <c r="P536" s="223"/>
      <c r="Q536" s="224"/>
      <c r="R536" s="135"/>
      <c r="S536" s="139" cm="1">
        <f t="array" ref="S536">IF(P536="",0,IF(OR(O536=";",P536="EQU",P536="ORG"),0,HlpGetInstructionSize(P536,Q536,R536,$AC$12)))</f>
        <v>0</v>
      </c>
      <c r="V536" s="42" t="str">
        <f t="shared" si="56"/>
        <v/>
      </c>
      <c r="W536" s="16"/>
      <c r="X536" s="28"/>
      <c r="Y536" s="29"/>
      <c r="AA536" s="66"/>
      <c r="AB536" s="11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28"/>
      <c r="AD536" s="129"/>
      <c r="AE536" s="129"/>
      <c r="AF536" s="129"/>
      <c r="AG536" s="129"/>
      <c r="AH536" s="129"/>
      <c r="AI536" s="129"/>
      <c r="AJ536" s="130"/>
    </row>
    <row r="537" spans="11:36">
      <c r="K537" s="76"/>
      <c r="L537" s="48" t="e">
        <f t="shared" si="55"/>
        <v>#VALUE!</v>
      </c>
      <c r="M537" s="32" t="str">
        <f t="shared" si="54"/>
        <v/>
      </c>
      <c r="N537" s="63" t="e">
        <f t="shared" si="57"/>
        <v>#VALUE!</v>
      </c>
      <c r="O537" s="86"/>
      <c r="P537" s="223"/>
      <c r="Q537" s="224"/>
      <c r="R537" s="135"/>
      <c r="S537" s="139" cm="1">
        <f t="array" ref="S537">IF(P537="",0,IF(OR(O537=";",P537="EQU",P537="ORG"),0,HlpGetInstructionSize(P537,Q537,R537,$AC$12)))</f>
        <v>0</v>
      </c>
      <c r="V537" s="42" t="str">
        <f t="shared" si="56"/>
        <v/>
      </c>
      <c r="W537" s="16"/>
      <c r="X537" s="28"/>
      <c r="Y537" s="29"/>
      <c r="AA537" s="66"/>
      <c r="AB537" s="11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28"/>
      <c r="AD537" s="129"/>
      <c r="AE537" s="129"/>
      <c r="AF537" s="129"/>
      <c r="AG537" s="129"/>
      <c r="AH537" s="129"/>
      <c r="AI537" s="129"/>
      <c r="AJ537" s="130"/>
    </row>
    <row r="538" spans="11:36">
      <c r="K538" s="76"/>
      <c r="L538" s="48" t="e">
        <f t="shared" si="55"/>
        <v>#VALUE!</v>
      </c>
      <c r="M538" s="32" t="str">
        <f t="shared" si="54"/>
        <v/>
      </c>
      <c r="N538" s="63" t="e">
        <f t="shared" si="57"/>
        <v>#VALUE!</v>
      </c>
      <c r="O538" s="86"/>
      <c r="P538" s="223"/>
      <c r="Q538" s="224"/>
      <c r="R538" s="135"/>
      <c r="S538" s="139" cm="1">
        <f t="array" ref="S538">IF(P538="",0,IF(OR(O538=";",P538="EQU",P538="ORG"),0,HlpGetInstructionSize(P538,Q538,R538,$AC$12)))</f>
        <v>0</v>
      </c>
      <c r="V538" s="42" t="str">
        <f t="shared" si="56"/>
        <v/>
      </c>
      <c r="W538" s="16"/>
      <c r="X538" s="28"/>
      <c r="Y538" s="29"/>
      <c r="AA538" s="66"/>
      <c r="AB538" s="11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28"/>
      <c r="AD538" s="129"/>
      <c r="AE538" s="129"/>
      <c r="AF538" s="129"/>
      <c r="AG538" s="129"/>
      <c r="AH538" s="129"/>
      <c r="AI538" s="129"/>
      <c r="AJ538" s="130"/>
    </row>
    <row r="539" spans="11:36">
      <c r="K539" s="76"/>
      <c r="L539" s="48" t="e">
        <f t="shared" si="55"/>
        <v>#VALUE!</v>
      </c>
      <c r="M539" s="32" t="str">
        <f t="shared" si="54"/>
        <v/>
      </c>
      <c r="N539" s="63" t="e">
        <f t="shared" si="57"/>
        <v>#VALUE!</v>
      </c>
      <c r="O539" s="86"/>
      <c r="P539" s="223"/>
      <c r="Q539" s="224"/>
      <c r="R539" s="135"/>
      <c r="S539" s="139" cm="1">
        <f t="array" ref="S539">IF(P539="",0,IF(OR(O539=";",P539="EQU",P539="ORG"),0,HlpGetInstructionSize(P539,Q539,R539,$AC$12)))</f>
        <v>0</v>
      </c>
      <c r="V539" s="42" t="str">
        <f t="shared" si="56"/>
        <v/>
      </c>
      <c r="W539" s="16"/>
      <c r="X539" s="28"/>
      <c r="Y539" s="29"/>
      <c r="AA539" s="66"/>
      <c r="AB539" s="11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28"/>
      <c r="AD539" s="129"/>
      <c r="AE539" s="129"/>
      <c r="AF539" s="129"/>
      <c r="AG539" s="129"/>
      <c r="AH539" s="129"/>
      <c r="AI539" s="129"/>
      <c r="AJ539" s="130"/>
    </row>
    <row r="540" spans="11:36">
      <c r="K540" s="76"/>
      <c r="L540" s="48" t="e">
        <f t="shared" si="55"/>
        <v>#VALUE!</v>
      </c>
      <c r="M540" s="32" t="str">
        <f t="shared" si="54"/>
        <v/>
      </c>
      <c r="N540" s="63" t="e">
        <f t="shared" si="57"/>
        <v>#VALUE!</v>
      </c>
      <c r="O540" s="86"/>
      <c r="P540" s="223"/>
      <c r="Q540" s="224"/>
      <c r="R540" s="135"/>
      <c r="S540" s="139" cm="1">
        <f t="array" ref="S540">IF(P540="",0,IF(OR(O540=";",P540="EQU",P540="ORG"),0,HlpGetInstructionSize(P540,Q540,R540,$AC$12)))</f>
        <v>0</v>
      </c>
      <c r="V540" s="42" t="str">
        <f t="shared" si="56"/>
        <v/>
      </c>
      <c r="W540" s="16"/>
      <c r="X540" s="28"/>
      <c r="Y540" s="29"/>
      <c r="AA540" s="66"/>
      <c r="AB540" s="11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28"/>
      <c r="AD540" s="129"/>
      <c r="AE540" s="129"/>
      <c r="AF540" s="129"/>
      <c r="AG540" s="129"/>
      <c r="AH540" s="129"/>
      <c r="AI540" s="129"/>
      <c r="AJ540" s="130"/>
    </row>
    <row r="541" spans="11:36">
      <c r="K541" s="76"/>
      <c r="L541" s="48" t="e">
        <f t="shared" si="55"/>
        <v>#VALUE!</v>
      </c>
      <c r="M541" s="32" t="str">
        <f t="shared" ref="M541:M604" si="58">IFERROR(RIGHT("0000"&amp;DEC2HEX(N541),4),"")</f>
        <v/>
      </c>
      <c r="N541" s="63" t="e">
        <f t="shared" si="57"/>
        <v>#VALUE!</v>
      </c>
      <c r="O541" s="86"/>
      <c r="P541" s="223"/>
      <c r="Q541" s="224"/>
      <c r="R541" s="135"/>
      <c r="S541" s="139" cm="1">
        <f t="array" ref="S541">IF(P541="",0,IF(OR(O541=";",P541="EQU",P541="ORG"),0,HlpGetInstructionSize(P541,Q541,R541,$AC$12)))</f>
        <v>0</v>
      </c>
      <c r="V541" s="42" t="str">
        <f t="shared" si="56"/>
        <v/>
      </c>
      <c r="W541" s="16"/>
      <c r="X541" s="28"/>
      <c r="Y541" s="29"/>
      <c r="AA541" s="66"/>
      <c r="AB541" s="11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28"/>
      <c r="AD541" s="129"/>
      <c r="AE541" s="129"/>
      <c r="AF541" s="129"/>
      <c r="AG541" s="129"/>
      <c r="AH541" s="129"/>
      <c r="AI541" s="129"/>
      <c r="AJ541" s="130"/>
    </row>
    <row r="542" spans="11:36">
      <c r="K542" s="76"/>
      <c r="L542" s="48" t="e">
        <f t="shared" si="55"/>
        <v>#VALUE!</v>
      </c>
      <c r="M542" s="32" t="str">
        <f t="shared" si="58"/>
        <v/>
      </c>
      <c r="N542" s="63" t="e">
        <f t="shared" si="57"/>
        <v>#VALUE!</v>
      </c>
      <c r="O542" s="86"/>
      <c r="P542" s="223"/>
      <c r="Q542" s="224"/>
      <c r="R542" s="135"/>
      <c r="S542" s="139" cm="1">
        <f t="array" ref="S542">IF(P542="",0,IF(OR(O542=";",P542="EQU",P542="ORG"),0,HlpGetInstructionSize(P542,Q542,R542,$AC$12)))</f>
        <v>0</v>
      </c>
      <c r="V542" s="42" t="str">
        <f t="shared" si="56"/>
        <v/>
      </c>
      <c r="W542" s="16"/>
      <c r="X542" s="28"/>
      <c r="Y542" s="29"/>
      <c r="AA542" s="66"/>
      <c r="AB542" s="11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28"/>
      <c r="AD542" s="129"/>
      <c r="AE542" s="129"/>
      <c r="AF542" s="129"/>
      <c r="AG542" s="129"/>
      <c r="AH542" s="129"/>
      <c r="AI542" s="129"/>
      <c r="AJ542" s="130"/>
    </row>
    <row r="543" spans="11:36">
      <c r="K543" s="76"/>
      <c r="L543" s="48" t="e">
        <f t="shared" si="55"/>
        <v>#VALUE!</v>
      </c>
      <c r="M543" s="32" t="str">
        <f t="shared" si="58"/>
        <v/>
      </c>
      <c r="N543" s="63" t="e">
        <f t="shared" si="57"/>
        <v>#VALUE!</v>
      </c>
      <c r="O543" s="86"/>
      <c r="P543" s="223"/>
      <c r="Q543" s="224"/>
      <c r="R543" s="135"/>
      <c r="S543" s="139" cm="1">
        <f t="array" ref="S543">IF(P543="",0,IF(OR(O543=";",P543="EQU",P543="ORG"),0,HlpGetInstructionSize(P543,Q543,R543,$AC$12)))</f>
        <v>0</v>
      </c>
      <c r="V543" s="42" t="str">
        <f t="shared" si="56"/>
        <v/>
      </c>
      <c r="W543" s="16"/>
      <c r="X543" s="28"/>
      <c r="Y543" s="29"/>
      <c r="AA543" s="66"/>
      <c r="AB543" s="11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28"/>
      <c r="AD543" s="129"/>
      <c r="AE543" s="129"/>
      <c r="AF543" s="129"/>
      <c r="AG543" s="129"/>
      <c r="AH543" s="129"/>
      <c r="AI543" s="129"/>
      <c r="AJ543" s="130"/>
    </row>
    <row r="544" spans="11:36">
      <c r="K544" s="76"/>
      <c r="L544" s="48" t="e">
        <f t="shared" si="55"/>
        <v>#VALUE!</v>
      </c>
      <c r="M544" s="32" t="str">
        <f t="shared" si="58"/>
        <v/>
      </c>
      <c r="N544" s="63" t="e">
        <f t="shared" si="57"/>
        <v>#VALUE!</v>
      </c>
      <c r="O544" s="86"/>
      <c r="P544" s="223"/>
      <c r="Q544" s="224"/>
      <c r="R544" s="135"/>
      <c r="S544" s="139" cm="1">
        <f t="array" ref="S544">IF(P544="",0,IF(OR(O544=";",P544="EQU",P544="ORG"),0,HlpGetInstructionSize(P544,Q544,R544,$AC$12)))</f>
        <v>0</v>
      </c>
      <c r="V544" s="42" t="str">
        <f t="shared" si="56"/>
        <v/>
      </c>
      <c r="W544" s="16"/>
      <c r="X544" s="28"/>
      <c r="Y544" s="29"/>
      <c r="AA544" s="66"/>
      <c r="AB544" s="11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28"/>
      <c r="AD544" s="129"/>
      <c r="AE544" s="129"/>
      <c r="AF544" s="129"/>
      <c r="AG544" s="129"/>
      <c r="AH544" s="129"/>
      <c r="AI544" s="129"/>
      <c r="AJ544" s="130"/>
    </row>
    <row r="545" spans="11:36">
      <c r="K545" s="76"/>
      <c r="L545" s="48" t="e">
        <f t="shared" si="55"/>
        <v>#VALUE!</v>
      </c>
      <c r="M545" s="32" t="str">
        <f t="shared" si="58"/>
        <v/>
      </c>
      <c r="N545" s="63" t="e">
        <f t="shared" si="57"/>
        <v>#VALUE!</v>
      </c>
      <c r="O545" s="86"/>
      <c r="P545" s="223"/>
      <c r="Q545" s="224"/>
      <c r="R545" s="135"/>
      <c r="S545" s="139" cm="1">
        <f t="array" ref="S545">IF(P545="",0,IF(OR(O545=";",P545="EQU",P545="ORG"),0,HlpGetInstructionSize(P545,Q545,R545,$AC$12)))</f>
        <v>0</v>
      </c>
      <c r="V545" s="42" t="str">
        <f t="shared" si="56"/>
        <v/>
      </c>
      <c r="W545" s="16"/>
      <c r="X545" s="28"/>
      <c r="Y545" s="29"/>
      <c r="AA545" s="66"/>
      <c r="AB545" s="11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28"/>
      <c r="AD545" s="129"/>
      <c r="AE545" s="129"/>
      <c r="AF545" s="129"/>
      <c r="AG545" s="129"/>
      <c r="AH545" s="129"/>
      <c r="AI545" s="129"/>
      <c r="AJ545" s="130"/>
    </row>
    <row r="546" spans="11:36">
      <c r="K546" s="76"/>
      <c r="L546" s="48" t="e">
        <f t="shared" si="55"/>
        <v>#VALUE!</v>
      </c>
      <c r="M546" s="32" t="str">
        <f t="shared" si="58"/>
        <v/>
      </c>
      <c r="N546" s="63" t="e">
        <f t="shared" si="57"/>
        <v>#VALUE!</v>
      </c>
      <c r="O546" s="86"/>
      <c r="P546" s="223"/>
      <c r="Q546" s="224"/>
      <c r="R546" s="135"/>
      <c r="S546" s="139" cm="1">
        <f t="array" ref="S546">IF(P546="",0,IF(OR(O546=";",P546="EQU",P546="ORG"),0,HlpGetInstructionSize(P546,Q546,R546,$AC$12)))</f>
        <v>0</v>
      </c>
      <c r="V546" s="42" t="str">
        <f t="shared" si="56"/>
        <v/>
      </c>
      <c r="W546" s="16"/>
      <c r="X546" s="28"/>
      <c r="Y546" s="29"/>
      <c r="AA546" s="66"/>
      <c r="AB546" s="11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28"/>
      <c r="AD546" s="129"/>
      <c r="AE546" s="129"/>
      <c r="AF546" s="129"/>
      <c r="AG546" s="129"/>
      <c r="AH546" s="129"/>
      <c r="AI546" s="129"/>
      <c r="AJ546" s="130"/>
    </row>
    <row r="547" spans="11:36">
      <c r="K547" s="76"/>
      <c r="L547" s="48" t="e">
        <f t="shared" si="55"/>
        <v>#VALUE!</v>
      </c>
      <c r="M547" s="32" t="str">
        <f t="shared" si="58"/>
        <v/>
      </c>
      <c r="N547" s="63" t="e">
        <f t="shared" si="57"/>
        <v>#VALUE!</v>
      </c>
      <c r="O547" s="86"/>
      <c r="P547" s="223"/>
      <c r="Q547" s="224"/>
      <c r="R547" s="135"/>
      <c r="S547" s="139" cm="1">
        <f t="array" ref="S547">IF(P547="",0,IF(OR(O547=";",P547="EQU",P547="ORG"),0,HlpGetInstructionSize(P547,Q547,R547,$AC$12)))</f>
        <v>0</v>
      </c>
      <c r="V547" s="42" t="str">
        <f t="shared" si="56"/>
        <v/>
      </c>
      <c r="W547" s="16"/>
      <c r="X547" s="28"/>
      <c r="Y547" s="29"/>
      <c r="AA547" s="66"/>
      <c r="AB547" s="11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28"/>
      <c r="AD547" s="129"/>
      <c r="AE547" s="129"/>
      <c r="AF547" s="129"/>
      <c r="AG547" s="129"/>
      <c r="AH547" s="129"/>
      <c r="AI547" s="129"/>
      <c r="AJ547" s="130"/>
    </row>
    <row r="548" spans="11:36">
      <c r="K548" s="76"/>
      <c r="L548" s="48" t="e">
        <f t="shared" si="55"/>
        <v>#VALUE!</v>
      </c>
      <c r="M548" s="32" t="str">
        <f t="shared" si="58"/>
        <v/>
      </c>
      <c r="N548" s="63" t="e">
        <f t="shared" si="57"/>
        <v>#VALUE!</v>
      </c>
      <c r="O548" s="86"/>
      <c r="P548" s="223"/>
      <c r="Q548" s="224"/>
      <c r="R548" s="135"/>
      <c r="S548" s="139" cm="1">
        <f t="array" ref="S548">IF(P548="",0,IF(OR(O548=";",P548="EQU",P548="ORG"),0,HlpGetInstructionSize(P548,Q548,R548,$AC$12)))</f>
        <v>0</v>
      </c>
      <c r="V548" s="42" t="str">
        <f t="shared" si="56"/>
        <v/>
      </c>
      <c r="W548" s="16"/>
      <c r="X548" s="28"/>
      <c r="Y548" s="29"/>
      <c r="AA548" s="66"/>
      <c r="AB548" s="11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28"/>
      <c r="AD548" s="129"/>
      <c r="AE548" s="129"/>
      <c r="AF548" s="129"/>
      <c r="AG548" s="129"/>
      <c r="AH548" s="129"/>
      <c r="AI548" s="129"/>
      <c r="AJ548" s="130"/>
    </row>
    <row r="549" spans="11:36">
      <c r="K549" s="76"/>
      <c r="L549" s="48" t="e">
        <f t="shared" si="55"/>
        <v>#VALUE!</v>
      </c>
      <c r="M549" s="32" t="str">
        <f t="shared" si="58"/>
        <v/>
      </c>
      <c r="N549" s="63" t="e">
        <f t="shared" si="57"/>
        <v>#VALUE!</v>
      </c>
      <c r="O549" s="86"/>
      <c r="P549" s="223"/>
      <c r="Q549" s="224"/>
      <c r="R549" s="135"/>
      <c r="S549" s="139" cm="1">
        <f t="array" ref="S549">IF(P549="",0,IF(OR(O549=";",P549="EQU",P549="ORG"),0,HlpGetInstructionSize(P549,Q549,R549,$AC$12)))</f>
        <v>0</v>
      </c>
      <c r="V549" s="42" t="str">
        <f t="shared" si="56"/>
        <v/>
      </c>
      <c r="W549" s="16"/>
      <c r="X549" s="28"/>
      <c r="Y549" s="29"/>
      <c r="AA549" s="66"/>
      <c r="AB549" s="11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28"/>
      <c r="AD549" s="129"/>
      <c r="AE549" s="129"/>
      <c r="AF549" s="129"/>
      <c r="AG549" s="129"/>
      <c r="AH549" s="129"/>
      <c r="AI549" s="129"/>
      <c r="AJ549" s="130"/>
    </row>
    <row r="550" spans="11:36">
      <c r="K550" s="76"/>
      <c r="L550" s="48" t="e">
        <f t="shared" si="55"/>
        <v>#VALUE!</v>
      </c>
      <c r="M550" s="32" t="str">
        <f t="shared" si="58"/>
        <v/>
      </c>
      <c r="N550" s="63" t="e">
        <f t="shared" si="57"/>
        <v>#VALUE!</v>
      </c>
      <c r="O550" s="86"/>
      <c r="P550" s="223"/>
      <c r="Q550" s="224"/>
      <c r="R550" s="135"/>
      <c r="S550" s="139" cm="1">
        <f t="array" ref="S550">IF(P550="",0,IF(OR(O550=";",P550="EQU",P550="ORG"),0,HlpGetInstructionSize(P550,Q550,R550,$AC$12)))</f>
        <v>0</v>
      </c>
      <c r="V550" s="42" t="str">
        <f t="shared" si="56"/>
        <v/>
      </c>
      <c r="W550" s="16"/>
      <c r="X550" s="28"/>
      <c r="Y550" s="29"/>
      <c r="AA550" s="66"/>
      <c r="AB550" s="11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28"/>
      <c r="AD550" s="129"/>
      <c r="AE550" s="129"/>
      <c r="AF550" s="129"/>
      <c r="AG550" s="129"/>
      <c r="AH550" s="129"/>
      <c r="AI550" s="129"/>
      <c r="AJ550" s="130"/>
    </row>
    <row r="551" spans="11:36">
      <c r="K551" s="76"/>
      <c r="L551" s="48" t="e">
        <f t="shared" si="55"/>
        <v>#VALUE!</v>
      </c>
      <c r="M551" s="32" t="str">
        <f t="shared" si="58"/>
        <v/>
      </c>
      <c r="N551" s="63" t="e">
        <f t="shared" si="57"/>
        <v>#VALUE!</v>
      </c>
      <c r="O551" s="86"/>
      <c r="P551" s="223"/>
      <c r="Q551" s="224"/>
      <c r="R551" s="135"/>
      <c r="S551" s="139" cm="1">
        <f t="array" ref="S551">IF(P551="",0,IF(OR(O551=";",P551="EQU",P551="ORG"),0,HlpGetInstructionSize(P551,Q551,R551,$AC$12)))</f>
        <v>0</v>
      </c>
      <c r="V551" s="42" t="str">
        <f t="shared" si="56"/>
        <v/>
      </c>
      <c r="W551" s="16"/>
      <c r="X551" s="28"/>
      <c r="Y551" s="29"/>
      <c r="AA551" s="66"/>
      <c r="AB551" s="11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28"/>
      <c r="AD551" s="129"/>
      <c r="AE551" s="129"/>
      <c r="AF551" s="129"/>
      <c r="AG551" s="129"/>
      <c r="AH551" s="129"/>
      <c r="AI551" s="129"/>
      <c r="AJ551" s="130"/>
    </row>
    <row r="552" spans="11:36">
      <c r="K552" s="76"/>
      <c r="L552" s="48" t="e">
        <f t="shared" si="55"/>
        <v>#VALUE!</v>
      </c>
      <c r="M552" s="32" t="str">
        <f t="shared" si="58"/>
        <v/>
      </c>
      <c r="N552" s="63" t="e">
        <f t="shared" si="57"/>
        <v>#VALUE!</v>
      </c>
      <c r="O552" s="86"/>
      <c r="P552" s="223"/>
      <c r="Q552" s="224"/>
      <c r="R552" s="135"/>
      <c r="S552" s="139" cm="1">
        <f t="array" ref="S552">IF(P552="",0,IF(OR(O552=";",P552="EQU",P552="ORG"),0,HlpGetInstructionSize(P552,Q552,R552,$AC$12)))</f>
        <v>0</v>
      </c>
      <c r="V552" s="42" t="str">
        <f t="shared" si="56"/>
        <v/>
      </c>
      <c r="W552" s="16"/>
      <c r="X552" s="28"/>
      <c r="Y552" s="29"/>
      <c r="AA552" s="66"/>
      <c r="AB552" s="11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28"/>
      <c r="AD552" s="129"/>
      <c r="AE552" s="129"/>
      <c r="AF552" s="129"/>
      <c r="AG552" s="129"/>
      <c r="AH552" s="129"/>
      <c r="AI552" s="129"/>
      <c r="AJ552" s="130"/>
    </row>
    <row r="553" spans="11:36">
      <c r="K553" s="76"/>
      <c r="L553" s="48" t="e">
        <f t="shared" si="55"/>
        <v>#VALUE!</v>
      </c>
      <c r="M553" s="32" t="str">
        <f t="shared" si="58"/>
        <v/>
      </c>
      <c r="N553" s="63" t="e">
        <f t="shared" si="57"/>
        <v>#VALUE!</v>
      </c>
      <c r="O553" s="86"/>
      <c r="P553" s="223"/>
      <c r="Q553" s="224"/>
      <c r="R553" s="135"/>
      <c r="S553" s="139" cm="1">
        <f t="array" ref="S553">IF(P553="",0,IF(OR(O553=";",P553="EQU",P553="ORG"),0,HlpGetInstructionSize(P553,Q553,R553,$AC$12)))</f>
        <v>0</v>
      </c>
      <c r="V553" s="42" t="str">
        <f t="shared" si="56"/>
        <v/>
      </c>
      <c r="W553" s="16"/>
      <c r="X553" s="28"/>
      <c r="Y553" s="29"/>
      <c r="AA553" s="66"/>
      <c r="AB553" s="11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28"/>
      <c r="AD553" s="129"/>
      <c r="AE553" s="129"/>
      <c r="AF553" s="129"/>
      <c r="AG553" s="129"/>
      <c r="AH553" s="129"/>
      <c r="AI553" s="129"/>
      <c r="AJ553" s="130"/>
    </row>
    <row r="554" spans="11:36">
      <c r="K554" s="76"/>
      <c r="L554" s="48" t="e">
        <f t="shared" si="55"/>
        <v>#VALUE!</v>
      </c>
      <c r="M554" s="32" t="str">
        <f t="shared" si="58"/>
        <v/>
      </c>
      <c r="N554" s="63" t="e">
        <f t="shared" si="57"/>
        <v>#VALUE!</v>
      </c>
      <c r="O554" s="86"/>
      <c r="P554" s="223"/>
      <c r="Q554" s="224"/>
      <c r="R554" s="135"/>
      <c r="S554" s="139" cm="1">
        <f t="array" ref="S554">IF(P554="",0,IF(OR(O554=";",P554="EQU",P554="ORG"),0,HlpGetInstructionSize(P554,Q554,R554,$AC$12)))</f>
        <v>0</v>
      </c>
      <c r="V554" s="42" t="str">
        <f t="shared" si="56"/>
        <v/>
      </c>
      <c r="W554" s="16"/>
      <c r="X554" s="28"/>
      <c r="Y554" s="29"/>
      <c r="AA554" s="66"/>
      <c r="AB554" s="11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28"/>
      <c r="AD554" s="129"/>
      <c r="AE554" s="129"/>
      <c r="AF554" s="129"/>
      <c r="AG554" s="129"/>
      <c r="AH554" s="129"/>
      <c r="AI554" s="129"/>
      <c r="AJ554" s="130"/>
    </row>
    <row r="555" spans="11:36">
      <c r="K555" s="76"/>
      <c r="L555" s="48" t="e">
        <f t="shared" si="55"/>
        <v>#VALUE!</v>
      </c>
      <c r="M555" s="32" t="str">
        <f t="shared" si="58"/>
        <v/>
      </c>
      <c r="N555" s="63" t="e">
        <f t="shared" si="57"/>
        <v>#VALUE!</v>
      </c>
      <c r="O555" s="86"/>
      <c r="P555" s="223"/>
      <c r="Q555" s="224"/>
      <c r="R555" s="135"/>
      <c r="S555" s="139" cm="1">
        <f t="array" ref="S555">IF(P555="",0,IF(OR(O555=";",P555="EQU",P555="ORG"),0,HlpGetInstructionSize(P555,Q555,R555,$AC$12)))</f>
        <v>0</v>
      </c>
      <c r="V555" s="42" t="str">
        <f t="shared" si="56"/>
        <v/>
      </c>
      <c r="W555" s="16"/>
      <c r="X555" s="28"/>
      <c r="Y555" s="29"/>
      <c r="AA555" s="66"/>
      <c r="AB555" s="11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28"/>
      <c r="AD555" s="129"/>
      <c r="AE555" s="129"/>
      <c r="AF555" s="129"/>
      <c r="AG555" s="129"/>
      <c r="AH555" s="129"/>
      <c r="AI555" s="129"/>
      <c r="AJ555" s="130"/>
    </row>
    <row r="556" spans="11:36">
      <c r="K556" s="76"/>
      <c r="L556" s="48" t="e">
        <f t="shared" si="55"/>
        <v>#VALUE!</v>
      </c>
      <c r="M556" s="32" t="str">
        <f t="shared" si="58"/>
        <v/>
      </c>
      <c r="N556" s="63" t="e">
        <f t="shared" si="57"/>
        <v>#VALUE!</v>
      </c>
      <c r="O556" s="86"/>
      <c r="P556" s="223"/>
      <c r="Q556" s="224"/>
      <c r="R556" s="135"/>
      <c r="S556" s="139" cm="1">
        <f t="array" ref="S556">IF(P556="",0,IF(OR(O556=";",P556="EQU",P556="ORG"),0,HlpGetInstructionSize(P556,Q556,R556,$AC$12)))</f>
        <v>0</v>
      </c>
      <c r="V556" s="42" t="str">
        <f t="shared" si="56"/>
        <v/>
      </c>
      <c r="W556" s="16"/>
      <c r="X556" s="28"/>
      <c r="Y556" s="29"/>
      <c r="AA556" s="66"/>
      <c r="AB556" s="11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28"/>
      <c r="AD556" s="129"/>
      <c r="AE556" s="129"/>
      <c r="AF556" s="129"/>
      <c r="AG556" s="129"/>
      <c r="AH556" s="129"/>
      <c r="AI556" s="129"/>
      <c r="AJ556" s="130"/>
    </row>
    <row r="557" spans="11:36">
      <c r="K557" s="76"/>
      <c r="L557" s="48" t="e">
        <f t="shared" si="55"/>
        <v>#VALUE!</v>
      </c>
      <c r="M557" s="32" t="str">
        <f t="shared" si="58"/>
        <v/>
      </c>
      <c r="N557" s="63" t="e">
        <f t="shared" si="57"/>
        <v>#VALUE!</v>
      </c>
      <c r="O557" s="86"/>
      <c r="P557" s="223"/>
      <c r="Q557" s="224"/>
      <c r="R557" s="135"/>
      <c r="S557" s="139" cm="1">
        <f t="array" ref="S557">IF(P557="",0,IF(OR(O557=";",P557="EQU",P557="ORG"),0,HlpGetInstructionSize(P557,Q557,R557,$AC$12)))</f>
        <v>0</v>
      </c>
      <c r="V557" s="42" t="str">
        <f t="shared" si="56"/>
        <v/>
      </c>
      <c r="W557" s="16"/>
      <c r="X557" s="28"/>
      <c r="Y557" s="29"/>
      <c r="AA557" s="66"/>
      <c r="AB557" s="11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28"/>
      <c r="AD557" s="129"/>
      <c r="AE557" s="129"/>
      <c r="AF557" s="129"/>
      <c r="AG557" s="129"/>
      <c r="AH557" s="129"/>
      <c r="AI557" s="129"/>
      <c r="AJ557" s="130"/>
    </row>
    <row r="558" spans="11:36">
      <c r="K558" s="76"/>
      <c r="L558" s="48" t="e">
        <f t="shared" si="55"/>
        <v>#VALUE!</v>
      </c>
      <c r="M558" s="32" t="str">
        <f t="shared" si="58"/>
        <v/>
      </c>
      <c r="N558" s="63" t="e">
        <f t="shared" si="57"/>
        <v>#VALUE!</v>
      </c>
      <c r="O558" s="86"/>
      <c r="P558" s="223"/>
      <c r="Q558" s="224"/>
      <c r="R558" s="135"/>
      <c r="S558" s="139" cm="1">
        <f t="array" ref="S558">IF(P558="",0,IF(OR(O558=";",P558="EQU",P558="ORG"),0,HlpGetInstructionSize(P558,Q558,R558,$AC$12)))</f>
        <v>0</v>
      </c>
      <c r="V558" s="42" t="str">
        <f t="shared" si="56"/>
        <v/>
      </c>
      <c r="W558" s="16"/>
      <c r="X558" s="28"/>
      <c r="Y558" s="29"/>
      <c r="AA558" s="66"/>
      <c r="AB558" s="11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28"/>
      <c r="AD558" s="129"/>
      <c r="AE558" s="129"/>
      <c r="AF558" s="129"/>
      <c r="AG558" s="129"/>
      <c r="AH558" s="129"/>
      <c r="AI558" s="129"/>
      <c r="AJ558" s="130"/>
    </row>
    <row r="559" spans="11:36">
      <c r="K559" s="76"/>
      <c r="L559" s="48" t="e">
        <f t="shared" si="55"/>
        <v>#VALUE!</v>
      </c>
      <c r="M559" s="32" t="str">
        <f t="shared" si="58"/>
        <v/>
      </c>
      <c r="N559" s="63" t="e">
        <f t="shared" si="57"/>
        <v>#VALUE!</v>
      </c>
      <c r="O559" s="86"/>
      <c r="P559" s="223"/>
      <c r="Q559" s="224"/>
      <c r="R559" s="135"/>
      <c r="S559" s="139" cm="1">
        <f t="array" ref="S559">IF(P559="",0,IF(OR(O559=";",P559="EQU",P559="ORG"),0,HlpGetInstructionSize(P559,Q559,R559,$AC$12)))</f>
        <v>0</v>
      </c>
      <c r="V559" s="42" t="str">
        <f t="shared" si="56"/>
        <v/>
      </c>
      <c r="W559" s="16"/>
      <c r="X559" s="28"/>
      <c r="Y559" s="29"/>
      <c r="AA559" s="66"/>
      <c r="AB559" s="11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28"/>
      <c r="AD559" s="129"/>
      <c r="AE559" s="129"/>
      <c r="AF559" s="129"/>
      <c r="AG559" s="129"/>
      <c r="AH559" s="129"/>
      <c r="AI559" s="129"/>
      <c r="AJ559" s="130"/>
    </row>
    <row r="560" spans="11:36">
      <c r="K560" s="76"/>
      <c r="L560" s="48" t="e">
        <f t="shared" si="55"/>
        <v>#VALUE!</v>
      </c>
      <c r="M560" s="32" t="str">
        <f t="shared" si="58"/>
        <v/>
      </c>
      <c r="N560" s="63" t="e">
        <f t="shared" si="57"/>
        <v>#VALUE!</v>
      </c>
      <c r="O560" s="86"/>
      <c r="P560" s="223"/>
      <c r="Q560" s="224"/>
      <c r="R560" s="135"/>
      <c r="S560" s="139" cm="1">
        <f t="array" ref="S560">IF(P560="",0,IF(OR(O560=";",P560="EQU",P560="ORG"),0,HlpGetInstructionSize(P560,Q560,R560,$AC$12)))</f>
        <v>0</v>
      </c>
      <c r="V560" s="42" t="str">
        <f t="shared" si="56"/>
        <v/>
      </c>
      <c r="W560" s="16"/>
      <c r="X560" s="28"/>
      <c r="Y560" s="29"/>
      <c r="AA560" s="66"/>
      <c r="AB560" s="11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28"/>
      <c r="AD560" s="129"/>
      <c r="AE560" s="129"/>
      <c r="AF560" s="129"/>
      <c r="AG560" s="129"/>
      <c r="AH560" s="129"/>
      <c r="AI560" s="129"/>
      <c r="AJ560" s="130"/>
    </row>
    <row r="561" spans="11:36">
      <c r="K561" s="76"/>
      <c r="L561" s="48" t="e">
        <f t="shared" si="55"/>
        <v>#VALUE!</v>
      </c>
      <c r="M561" s="32" t="str">
        <f t="shared" si="58"/>
        <v/>
      </c>
      <c r="N561" s="63" t="e">
        <f t="shared" si="57"/>
        <v>#VALUE!</v>
      </c>
      <c r="O561" s="86"/>
      <c r="P561" s="223"/>
      <c r="Q561" s="224"/>
      <c r="R561" s="135"/>
      <c r="S561" s="139" cm="1">
        <f t="array" ref="S561">IF(P561="",0,IF(OR(O561=";",P561="EQU",P561="ORG"),0,HlpGetInstructionSize(P561,Q561,R561,$AC$12)))</f>
        <v>0</v>
      </c>
      <c r="V561" s="42" t="str">
        <f t="shared" si="56"/>
        <v/>
      </c>
      <c r="W561" s="16"/>
      <c r="X561" s="28"/>
      <c r="Y561" s="29"/>
      <c r="AA561" s="66"/>
      <c r="AB561" s="11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28"/>
      <c r="AD561" s="129"/>
      <c r="AE561" s="129"/>
      <c r="AF561" s="129"/>
      <c r="AG561" s="129"/>
      <c r="AH561" s="129"/>
      <c r="AI561" s="129"/>
      <c r="AJ561" s="130"/>
    </row>
    <row r="562" spans="11:36">
      <c r="K562" s="76"/>
      <c r="L562" s="48" t="e">
        <f t="shared" si="55"/>
        <v>#VALUE!</v>
      </c>
      <c r="M562" s="32" t="str">
        <f t="shared" si="58"/>
        <v/>
      </c>
      <c r="N562" s="63" t="e">
        <f t="shared" si="57"/>
        <v>#VALUE!</v>
      </c>
      <c r="O562" s="86"/>
      <c r="P562" s="223"/>
      <c r="Q562" s="224"/>
      <c r="R562" s="135"/>
      <c r="S562" s="139" cm="1">
        <f t="array" ref="S562">IF(P562="",0,IF(OR(O562=";",P562="EQU",P562="ORG"),0,HlpGetInstructionSize(P562,Q562,R562,$AC$12)))</f>
        <v>0</v>
      </c>
      <c r="V562" s="42" t="str">
        <f t="shared" si="56"/>
        <v/>
      </c>
      <c r="W562" s="16"/>
      <c r="X562" s="28"/>
      <c r="Y562" s="29"/>
      <c r="AA562" s="66"/>
      <c r="AB562" s="11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28"/>
      <c r="AD562" s="129"/>
      <c r="AE562" s="129"/>
      <c r="AF562" s="129"/>
      <c r="AG562" s="129"/>
      <c r="AH562" s="129"/>
      <c r="AI562" s="129"/>
      <c r="AJ562" s="130"/>
    </row>
    <row r="563" spans="11:36">
      <c r="K563" s="76"/>
      <c r="L563" s="48" t="e">
        <f t="shared" si="55"/>
        <v>#VALUE!</v>
      </c>
      <c r="M563" s="32" t="str">
        <f t="shared" si="58"/>
        <v/>
      </c>
      <c r="N563" s="63" t="e">
        <f t="shared" si="57"/>
        <v>#VALUE!</v>
      </c>
      <c r="O563" s="86"/>
      <c r="P563" s="223"/>
      <c r="Q563" s="224"/>
      <c r="R563" s="135"/>
      <c r="S563" s="139" cm="1">
        <f t="array" ref="S563">IF(P563="",0,IF(OR(O563=";",P563="EQU",P563="ORG"),0,HlpGetInstructionSize(P563,Q563,R563,$AC$12)))</f>
        <v>0</v>
      </c>
      <c r="V563" s="42" t="str">
        <f t="shared" si="56"/>
        <v/>
      </c>
      <c r="W563" s="16"/>
      <c r="X563" s="28"/>
      <c r="Y563" s="29"/>
      <c r="AA563" s="66"/>
      <c r="AB563" s="11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28"/>
      <c r="AD563" s="129"/>
      <c r="AE563" s="129"/>
      <c r="AF563" s="129"/>
      <c r="AG563" s="129"/>
      <c r="AH563" s="129"/>
      <c r="AI563" s="129"/>
      <c r="AJ563" s="130"/>
    </row>
    <row r="564" spans="11:36">
      <c r="K564" s="76"/>
      <c r="L564" s="48" t="e">
        <f t="shared" si="55"/>
        <v>#VALUE!</v>
      </c>
      <c r="M564" s="32" t="str">
        <f t="shared" si="58"/>
        <v/>
      </c>
      <c r="N564" s="63" t="e">
        <f t="shared" si="57"/>
        <v>#VALUE!</v>
      </c>
      <c r="O564" s="86"/>
      <c r="P564" s="223"/>
      <c r="Q564" s="224"/>
      <c r="R564" s="135"/>
      <c r="S564" s="139" cm="1">
        <f t="array" ref="S564">IF(P564="",0,IF(OR(O564=";",P564="EQU",P564="ORG"),0,HlpGetInstructionSize(P564,Q564,R564,$AC$12)))</f>
        <v>0</v>
      </c>
      <c r="V564" s="42" t="str">
        <f t="shared" si="56"/>
        <v/>
      </c>
      <c r="W564" s="16"/>
      <c r="X564" s="28"/>
      <c r="Y564" s="29"/>
      <c r="AA564" s="66"/>
      <c r="AB564" s="11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28"/>
      <c r="AD564" s="129"/>
      <c r="AE564" s="129"/>
      <c r="AF564" s="129"/>
      <c r="AG564" s="129"/>
      <c r="AH564" s="129"/>
      <c r="AI564" s="129"/>
      <c r="AJ564" s="130"/>
    </row>
    <row r="565" spans="11:36">
      <c r="K565" s="76"/>
      <c r="L565" s="48" t="e">
        <f t="shared" si="55"/>
        <v>#VALUE!</v>
      </c>
      <c r="M565" s="32" t="str">
        <f t="shared" si="58"/>
        <v/>
      </c>
      <c r="N565" s="63" t="e">
        <f t="shared" si="57"/>
        <v>#VALUE!</v>
      </c>
      <c r="O565" s="86"/>
      <c r="P565" s="223"/>
      <c r="Q565" s="224"/>
      <c r="R565" s="135"/>
      <c r="S565" s="139" cm="1">
        <f t="array" ref="S565">IF(P565="",0,IF(OR(O565=";",P565="EQU",P565="ORG"),0,HlpGetInstructionSize(P565,Q565,R565,$AC$12)))</f>
        <v>0</v>
      </c>
      <c r="V565" s="42" t="str">
        <f t="shared" si="56"/>
        <v/>
      </c>
      <c r="W565" s="16"/>
      <c r="X565" s="28"/>
      <c r="Y565" s="29"/>
      <c r="AA565" s="66"/>
      <c r="AB565" s="11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28"/>
      <c r="AD565" s="129"/>
      <c r="AE565" s="129"/>
      <c r="AF565" s="129"/>
      <c r="AG565" s="129"/>
      <c r="AH565" s="129"/>
      <c r="AI565" s="129"/>
      <c r="AJ565" s="130"/>
    </row>
    <row r="566" spans="11:36">
      <c r="K566" s="76"/>
      <c r="L566" s="48" t="e">
        <f t="shared" si="55"/>
        <v>#VALUE!</v>
      </c>
      <c r="M566" s="32" t="str">
        <f t="shared" si="58"/>
        <v/>
      </c>
      <c r="N566" s="63" t="e">
        <f t="shared" si="57"/>
        <v>#VALUE!</v>
      </c>
      <c r="O566" s="86"/>
      <c r="P566" s="223"/>
      <c r="Q566" s="224"/>
      <c r="R566" s="135"/>
      <c r="S566" s="139" cm="1">
        <f t="array" ref="S566">IF(P566="",0,IF(OR(O566=";",P566="EQU",P566="ORG"),0,HlpGetInstructionSize(P566,Q566,R566,$AC$12)))</f>
        <v>0</v>
      </c>
      <c r="V566" s="42" t="str">
        <f t="shared" si="56"/>
        <v/>
      </c>
      <c r="W566" s="16"/>
      <c r="X566" s="28"/>
      <c r="Y566" s="29"/>
      <c r="AA566" s="66"/>
      <c r="AB566" s="11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28"/>
      <c r="AD566" s="129"/>
      <c r="AE566" s="129"/>
      <c r="AF566" s="129"/>
      <c r="AG566" s="129"/>
      <c r="AH566" s="129"/>
      <c r="AI566" s="129"/>
      <c r="AJ566" s="130"/>
    </row>
    <row r="567" spans="11:36">
      <c r="K567" s="76"/>
      <c r="L567" s="48" t="e">
        <f t="shared" si="55"/>
        <v>#VALUE!</v>
      </c>
      <c r="M567" s="32" t="str">
        <f t="shared" si="58"/>
        <v/>
      </c>
      <c r="N567" s="63" t="e">
        <f t="shared" si="57"/>
        <v>#VALUE!</v>
      </c>
      <c r="O567" s="86"/>
      <c r="P567" s="223"/>
      <c r="Q567" s="224"/>
      <c r="R567" s="135"/>
      <c r="S567" s="139" cm="1">
        <f t="array" ref="S567">IF(P567="",0,IF(OR(O567=";",P567="EQU",P567="ORG"),0,HlpGetInstructionSize(P567,Q567,R567,$AC$12)))</f>
        <v>0</v>
      </c>
      <c r="V567" s="42" t="str">
        <f t="shared" si="56"/>
        <v/>
      </c>
      <c r="W567" s="16"/>
      <c r="X567" s="28"/>
      <c r="Y567" s="29"/>
      <c r="AA567" s="66"/>
      <c r="AB567" s="11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28"/>
      <c r="AD567" s="129"/>
      <c r="AE567" s="129"/>
      <c r="AF567" s="129"/>
      <c r="AG567" s="129"/>
      <c r="AH567" s="129"/>
      <c r="AI567" s="129"/>
      <c r="AJ567" s="130"/>
    </row>
    <row r="568" spans="11:36">
      <c r="K568" s="76"/>
      <c r="L568" s="48" t="e">
        <f t="shared" si="55"/>
        <v>#VALUE!</v>
      </c>
      <c r="M568" s="32" t="str">
        <f t="shared" si="58"/>
        <v/>
      </c>
      <c r="N568" s="63" t="e">
        <f t="shared" si="57"/>
        <v>#VALUE!</v>
      </c>
      <c r="O568" s="86"/>
      <c r="P568" s="223"/>
      <c r="Q568" s="224"/>
      <c r="R568" s="135"/>
      <c r="S568" s="139" cm="1">
        <f t="array" ref="S568">IF(P568="",0,IF(OR(O568=";",P568="EQU",P568="ORG"),0,HlpGetInstructionSize(P568,Q568,R568,$AC$12)))</f>
        <v>0</v>
      </c>
      <c r="V568" s="42" t="str">
        <f t="shared" si="56"/>
        <v/>
      </c>
      <c r="W568" s="16"/>
      <c r="X568" s="28"/>
      <c r="Y568" s="29"/>
      <c r="AA568" s="66"/>
      <c r="AB568" s="11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28"/>
      <c r="AD568" s="129"/>
      <c r="AE568" s="129"/>
      <c r="AF568" s="129"/>
      <c r="AG568" s="129"/>
      <c r="AH568" s="129"/>
      <c r="AI568" s="129"/>
      <c r="AJ568" s="130"/>
    </row>
    <row r="569" spans="11:36">
      <c r="K569" s="76"/>
      <c r="L569" s="48" t="e">
        <f t="shared" si="55"/>
        <v>#VALUE!</v>
      </c>
      <c r="M569" s="32" t="str">
        <f t="shared" si="58"/>
        <v/>
      </c>
      <c r="N569" s="63" t="e">
        <f t="shared" si="57"/>
        <v>#VALUE!</v>
      </c>
      <c r="O569" s="86"/>
      <c r="P569" s="223"/>
      <c r="Q569" s="224"/>
      <c r="R569" s="135"/>
      <c r="S569" s="139" cm="1">
        <f t="array" ref="S569">IF(P569="",0,IF(OR(O569=";",P569="EQU",P569="ORG"),0,HlpGetInstructionSize(P569,Q569,R569,$AC$12)))</f>
        <v>0</v>
      </c>
      <c r="V569" s="42" t="str">
        <f t="shared" si="56"/>
        <v/>
      </c>
      <c r="W569" s="16"/>
      <c r="X569" s="28"/>
      <c r="Y569" s="29"/>
      <c r="AA569" s="66"/>
      <c r="AB569" s="11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28"/>
      <c r="AD569" s="129"/>
      <c r="AE569" s="129"/>
      <c r="AF569" s="129"/>
      <c r="AG569" s="129"/>
      <c r="AH569" s="129"/>
      <c r="AI569" s="129"/>
      <c r="AJ569" s="130"/>
    </row>
    <row r="570" spans="11:36">
      <c r="K570" s="76"/>
      <c r="L570" s="48" t="e">
        <f t="shared" si="55"/>
        <v>#VALUE!</v>
      </c>
      <c r="M570" s="32" t="str">
        <f t="shared" si="58"/>
        <v/>
      </c>
      <c r="N570" s="63" t="e">
        <f t="shared" si="57"/>
        <v>#VALUE!</v>
      </c>
      <c r="O570" s="86"/>
      <c r="P570" s="223"/>
      <c r="Q570" s="224"/>
      <c r="R570" s="135"/>
      <c r="S570" s="139" cm="1">
        <f t="array" ref="S570">IF(P570="",0,IF(OR(O570=";",P570="EQU",P570="ORG"),0,HlpGetInstructionSize(P570,Q570,R570,$AC$12)))</f>
        <v>0</v>
      </c>
      <c r="V570" s="42" t="str">
        <f t="shared" si="56"/>
        <v/>
      </c>
      <c r="W570" s="16"/>
      <c r="X570" s="28"/>
      <c r="Y570" s="29"/>
      <c r="AA570" s="66"/>
      <c r="AB570" s="11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28"/>
      <c r="AD570" s="129"/>
      <c r="AE570" s="129"/>
      <c r="AF570" s="129"/>
      <c r="AG570" s="129"/>
      <c r="AH570" s="129"/>
      <c r="AI570" s="129"/>
      <c r="AJ570" s="130"/>
    </row>
    <row r="571" spans="11:36">
      <c r="K571" s="76"/>
      <c r="L571" s="48" t="e">
        <f t="shared" si="55"/>
        <v>#VALUE!</v>
      </c>
      <c r="M571" s="32" t="str">
        <f t="shared" si="58"/>
        <v/>
      </c>
      <c r="N571" s="63" t="e">
        <f t="shared" si="57"/>
        <v>#VALUE!</v>
      </c>
      <c r="O571" s="86"/>
      <c r="P571" s="223"/>
      <c r="Q571" s="224"/>
      <c r="R571" s="135"/>
      <c r="S571" s="139" cm="1">
        <f t="array" ref="S571">IF(P571="",0,IF(OR(O571=";",P571="EQU",P571="ORG"),0,HlpGetInstructionSize(P571,Q571,R571,$AC$12)))</f>
        <v>0</v>
      </c>
      <c r="V571" s="42" t="str">
        <f t="shared" si="56"/>
        <v/>
      </c>
      <c r="W571" s="16"/>
      <c r="X571" s="28"/>
      <c r="Y571" s="29"/>
      <c r="AA571" s="66"/>
      <c r="AB571" s="11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28"/>
      <c r="AD571" s="129"/>
      <c r="AE571" s="129"/>
      <c r="AF571" s="129"/>
      <c r="AG571" s="129"/>
      <c r="AH571" s="129"/>
      <c r="AI571" s="129"/>
      <c r="AJ571" s="130"/>
    </row>
    <row r="572" spans="11:36">
      <c r="K572" s="76"/>
      <c r="L572" s="48" t="e">
        <f t="shared" si="55"/>
        <v>#VALUE!</v>
      </c>
      <c r="M572" s="32" t="str">
        <f t="shared" si="58"/>
        <v/>
      </c>
      <c r="N572" s="63" t="e">
        <f t="shared" si="57"/>
        <v>#VALUE!</v>
      </c>
      <c r="O572" s="86"/>
      <c r="P572" s="223"/>
      <c r="Q572" s="224"/>
      <c r="R572" s="135"/>
      <c r="S572" s="139" cm="1">
        <f t="array" ref="S572">IF(P572="",0,IF(OR(O572=";",P572="EQU",P572="ORG"),0,HlpGetInstructionSize(P572,Q572,R572,$AC$12)))</f>
        <v>0</v>
      </c>
      <c r="V572" s="42" t="str">
        <f t="shared" si="56"/>
        <v/>
      </c>
      <c r="W572" s="16"/>
      <c r="X572" s="28"/>
      <c r="Y572" s="29"/>
      <c r="AA572" s="66"/>
      <c r="AB572" s="11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28"/>
      <c r="AD572" s="129"/>
      <c r="AE572" s="129"/>
      <c r="AF572" s="129"/>
      <c r="AG572" s="129"/>
      <c r="AH572" s="129"/>
      <c r="AI572" s="129"/>
      <c r="AJ572" s="130"/>
    </row>
    <row r="573" spans="11:36">
      <c r="K573" s="76"/>
      <c r="L573" s="48" t="e">
        <f t="shared" si="55"/>
        <v>#VALUE!</v>
      </c>
      <c r="M573" s="32" t="str">
        <f t="shared" si="58"/>
        <v/>
      </c>
      <c r="N573" s="63" t="e">
        <f t="shared" si="57"/>
        <v>#VALUE!</v>
      </c>
      <c r="O573" s="86"/>
      <c r="P573" s="223"/>
      <c r="Q573" s="224"/>
      <c r="R573" s="135"/>
      <c r="S573" s="139" cm="1">
        <f t="array" ref="S573">IF(P573="",0,IF(OR(O573=";",P573="EQU",P573="ORG"),0,HlpGetInstructionSize(P573,Q573,R573,$AC$12)))</f>
        <v>0</v>
      </c>
      <c r="V573" s="42" t="str">
        <f t="shared" si="56"/>
        <v/>
      </c>
      <c r="W573" s="16"/>
      <c r="X573" s="28"/>
      <c r="Y573" s="29"/>
      <c r="AA573" s="66"/>
      <c r="AB573" s="11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28"/>
      <c r="AD573" s="129"/>
      <c r="AE573" s="129"/>
      <c r="AF573" s="129"/>
      <c r="AG573" s="129"/>
      <c r="AH573" s="129"/>
      <c r="AI573" s="129"/>
      <c r="AJ573" s="130"/>
    </row>
    <row r="574" spans="11:36">
      <c r="K574" s="76"/>
      <c r="L574" s="48" t="e">
        <f t="shared" si="55"/>
        <v>#VALUE!</v>
      </c>
      <c r="M574" s="32" t="str">
        <f t="shared" si="58"/>
        <v/>
      </c>
      <c r="N574" s="63" t="e">
        <f t="shared" si="57"/>
        <v>#VALUE!</v>
      </c>
      <c r="O574" s="86"/>
      <c r="P574" s="223"/>
      <c r="Q574" s="224"/>
      <c r="R574" s="135"/>
      <c r="S574" s="139" cm="1">
        <f t="array" ref="S574">IF(P574="",0,IF(OR(O574=";",P574="EQU",P574="ORG"),0,HlpGetInstructionSize(P574,Q574,R574,$AC$12)))</f>
        <v>0</v>
      </c>
      <c r="V574" s="42" t="str">
        <f t="shared" si="56"/>
        <v/>
      </c>
      <c r="W574" s="16"/>
      <c r="X574" s="28"/>
      <c r="Y574" s="29"/>
      <c r="AA574" s="66"/>
      <c r="AB574" s="11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28"/>
      <c r="AD574" s="129"/>
      <c r="AE574" s="129"/>
      <c r="AF574" s="129"/>
      <c r="AG574" s="129"/>
      <c r="AH574" s="129"/>
      <c r="AI574" s="129"/>
      <c r="AJ574" s="130"/>
    </row>
    <row r="575" spans="11:36">
      <c r="K575" s="76"/>
      <c r="L575" s="48" t="e">
        <f t="shared" si="55"/>
        <v>#VALUE!</v>
      </c>
      <c r="M575" s="32" t="str">
        <f t="shared" si="58"/>
        <v/>
      </c>
      <c r="N575" s="63" t="e">
        <f t="shared" si="57"/>
        <v>#VALUE!</v>
      </c>
      <c r="O575" s="86"/>
      <c r="P575" s="223"/>
      <c r="Q575" s="224"/>
      <c r="R575" s="135"/>
      <c r="S575" s="139" cm="1">
        <f t="array" ref="S575">IF(P575="",0,IF(OR(O575=";",P575="EQU",P575="ORG"),0,HlpGetInstructionSize(P575,Q575,R575,$AC$12)))</f>
        <v>0</v>
      </c>
      <c r="V575" s="42" t="str">
        <f t="shared" si="56"/>
        <v/>
      </c>
      <c r="W575" s="16"/>
      <c r="X575" s="28"/>
      <c r="Y575" s="29"/>
      <c r="AA575" s="66"/>
      <c r="AB575" s="11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28"/>
      <c r="AD575" s="129"/>
      <c r="AE575" s="129"/>
      <c r="AF575" s="129"/>
      <c r="AG575" s="129"/>
      <c r="AH575" s="129"/>
      <c r="AI575" s="129"/>
      <c r="AJ575" s="130"/>
    </row>
    <row r="576" spans="11:36">
      <c r="K576" s="76"/>
      <c r="L576" s="48" t="e">
        <f t="shared" si="55"/>
        <v>#VALUE!</v>
      </c>
      <c r="M576" s="32" t="str">
        <f t="shared" si="58"/>
        <v/>
      </c>
      <c r="N576" s="63" t="e">
        <f t="shared" si="57"/>
        <v>#VALUE!</v>
      </c>
      <c r="O576" s="86"/>
      <c r="P576" s="223"/>
      <c r="Q576" s="224"/>
      <c r="R576" s="135"/>
      <c r="S576" s="139" cm="1">
        <f t="array" ref="S576">IF(P576="",0,IF(OR(O576=";",P576="EQU",P576="ORG"),0,HlpGetInstructionSize(P576,Q576,R576,$AC$12)))</f>
        <v>0</v>
      </c>
      <c r="V576" s="42" t="str">
        <f t="shared" si="56"/>
        <v/>
      </c>
      <c r="W576" s="16"/>
      <c r="X576" s="28"/>
      <c r="Y576" s="29"/>
      <c r="AA576" s="66"/>
      <c r="AB576" s="11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28"/>
      <c r="AD576" s="129"/>
      <c r="AE576" s="129"/>
      <c r="AF576" s="129"/>
      <c r="AG576" s="129"/>
      <c r="AH576" s="129"/>
      <c r="AI576" s="129"/>
      <c r="AJ576" s="130"/>
    </row>
    <row r="577" spans="11:36">
      <c r="K577" s="76"/>
      <c r="L577" s="48" t="e">
        <f t="shared" si="55"/>
        <v>#VALUE!</v>
      </c>
      <c r="M577" s="32" t="str">
        <f t="shared" si="58"/>
        <v/>
      </c>
      <c r="N577" s="63" t="e">
        <f t="shared" si="57"/>
        <v>#VALUE!</v>
      </c>
      <c r="O577" s="86"/>
      <c r="P577" s="223"/>
      <c r="Q577" s="224"/>
      <c r="R577" s="135"/>
      <c r="S577" s="139" cm="1">
        <f t="array" ref="S577">IF(P577="",0,IF(OR(O577=";",P577="EQU",P577="ORG"),0,HlpGetInstructionSize(P577,Q577,R577,$AC$12)))</f>
        <v>0</v>
      </c>
      <c r="V577" s="42" t="str">
        <f t="shared" si="56"/>
        <v/>
      </c>
      <c r="W577" s="16"/>
      <c r="X577" s="28"/>
      <c r="Y577" s="29"/>
      <c r="AA577" s="66"/>
      <c r="AB577" s="11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28"/>
      <c r="AD577" s="129"/>
      <c r="AE577" s="129"/>
      <c r="AF577" s="129"/>
      <c r="AG577" s="129"/>
      <c r="AH577" s="129"/>
      <c r="AI577" s="129"/>
      <c r="AJ577" s="130"/>
    </row>
    <row r="578" spans="11:36">
      <c r="K578" s="76"/>
      <c r="L578" s="48" t="e">
        <f t="shared" si="55"/>
        <v>#VALUE!</v>
      </c>
      <c r="M578" s="32" t="str">
        <f t="shared" si="58"/>
        <v/>
      </c>
      <c r="N578" s="63" t="e">
        <f t="shared" si="57"/>
        <v>#VALUE!</v>
      </c>
      <c r="O578" s="86"/>
      <c r="P578" s="223"/>
      <c r="Q578" s="224"/>
      <c r="R578" s="135"/>
      <c r="S578" s="139" cm="1">
        <f t="array" ref="S578">IF(P578="",0,IF(OR(O578=";",P578="EQU",P578="ORG"),0,HlpGetInstructionSize(P578,Q578,R578,$AC$12)))</f>
        <v>0</v>
      </c>
      <c r="V578" s="42" t="str">
        <f t="shared" si="56"/>
        <v/>
      </c>
      <c r="W578" s="16"/>
      <c r="X578" s="28"/>
      <c r="Y578" s="29"/>
      <c r="AA578" s="66"/>
      <c r="AB578" s="11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28"/>
      <c r="AD578" s="129"/>
      <c r="AE578" s="129"/>
      <c r="AF578" s="129"/>
      <c r="AG578" s="129"/>
      <c r="AH578" s="129"/>
      <c r="AI578" s="129"/>
      <c r="AJ578" s="130"/>
    </row>
    <row r="579" spans="11:36">
      <c r="K579" s="76"/>
      <c r="L579" s="48" t="e">
        <f t="shared" si="55"/>
        <v>#VALUE!</v>
      </c>
      <c r="M579" s="32" t="str">
        <f t="shared" si="58"/>
        <v/>
      </c>
      <c r="N579" s="63" t="e">
        <f t="shared" si="57"/>
        <v>#VALUE!</v>
      </c>
      <c r="O579" s="86"/>
      <c r="P579" s="223"/>
      <c r="Q579" s="224"/>
      <c r="R579" s="135"/>
      <c r="S579" s="139" cm="1">
        <f t="array" ref="S579">IF(P579="",0,IF(OR(O579=";",P579="EQU",P579="ORG"),0,HlpGetInstructionSize(P579,Q579,R579,$AC$12)))</f>
        <v>0</v>
      </c>
      <c r="V579" s="42" t="str">
        <f t="shared" si="56"/>
        <v/>
      </c>
      <c r="W579" s="16"/>
      <c r="X579" s="28"/>
      <c r="Y579" s="29"/>
      <c r="AA579" s="66"/>
      <c r="AB579" s="11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28"/>
      <c r="AD579" s="129"/>
      <c r="AE579" s="129"/>
      <c r="AF579" s="129"/>
      <c r="AG579" s="129"/>
      <c r="AH579" s="129"/>
      <c r="AI579" s="129"/>
      <c r="AJ579" s="130"/>
    </row>
    <row r="580" spans="11:36">
      <c r="K580" s="76"/>
      <c r="L580" s="48" t="e">
        <f t="shared" si="55"/>
        <v>#VALUE!</v>
      </c>
      <c r="M580" s="32" t="str">
        <f t="shared" si="58"/>
        <v/>
      </c>
      <c r="N580" s="63" t="e">
        <f t="shared" si="57"/>
        <v>#VALUE!</v>
      </c>
      <c r="O580" s="86"/>
      <c r="P580" s="223"/>
      <c r="Q580" s="224"/>
      <c r="R580" s="135"/>
      <c r="S580" s="139" cm="1">
        <f t="array" ref="S580">IF(P580="",0,IF(OR(O580=";",P580="EQU",P580="ORG"),0,HlpGetInstructionSize(P580,Q580,R580,$AC$12)))</f>
        <v>0</v>
      </c>
      <c r="V580" s="42" t="str">
        <f t="shared" si="56"/>
        <v/>
      </c>
      <c r="W580" s="16"/>
      <c r="X580" s="28"/>
      <c r="Y580" s="29"/>
      <c r="AA580" s="66"/>
      <c r="AB580" s="11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28"/>
      <c r="AD580" s="129"/>
      <c r="AE580" s="129"/>
      <c r="AF580" s="129"/>
      <c r="AG580" s="129"/>
      <c r="AH580" s="129"/>
      <c r="AI580" s="129"/>
      <c r="AJ580" s="130"/>
    </row>
    <row r="581" spans="11:36">
      <c r="K581" s="76"/>
      <c r="L581" s="48" t="e">
        <f t="shared" si="55"/>
        <v>#VALUE!</v>
      </c>
      <c r="M581" s="32" t="str">
        <f t="shared" si="58"/>
        <v/>
      </c>
      <c r="N581" s="63" t="e">
        <f t="shared" si="57"/>
        <v>#VALUE!</v>
      </c>
      <c r="O581" s="86"/>
      <c r="P581" s="223"/>
      <c r="Q581" s="224"/>
      <c r="R581" s="135"/>
      <c r="S581" s="139" cm="1">
        <f t="array" ref="S581">IF(P581="",0,IF(OR(O581=";",P581="EQU",P581="ORG"),0,HlpGetInstructionSize(P581,Q581,R581,$AC$12)))</f>
        <v>0</v>
      </c>
      <c r="V581" s="42" t="str">
        <f t="shared" si="56"/>
        <v/>
      </c>
      <c r="W581" s="16"/>
      <c r="X581" s="28"/>
      <c r="Y581" s="29"/>
      <c r="AA581" s="66"/>
      <c r="AB581" s="11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28"/>
      <c r="AD581" s="129"/>
      <c r="AE581" s="129"/>
      <c r="AF581" s="129"/>
      <c r="AG581" s="129"/>
      <c r="AH581" s="129"/>
      <c r="AI581" s="129"/>
      <c r="AJ581" s="130"/>
    </row>
    <row r="582" spans="11:36">
      <c r="K582" s="76"/>
      <c r="L582" s="48" t="e">
        <f t="shared" si="55"/>
        <v>#VALUE!</v>
      </c>
      <c r="M582" s="32" t="str">
        <f t="shared" si="58"/>
        <v/>
      </c>
      <c r="N582" s="63" t="e">
        <f t="shared" si="57"/>
        <v>#VALUE!</v>
      </c>
      <c r="O582" s="86"/>
      <c r="P582" s="223"/>
      <c r="Q582" s="224"/>
      <c r="R582" s="135"/>
      <c r="S582" s="139" cm="1">
        <f t="array" ref="S582">IF(P582="",0,IF(OR(O582=";",P582="EQU",P582="ORG"),0,HlpGetInstructionSize(P582,Q582,R582,$AC$12)))</f>
        <v>0</v>
      </c>
      <c r="V582" s="42" t="str">
        <f t="shared" si="56"/>
        <v/>
      </c>
      <c r="W582" s="16"/>
      <c r="X582" s="28"/>
      <c r="Y582" s="29"/>
      <c r="AA582" s="66"/>
      <c r="AB582" s="11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28"/>
      <c r="AD582" s="129"/>
      <c r="AE582" s="129"/>
      <c r="AF582" s="129"/>
      <c r="AG582" s="129"/>
      <c r="AH582" s="129"/>
      <c r="AI582" s="129"/>
      <c r="AJ582" s="130"/>
    </row>
    <row r="583" spans="11:36">
      <c r="K583" s="76"/>
      <c r="L583" s="48" t="e">
        <f t="shared" si="55"/>
        <v>#VALUE!</v>
      </c>
      <c r="M583" s="32" t="str">
        <f t="shared" si="58"/>
        <v/>
      </c>
      <c r="N583" s="63" t="e">
        <f t="shared" si="57"/>
        <v>#VALUE!</v>
      </c>
      <c r="O583" s="86"/>
      <c r="P583" s="223"/>
      <c r="Q583" s="224"/>
      <c r="R583" s="135"/>
      <c r="S583" s="139" cm="1">
        <f t="array" ref="S583">IF(P583="",0,IF(OR(O583=";",P583="EQU",P583="ORG"),0,HlpGetInstructionSize(P583,Q583,R583,$AC$12)))</f>
        <v>0</v>
      </c>
      <c r="V583" s="42" t="str">
        <f t="shared" si="56"/>
        <v/>
      </c>
      <c r="W583" s="16"/>
      <c r="X583" s="28"/>
      <c r="Y583" s="29"/>
      <c r="AA583" s="66"/>
      <c r="AB583" s="11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28"/>
      <c r="AD583" s="129"/>
      <c r="AE583" s="129"/>
      <c r="AF583" s="129"/>
      <c r="AG583" s="129"/>
      <c r="AH583" s="129"/>
      <c r="AI583" s="129"/>
      <c r="AJ583" s="130"/>
    </row>
    <row r="584" spans="11:36">
      <c r="K584" s="76"/>
      <c r="L584" s="48" t="e">
        <f t="shared" si="55"/>
        <v>#VALUE!</v>
      </c>
      <c r="M584" s="32" t="str">
        <f t="shared" si="58"/>
        <v/>
      </c>
      <c r="N584" s="63" t="e">
        <f t="shared" si="57"/>
        <v>#VALUE!</v>
      </c>
      <c r="O584" s="86"/>
      <c r="P584" s="223"/>
      <c r="Q584" s="224"/>
      <c r="R584" s="135"/>
      <c r="S584" s="139" cm="1">
        <f t="array" ref="S584">IF(P584="",0,IF(OR(O584=";",P584="EQU",P584="ORG"),0,HlpGetInstructionSize(P584,Q584,R584,$AC$12)))</f>
        <v>0</v>
      </c>
      <c r="V584" s="42" t="str">
        <f t="shared" si="56"/>
        <v/>
      </c>
      <c r="W584" s="16"/>
      <c r="X584" s="28"/>
      <c r="Y584" s="29"/>
      <c r="AA584" s="66"/>
      <c r="AB584" s="11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28"/>
      <c r="AD584" s="129"/>
      <c r="AE584" s="129"/>
      <c r="AF584" s="129"/>
      <c r="AG584" s="129"/>
      <c r="AH584" s="129"/>
      <c r="AI584" s="129"/>
      <c r="AJ584" s="130"/>
    </row>
    <row r="585" spans="11:36">
      <c r="K585" s="76"/>
      <c r="L585" s="48" t="e">
        <f t="shared" ref="L585:L648" si="59">IF(UPPER(P585)="EQU","E",IF(P585="DB","D",IF(O585&lt;&gt;"","L",IF(N585="","F",""))))</f>
        <v>#VALUE!</v>
      </c>
      <c r="M585" s="32" t="str">
        <f t="shared" si="58"/>
        <v/>
      </c>
      <c r="N585" s="63" t="e">
        <f t="shared" si="57"/>
        <v>#VALUE!</v>
      </c>
      <c r="O585" s="86"/>
      <c r="P585" s="223"/>
      <c r="Q585" s="224"/>
      <c r="R585" s="135"/>
      <c r="S585" s="139" cm="1">
        <f t="array" ref="S585">IF(P585="",0,IF(OR(O585=";",P585="EQU",P585="ORG"),0,HlpGetInstructionSize(P585,Q585,R585,$AC$12)))</f>
        <v>0</v>
      </c>
      <c r="V585" s="42" t="str">
        <f t="shared" ref="V585:V648" si="60">IF(W585&gt;0,RIGHT("0000"&amp;DEC2HEX(W585),4),"")</f>
        <v/>
      </c>
      <c r="W585" s="16"/>
      <c r="X585" s="28"/>
      <c r="Y585" s="29"/>
      <c r="AA585" s="66"/>
      <c r="AB585" s="11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28"/>
      <c r="AD585" s="129"/>
      <c r="AE585" s="129"/>
      <c r="AF585" s="129"/>
      <c r="AG585" s="129"/>
      <c r="AH585" s="129"/>
      <c r="AI585" s="129"/>
      <c r="AJ585" s="130"/>
    </row>
    <row r="586" spans="11:36">
      <c r="K586" s="76"/>
      <c r="L586" s="48" t="e">
        <f t="shared" si="59"/>
        <v>#VALUE!</v>
      </c>
      <c r="M586" s="32" t="str">
        <f t="shared" si="58"/>
        <v/>
      </c>
      <c r="N586" s="63" t="e">
        <f t="shared" ref="N586:N649" si="61">N585+S585</f>
        <v>#VALUE!</v>
      </c>
      <c r="O586" s="86"/>
      <c r="P586" s="223"/>
      <c r="Q586" s="224"/>
      <c r="R586" s="135"/>
      <c r="S586" s="139" cm="1">
        <f t="array" ref="S586">IF(P586="",0,IF(OR(O586=";",P586="EQU",P586="ORG"),0,HlpGetInstructionSize(P586,Q586,R586,$AC$12)))</f>
        <v>0</v>
      </c>
      <c r="V586" s="42" t="str">
        <f t="shared" si="60"/>
        <v/>
      </c>
      <c r="W586" s="16"/>
      <c r="X586" s="28"/>
      <c r="Y586" s="29"/>
      <c r="AA586" s="66"/>
      <c r="AB586" s="11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28"/>
      <c r="AD586" s="129"/>
      <c r="AE586" s="129"/>
      <c r="AF586" s="129"/>
      <c r="AG586" s="129"/>
      <c r="AH586" s="129"/>
      <c r="AI586" s="129"/>
      <c r="AJ586" s="130"/>
    </row>
    <row r="587" spans="11:36">
      <c r="K587" s="76"/>
      <c r="L587" s="48" t="e">
        <f t="shared" si="59"/>
        <v>#VALUE!</v>
      </c>
      <c r="M587" s="32" t="str">
        <f t="shared" si="58"/>
        <v/>
      </c>
      <c r="N587" s="63" t="e">
        <f t="shared" si="61"/>
        <v>#VALUE!</v>
      </c>
      <c r="O587" s="86"/>
      <c r="P587" s="223"/>
      <c r="Q587" s="224"/>
      <c r="R587" s="135"/>
      <c r="S587" s="139" cm="1">
        <f t="array" ref="S587">IF(P587="",0,IF(OR(O587=";",P587="EQU",P587="ORG"),0,HlpGetInstructionSize(P587,Q587,R587,$AC$12)))</f>
        <v>0</v>
      </c>
      <c r="V587" s="42" t="str">
        <f t="shared" si="60"/>
        <v/>
      </c>
      <c r="W587" s="16"/>
      <c r="X587" s="28"/>
      <c r="Y587" s="29"/>
      <c r="AA587" s="66"/>
      <c r="AB587" s="11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28"/>
      <c r="AD587" s="129"/>
      <c r="AE587" s="129"/>
      <c r="AF587" s="129"/>
      <c r="AG587" s="129"/>
      <c r="AH587" s="129"/>
      <c r="AI587" s="129"/>
      <c r="AJ587" s="130"/>
    </row>
    <row r="588" spans="11:36">
      <c r="K588" s="76"/>
      <c r="L588" s="48" t="e">
        <f t="shared" si="59"/>
        <v>#VALUE!</v>
      </c>
      <c r="M588" s="32" t="str">
        <f t="shared" si="58"/>
        <v/>
      </c>
      <c r="N588" s="63" t="e">
        <f t="shared" si="61"/>
        <v>#VALUE!</v>
      </c>
      <c r="O588" s="86"/>
      <c r="P588" s="223"/>
      <c r="Q588" s="224"/>
      <c r="R588" s="135"/>
      <c r="S588" s="139" cm="1">
        <f t="array" ref="S588">IF(P588="",0,IF(OR(O588=";",P588="EQU",P588="ORG"),0,HlpGetInstructionSize(P588,Q588,R588,$AC$12)))</f>
        <v>0</v>
      </c>
      <c r="V588" s="42" t="str">
        <f t="shared" si="60"/>
        <v/>
      </c>
      <c r="W588" s="16"/>
      <c r="X588" s="28"/>
      <c r="Y588" s="29"/>
      <c r="AA588" s="66"/>
      <c r="AB588" s="11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28"/>
      <c r="AD588" s="129"/>
      <c r="AE588" s="129"/>
      <c r="AF588" s="129"/>
      <c r="AG588" s="129"/>
      <c r="AH588" s="129"/>
      <c r="AI588" s="129"/>
      <c r="AJ588" s="130"/>
    </row>
    <row r="589" spans="11:36">
      <c r="K589" s="76"/>
      <c r="L589" s="48" t="e">
        <f t="shared" si="59"/>
        <v>#VALUE!</v>
      </c>
      <c r="M589" s="32" t="str">
        <f t="shared" si="58"/>
        <v/>
      </c>
      <c r="N589" s="63" t="e">
        <f t="shared" si="61"/>
        <v>#VALUE!</v>
      </c>
      <c r="O589" s="86"/>
      <c r="P589" s="223"/>
      <c r="Q589" s="224"/>
      <c r="R589" s="135"/>
      <c r="S589" s="139" cm="1">
        <f t="array" ref="S589">IF(P589="",0,IF(OR(O589=";",P589="EQU",P589="ORG"),0,HlpGetInstructionSize(P589,Q589,R589,$AC$12)))</f>
        <v>0</v>
      </c>
      <c r="V589" s="42" t="str">
        <f t="shared" si="60"/>
        <v/>
      </c>
      <c r="W589" s="16"/>
      <c r="X589" s="28"/>
      <c r="Y589" s="29"/>
      <c r="AA589" s="66"/>
      <c r="AB589" s="11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28"/>
      <c r="AD589" s="129"/>
      <c r="AE589" s="129"/>
      <c r="AF589" s="129"/>
      <c r="AG589" s="129"/>
      <c r="AH589" s="129"/>
      <c r="AI589" s="129"/>
      <c r="AJ589" s="130"/>
    </row>
    <row r="590" spans="11:36">
      <c r="K590" s="76"/>
      <c r="L590" s="48" t="e">
        <f t="shared" si="59"/>
        <v>#VALUE!</v>
      </c>
      <c r="M590" s="32" t="str">
        <f t="shared" si="58"/>
        <v/>
      </c>
      <c r="N590" s="63" t="e">
        <f t="shared" si="61"/>
        <v>#VALUE!</v>
      </c>
      <c r="O590" s="86"/>
      <c r="P590" s="223"/>
      <c r="Q590" s="224"/>
      <c r="R590" s="135"/>
      <c r="S590" s="139" cm="1">
        <f t="array" ref="S590">IF(P590="",0,IF(OR(O590=";",P590="EQU",P590="ORG"),0,HlpGetInstructionSize(P590,Q590,R590,$AC$12)))</f>
        <v>0</v>
      </c>
      <c r="V590" s="42" t="str">
        <f t="shared" si="60"/>
        <v/>
      </c>
      <c r="W590" s="16"/>
      <c r="X590" s="28"/>
      <c r="Y590" s="29"/>
      <c r="AA590" s="66"/>
      <c r="AB590" s="11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28"/>
      <c r="AD590" s="129"/>
      <c r="AE590" s="129"/>
      <c r="AF590" s="129"/>
      <c r="AG590" s="129"/>
      <c r="AH590" s="129"/>
      <c r="AI590" s="129"/>
      <c r="AJ590" s="130"/>
    </row>
    <row r="591" spans="11:36">
      <c r="K591" s="76"/>
      <c r="L591" s="48" t="e">
        <f t="shared" si="59"/>
        <v>#VALUE!</v>
      </c>
      <c r="M591" s="32" t="str">
        <f t="shared" si="58"/>
        <v/>
      </c>
      <c r="N591" s="63" t="e">
        <f t="shared" si="61"/>
        <v>#VALUE!</v>
      </c>
      <c r="O591" s="86"/>
      <c r="P591" s="223"/>
      <c r="Q591" s="224"/>
      <c r="R591" s="135"/>
      <c r="S591" s="139" cm="1">
        <f t="array" ref="S591">IF(P591="",0,IF(OR(O591=";",P591="EQU",P591="ORG"),0,HlpGetInstructionSize(P591,Q591,R591,$AC$12)))</f>
        <v>0</v>
      </c>
      <c r="V591" s="42" t="str">
        <f t="shared" si="60"/>
        <v/>
      </c>
      <c r="W591" s="16"/>
      <c r="X591" s="28"/>
      <c r="Y591" s="29"/>
      <c r="AA591" s="66"/>
      <c r="AB591" s="11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28"/>
      <c r="AD591" s="129"/>
      <c r="AE591" s="129"/>
      <c r="AF591" s="129"/>
      <c r="AG591" s="129"/>
      <c r="AH591" s="129"/>
      <c r="AI591" s="129"/>
      <c r="AJ591" s="130"/>
    </row>
    <row r="592" spans="11:36">
      <c r="K592" s="76"/>
      <c r="L592" s="48" t="e">
        <f t="shared" si="59"/>
        <v>#VALUE!</v>
      </c>
      <c r="M592" s="32" t="str">
        <f t="shared" si="58"/>
        <v/>
      </c>
      <c r="N592" s="63" t="e">
        <f t="shared" si="61"/>
        <v>#VALUE!</v>
      </c>
      <c r="O592" s="86"/>
      <c r="P592" s="223"/>
      <c r="Q592" s="224"/>
      <c r="R592" s="135"/>
      <c r="S592" s="139" cm="1">
        <f t="array" ref="S592">IF(P592="",0,IF(OR(O592=";",P592="EQU",P592="ORG"),0,HlpGetInstructionSize(P592,Q592,R592,$AC$12)))</f>
        <v>0</v>
      </c>
      <c r="V592" s="42" t="str">
        <f t="shared" si="60"/>
        <v/>
      </c>
      <c r="W592" s="16"/>
      <c r="X592" s="28"/>
      <c r="Y592" s="29"/>
      <c r="AA592" s="66"/>
      <c r="AB592" s="11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28"/>
      <c r="AD592" s="129"/>
      <c r="AE592" s="129"/>
      <c r="AF592" s="129"/>
      <c r="AG592" s="129"/>
      <c r="AH592" s="129"/>
      <c r="AI592" s="129"/>
      <c r="AJ592" s="130"/>
    </row>
    <row r="593" spans="11:36">
      <c r="K593" s="76"/>
      <c r="L593" s="48" t="e">
        <f t="shared" si="59"/>
        <v>#VALUE!</v>
      </c>
      <c r="M593" s="32" t="str">
        <f t="shared" si="58"/>
        <v/>
      </c>
      <c r="N593" s="63" t="e">
        <f t="shared" si="61"/>
        <v>#VALUE!</v>
      </c>
      <c r="O593" s="86"/>
      <c r="P593" s="223"/>
      <c r="Q593" s="224"/>
      <c r="R593" s="135"/>
      <c r="S593" s="139" cm="1">
        <f t="array" ref="S593">IF(P593="",0,IF(OR(O593=";",P593="EQU",P593="ORG"),0,HlpGetInstructionSize(P593,Q593,R593,$AC$12)))</f>
        <v>0</v>
      </c>
      <c r="V593" s="42" t="str">
        <f t="shared" si="60"/>
        <v/>
      </c>
      <c r="W593" s="16"/>
      <c r="X593" s="28"/>
      <c r="Y593" s="29"/>
      <c r="AA593" s="66"/>
      <c r="AB593" s="11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28"/>
      <c r="AD593" s="129"/>
      <c r="AE593" s="129"/>
      <c r="AF593" s="129"/>
      <c r="AG593" s="129"/>
      <c r="AH593" s="129"/>
      <c r="AI593" s="129"/>
      <c r="AJ593" s="130"/>
    </row>
    <row r="594" spans="11:36">
      <c r="K594" s="76"/>
      <c r="L594" s="48" t="e">
        <f t="shared" si="59"/>
        <v>#VALUE!</v>
      </c>
      <c r="M594" s="32" t="str">
        <f t="shared" si="58"/>
        <v/>
      </c>
      <c r="N594" s="63" t="e">
        <f t="shared" si="61"/>
        <v>#VALUE!</v>
      </c>
      <c r="O594" s="86"/>
      <c r="P594" s="223"/>
      <c r="Q594" s="224"/>
      <c r="R594" s="135"/>
      <c r="S594" s="139" cm="1">
        <f t="array" ref="S594">IF(P594="",0,IF(OR(O594=";",P594="EQU",P594="ORG"),0,HlpGetInstructionSize(P594,Q594,R594,$AC$12)))</f>
        <v>0</v>
      </c>
      <c r="V594" s="42" t="str">
        <f t="shared" si="60"/>
        <v/>
      </c>
      <c r="W594" s="16"/>
      <c r="X594" s="28"/>
      <c r="Y594" s="29"/>
      <c r="AA594" s="66"/>
      <c r="AB594" s="11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28"/>
      <c r="AD594" s="129"/>
      <c r="AE594" s="129"/>
      <c r="AF594" s="129"/>
      <c r="AG594" s="129"/>
      <c r="AH594" s="129"/>
      <c r="AI594" s="129"/>
      <c r="AJ594" s="130"/>
    </row>
    <row r="595" spans="11:36">
      <c r="K595" s="76"/>
      <c r="L595" s="48" t="e">
        <f t="shared" si="59"/>
        <v>#VALUE!</v>
      </c>
      <c r="M595" s="32" t="str">
        <f t="shared" si="58"/>
        <v/>
      </c>
      <c r="N595" s="63" t="e">
        <f t="shared" si="61"/>
        <v>#VALUE!</v>
      </c>
      <c r="O595" s="86"/>
      <c r="P595" s="223"/>
      <c r="Q595" s="224"/>
      <c r="R595" s="135"/>
      <c r="S595" s="139" cm="1">
        <f t="array" ref="S595">IF(P595="",0,IF(OR(O595=";",P595="EQU",P595="ORG"),0,HlpGetInstructionSize(P595,Q595,R595,$AC$12)))</f>
        <v>0</v>
      </c>
      <c r="V595" s="42" t="str">
        <f t="shared" si="60"/>
        <v/>
      </c>
      <c r="W595" s="16"/>
      <c r="X595" s="28"/>
      <c r="Y595" s="29"/>
      <c r="AA595" s="66"/>
      <c r="AB595" s="11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28"/>
      <c r="AD595" s="129"/>
      <c r="AE595" s="129"/>
      <c r="AF595" s="129"/>
      <c r="AG595" s="129"/>
      <c r="AH595" s="129"/>
      <c r="AI595" s="129"/>
      <c r="AJ595" s="130"/>
    </row>
    <row r="596" spans="11:36">
      <c r="K596" s="76"/>
      <c r="L596" s="48" t="e">
        <f t="shared" si="59"/>
        <v>#VALUE!</v>
      </c>
      <c r="M596" s="32" t="str">
        <f t="shared" si="58"/>
        <v/>
      </c>
      <c r="N596" s="63" t="e">
        <f t="shared" si="61"/>
        <v>#VALUE!</v>
      </c>
      <c r="O596" s="86"/>
      <c r="P596" s="223"/>
      <c r="Q596" s="224"/>
      <c r="R596" s="135"/>
      <c r="S596" s="139" cm="1">
        <f t="array" ref="S596">IF(P596="",0,IF(OR(O596=";",P596="EQU",P596="ORG"),0,HlpGetInstructionSize(P596,Q596,R596,$AC$12)))</f>
        <v>0</v>
      </c>
      <c r="V596" s="42" t="str">
        <f t="shared" si="60"/>
        <v/>
      </c>
      <c r="W596" s="16"/>
      <c r="X596" s="28"/>
      <c r="Y596" s="29"/>
      <c r="AA596" s="66"/>
      <c r="AB596" s="11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28"/>
      <c r="AD596" s="129"/>
      <c r="AE596" s="129"/>
      <c r="AF596" s="129"/>
      <c r="AG596" s="129"/>
      <c r="AH596" s="129"/>
      <c r="AI596" s="129"/>
      <c r="AJ596" s="130"/>
    </row>
    <row r="597" spans="11:36">
      <c r="K597" s="76"/>
      <c r="L597" s="48" t="e">
        <f t="shared" si="59"/>
        <v>#VALUE!</v>
      </c>
      <c r="M597" s="32" t="str">
        <f t="shared" si="58"/>
        <v/>
      </c>
      <c r="N597" s="63" t="e">
        <f t="shared" si="61"/>
        <v>#VALUE!</v>
      </c>
      <c r="O597" s="86"/>
      <c r="P597" s="223"/>
      <c r="Q597" s="224"/>
      <c r="R597" s="135"/>
      <c r="S597" s="139" cm="1">
        <f t="array" ref="S597">IF(P597="",0,IF(OR(O597=";",P597="EQU",P597="ORG"),0,HlpGetInstructionSize(P597,Q597,R597,$AC$12)))</f>
        <v>0</v>
      </c>
      <c r="V597" s="42" t="str">
        <f t="shared" si="60"/>
        <v/>
      </c>
      <c r="W597" s="16"/>
      <c r="X597" s="28"/>
      <c r="Y597" s="29"/>
      <c r="AA597" s="66"/>
      <c r="AB597" s="11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28"/>
      <c r="AD597" s="129"/>
      <c r="AE597" s="129"/>
      <c r="AF597" s="129"/>
      <c r="AG597" s="129"/>
      <c r="AH597" s="129"/>
      <c r="AI597" s="129"/>
      <c r="AJ597" s="130"/>
    </row>
    <row r="598" spans="11:36">
      <c r="K598" s="76"/>
      <c r="L598" s="48" t="e">
        <f t="shared" si="59"/>
        <v>#VALUE!</v>
      </c>
      <c r="M598" s="32" t="str">
        <f t="shared" si="58"/>
        <v/>
      </c>
      <c r="N598" s="63" t="e">
        <f t="shared" si="61"/>
        <v>#VALUE!</v>
      </c>
      <c r="O598" s="86"/>
      <c r="P598" s="223"/>
      <c r="Q598" s="224"/>
      <c r="R598" s="135"/>
      <c r="S598" s="139" cm="1">
        <f t="array" ref="S598">IF(P598="",0,IF(OR(O598=";",P598="EQU",P598="ORG"),0,HlpGetInstructionSize(P598,Q598,R598,$AC$12)))</f>
        <v>0</v>
      </c>
      <c r="V598" s="42" t="str">
        <f t="shared" si="60"/>
        <v/>
      </c>
      <c r="W598" s="16"/>
      <c r="X598" s="28"/>
      <c r="Y598" s="29"/>
      <c r="AA598" s="66"/>
      <c r="AB598" s="11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28"/>
      <c r="AD598" s="129"/>
      <c r="AE598" s="129"/>
      <c r="AF598" s="129"/>
      <c r="AG598" s="129"/>
      <c r="AH598" s="129"/>
      <c r="AI598" s="129"/>
      <c r="AJ598" s="130"/>
    </row>
    <row r="599" spans="11:36">
      <c r="K599" s="76"/>
      <c r="L599" s="48" t="e">
        <f t="shared" si="59"/>
        <v>#VALUE!</v>
      </c>
      <c r="M599" s="32" t="str">
        <f t="shared" si="58"/>
        <v/>
      </c>
      <c r="N599" s="63" t="e">
        <f t="shared" si="61"/>
        <v>#VALUE!</v>
      </c>
      <c r="O599" s="86"/>
      <c r="P599" s="223"/>
      <c r="Q599" s="224"/>
      <c r="R599" s="135"/>
      <c r="S599" s="139" cm="1">
        <f t="array" ref="S599">IF(P599="",0,IF(OR(O599=";",P599="EQU",P599="ORG"),0,HlpGetInstructionSize(P599,Q599,R599,$AC$12)))</f>
        <v>0</v>
      </c>
      <c r="V599" s="42" t="str">
        <f t="shared" si="60"/>
        <v/>
      </c>
      <c r="W599" s="16"/>
      <c r="X599" s="28"/>
      <c r="Y599" s="29"/>
      <c r="AA599" s="66"/>
      <c r="AB599" s="11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28"/>
      <c r="AD599" s="129"/>
      <c r="AE599" s="129"/>
      <c r="AF599" s="129"/>
      <c r="AG599" s="129"/>
      <c r="AH599" s="129"/>
      <c r="AI599" s="129"/>
      <c r="AJ599" s="130"/>
    </row>
    <row r="600" spans="11:36">
      <c r="K600" s="76"/>
      <c r="L600" s="48" t="e">
        <f t="shared" si="59"/>
        <v>#VALUE!</v>
      </c>
      <c r="M600" s="32" t="str">
        <f t="shared" si="58"/>
        <v/>
      </c>
      <c r="N600" s="63" t="e">
        <f t="shared" si="61"/>
        <v>#VALUE!</v>
      </c>
      <c r="O600" s="86"/>
      <c r="P600" s="223"/>
      <c r="Q600" s="224"/>
      <c r="R600" s="135"/>
      <c r="S600" s="139" cm="1">
        <f t="array" ref="S600">IF(P600="",0,IF(OR(O600=";",P600="EQU",P600="ORG"),0,HlpGetInstructionSize(P600,Q600,R600,$AC$12)))</f>
        <v>0</v>
      </c>
      <c r="V600" s="42" t="str">
        <f t="shared" si="60"/>
        <v/>
      </c>
      <c r="W600" s="16"/>
      <c r="X600" s="28"/>
      <c r="Y600" s="29"/>
      <c r="AA600" s="66"/>
      <c r="AB600" s="11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28"/>
      <c r="AD600" s="129"/>
      <c r="AE600" s="129"/>
      <c r="AF600" s="129"/>
      <c r="AG600" s="129"/>
      <c r="AH600" s="129"/>
      <c r="AI600" s="129"/>
      <c r="AJ600" s="130"/>
    </row>
    <row r="601" spans="11:36">
      <c r="K601" s="76"/>
      <c r="L601" s="48" t="e">
        <f t="shared" si="59"/>
        <v>#VALUE!</v>
      </c>
      <c r="M601" s="32" t="str">
        <f t="shared" si="58"/>
        <v/>
      </c>
      <c r="N601" s="63" t="e">
        <f t="shared" si="61"/>
        <v>#VALUE!</v>
      </c>
      <c r="O601" s="86"/>
      <c r="P601" s="223"/>
      <c r="Q601" s="224"/>
      <c r="R601" s="135"/>
      <c r="S601" s="139" cm="1">
        <f t="array" ref="S601">IF(P601="",0,IF(OR(O601=";",P601="EQU",P601="ORG"),0,HlpGetInstructionSize(P601,Q601,R601,$AC$12)))</f>
        <v>0</v>
      </c>
      <c r="V601" s="42" t="str">
        <f t="shared" si="60"/>
        <v/>
      </c>
      <c r="W601" s="16"/>
      <c r="X601" s="28"/>
      <c r="Y601" s="29"/>
      <c r="AA601" s="66"/>
      <c r="AB601" s="11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28"/>
      <c r="AD601" s="129"/>
      <c r="AE601" s="129"/>
      <c r="AF601" s="129"/>
      <c r="AG601" s="129"/>
      <c r="AH601" s="129"/>
      <c r="AI601" s="129"/>
      <c r="AJ601" s="130"/>
    </row>
    <row r="602" spans="11:36">
      <c r="K602" s="76"/>
      <c r="L602" s="48" t="e">
        <f t="shared" si="59"/>
        <v>#VALUE!</v>
      </c>
      <c r="M602" s="32" t="str">
        <f t="shared" si="58"/>
        <v/>
      </c>
      <c r="N602" s="63" t="e">
        <f t="shared" si="61"/>
        <v>#VALUE!</v>
      </c>
      <c r="O602" s="86"/>
      <c r="P602" s="223"/>
      <c r="Q602" s="224"/>
      <c r="R602" s="135"/>
      <c r="S602" s="139" cm="1">
        <f t="array" ref="S602">IF(P602="",0,IF(OR(O602=";",P602="EQU",P602="ORG"),0,HlpGetInstructionSize(P602,Q602,R602,$AC$12)))</f>
        <v>0</v>
      </c>
      <c r="V602" s="42" t="str">
        <f t="shared" si="60"/>
        <v/>
      </c>
      <c r="W602" s="16"/>
      <c r="X602" s="28"/>
      <c r="Y602" s="29"/>
      <c r="AA602" s="66"/>
      <c r="AB602" s="11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28"/>
      <c r="AD602" s="129"/>
      <c r="AE602" s="129"/>
      <c r="AF602" s="129"/>
      <c r="AG602" s="129"/>
      <c r="AH602" s="129"/>
      <c r="AI602" s="129"/>
      <c r="AJ602" s="130"/>
    </row>
    <row r="603" spans="11:36">
      <c r="K603" s="76"/>
      <c r="L603" s="48" t="e">
        <f t="shared" si="59"/>
        <v>#VALUE!</v>
      </c>
      <c r="M603" s="32" t="str">
        <f t="shared" si="58"/>
        <v/>
      </c>
      <c r="N603" s="63" t="e">
        <f t="shared" si="61"/>
        <v>#VALUE!</v>
      </c>
      <c r="O603" s="86"/>
      <c r="P603" s="223"/>
      <c r="Q603" s="224"/>
      <c r="R603" s="135"/>
      <c r="S603" s="139" cm="1">
        <f t="array" ref="S603">IF(P603="",0,IF(OR(O603=";",P603="EQU",P603="ORG"),0,HlpGetInstructionSize(P603,Q603,R603,$AC$12)))</f>
        <v>0</v>
      </c>
      <c r="V603" s="42" t="str">
        <f t="shared" si="60"/>
        <v/>
      </c>
      <c r="W603" s="16"/>
      <c r="X603" s="28"/>
      <c r="Y603" s="29"/>
      <c r="AA603" s="66"/>
      <c r="AB603" s="11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28"/>
      <c r="AD603" s="129"/>
      <c r="AE603" s="129"/>
      <c r="AF603" s="129"/>
      <c r="AG603" s="129"/>
      <c r="AH603" s="129"/>
      <c r="AI603" s="129"/>
      <c r="AJ603" s="130"/>
    </row>
    <row r="604" spans="11:36">
      <c r="K604" s="76"/>
      <c r="L604" s="48" t="e">
        <f t="shared" si="59"/>
        <v>#VALUE!</v>
      </c>
      <c r="M604" s="32" t="str">
        <f t="shared" si="58"/>
        <v/>
      </c>
      <c r="N604" s="63" t="e">
        <f t="shared" si="61"/>
        <v>#VALUE!</v>
      </c>
      <c r="O604" s="86"/>
      <c r="P604" s="223"/>
      <c r="Q604" s="224"/>
      <c r="R604" s="135"/>
      <c r="S604" s="139" cm="1">
        <f t="array" ref="S604">IF(P604="",0,IF(OR(O604=";",P604="EQU",P604="ORG"),0,HlpGetInstructionSize(P604,Q604,R604,$AC$12)))</f>
        <v>0</v>
      </c>
      <c r="V604" s="42" t="str">
        <f t="shared" si="60"/>
        <v/>
      </c>
      <c r="W604" s="16"/>
      <c r="X604" s="28"/>
      <c r="Y604" s="29"/>
      <c r="AA604" s="66"/>
      <c r="AB604" s="11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28"/>
      <c r="AD604" s="129"/>
      <c r="AE604" s="129"/>
      <c r="AF604" s="129"/>
      <c r="AG604" s="129"/>
      <c r="AH604" s="129"/>
      <c r="AI604" s="129"/>
      <c r="AJ604" s="130"/>
    </row>
    <row r="605" spans="11:36">
      <c r="K605" s="76"/>
      <c r="L605" s="48" t="e">
        <f t="shared" si="59"/>
        <v>#VALUE!</v>
      </c>
      <c r="M605" s="32" t="str">
        <f t="shared" ref="M605:M668" si="62">IFERROR(RIGHT("0000"&amp;DEC2HEX(N605),4),"")</f>
        <v/>
      </c>
      <c r="N605" s="63" t="e">
        <f t="shared" si="61"/>
        <v>#VALUE!</v>
      </c>
      <c r="O605" s="86"/>
      <c r="P605" s="223"/>
      <c r="Q605" s="224"/>
      <c r="R605" s="135"/>
      <c r="S605" s="139" cm="1">
        <f t="array" ref="S605">IF(P605="",0,IF(OR(O605=";",P605="EQU",P605="ORG"),0,HlpGetInstructionSize(P605,Q605,R605,$AC$12)))</f>
        <v>0</v>
      </c>
      <c r="V605" s="42" t="str">
        <f t="shared" si="60"/>
        <v/>
      </c>
      <c r="W605" s="16"/>
      <c r="X605" s="28"/>
      <c r="Y605" s="29"/>
      <c r="AA605" s="66"/>
      <c r="AB605" s="11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28"/>
      <c r="AD605" s="129"/>
      <c r="AE605" s="129"/>
      <c r="AF605" s="129"/>
      <c r="AG605" s="129"/>
      <c r="AH605" s="129"/>
      <c r="AI605" s="129"/>
      <c r="AJ605" s="130"/>
    </row>
    <row r="606" spans="11:36">
      <c r="K606" s="76"/>
      <c r="L606" s="48" t="e">
        <f t="shared" si="59"/>
        <v>#VALUE!</v>
      </c>
      <c r="M606" s="32" t="str">
        <f t="shared" si="62"/>
        <v/>
      </c>
      <c r="N606" s="63" t="e">
        <f t="shared" si="61"/>
        <v>#VALUE!</v>
      </c>
      <c r="O606" s="86"/>
      <c r="P606" s="223"/>
      <c r="Q606" s="224"/>
      <c r="R606" s="135"/>
      <c r="S606" s="139" cm="1">
        <f t="array" ref="S606">IF(P606="",0,IF(OR(O606=";",P606="EQU",P606="ORG"),0,HlpGetInstructionSize(P606,Q606,R606,$AC$12)))</f>
        <v>0</v>
      </c>
      <c r="V606" s="42" t="str">
        <f t="shared" si="60"/>
        <v/>
      </c>
      <c r="W606" s="16"/>
      <c r="X606" s="28"/>
      <c r="Y606" s="29"/>
      <c r="AA606" s="66"/>
      <c r="AB606" s="11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28"/>
      <c r="AD606" s="129"/>
      <c r="AE606" s="129"/>
      <c r="AF606" s="129"/>
      <c r="AG606" s="129"/>
      <c r="AH606" s="129"/>
      <c r="AI606" s="129"/>
      <c r="AJ606" s="130"/>
    </row>
    <row r="607" spans="11:36">
      <c r="K607" s="76"/>
      <c r="L607" s="48" t="e">
        <f t="shared" si="59"/>
        <v>#VALUE!</v>
      </c>
      <c r="M607" s="32" t="str">
        <f t="shared" si="62"/>
        <v/>
      </c>
      <c r="N607" s="63" t="e">
        <f t="shared" si="61"/>
        <v>#VALUE!</v>
      </c>
      <c r="O607" s="86"/>
      <c r="P607" s="223"/>
      <c r="Q607" s="224"/>
      <c r="R607" s="135"/>
      <c r="S607" s="139" cm="1">
        <f t="array" ref="S607">IF(P607="",0,IF(OR(O607=";",P607="EQU",P607="ORG"),0,HlpGetInstructionSize(P607,Q607,R607,$AC$12)))</f>
        <v>0</v>
      </c>
      <c r="V607" s="42" t="str">
        <f t="shared" si="60"/>
        <v/>
      </c>
      <c r="W607" s="16"/>
      <c r="X607" s="28"/>
      <c r="Y607" s="29"/>
      <c r="AA607" s="66"/>
      <c r="AB607" s="11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28"/>
      <c r="AD607" s="129"/>
      <c r="AE607" s="129"/>
      <c r="AF607" s="129"/>
      <c r="AG607" s="129"/>
      <c r="AH607" s="129"/>
      <c r="AI607" s="129"/>
      <c r="AJ607" s="130"/>
    </row>
    <row r="608" spans="11:36">
      <c r="K608" s="76"/>
      <c r="L608" s="48" t="e">
        <f t="shared" si="59"/>
        <v>#VALUE!</v>
      </c>
      <c r="M608" s="32" t="str">
        <f t="shared" si="62"/>
        <v/>
      </c>
      <c r="N608" s="63" t="e">
        <f t="shared" si="61"/>
        <v>#VALUE!</v>
      </c>
      <c r="O608" s="86"/>
      <c r="P608" s="223"/>
      <c r="Q608" s="224"/>
      <c r="R608" s="135"/>
      <c r="S608" s="139" cm="1">
        <f t="array" ref="S608">IF(P608="",0,IF(OR(O608=";",P608="EQU",P608="ORG"),0,HlpGetInstructionSize(P608,Q608,R608,$AC$12)))</f>
        <v>0</v>
      </c>
      <c r="V608" s="42" t="str">
        <f t="shared" si="60"/>
        <v/>
      </c>
      <c r="W608" s="16"/>
      <c r="X608" s="28"/>
      <c r="Y608" s="29"/>
      <c r="AA608" s="66"/>
      <c r="AB608" s="11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28"/>
      <c r="AD608" s="129"/>
      <c r="AE608" s="129"/>
      <c r="AF608" s="129"/>
      <c r="AG608" s="129"/>
      <c r="AH608" s="129"/>
      <c r="AI608" s="129"/>
      <c r="AJ608" s="130"/>
    </row>
    <row r="609" spans="11:36">
      <c r="K609" s="76"/>
      <c r="L609" s="48" t="e">
        <f t="shared" si="59"/>
        <v>#VALUE!</v>
      </c>
      <c r="M609" s="32" t="str">
        <f t="shared" si="62"/>
        <v/>
      </c>
      <c r="N609" s="63" t="e">
        <f t="shared" si="61"/>
        <v>#VALUE!</v>
      </c>
      <c r="O609" s="86"/>
      <c r="P609" s="223"/>
      <c r="Q609" s="224"/>
      <c r="R609" s="135"/>
      <c r="S609" s="139" cm="1">
        <f t="array" ref="S609">IF(P609="",0,IF(OR(O609=";",P609="EQU",P609="ORG"),0,HlpGetInstructionSize(P609,Q609,R609,$AC$12)))</f>
        <v>0</v>
      </c>
      <c r="V609" s="42" t="str">
        <f t="shared" si="60"/>
        <v/>
      </c>
      <c r="W609" s="16"/>
      <c r="X609" s="28"/>
      <c r="Y609" s="29"/>
      <c r="AA609" s="66"/>
      <c r="AB609" s="11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28"/>
      <c r="AD609" s="129"/>
      <c r="AE609" s="129"/>
      <c r="AF609" s="129"/>
      <c r="AG609" s="129"/>
      <c r="AH609" s="129"/>
      <c r="AI609" s="129"/>
      <c r="AJ609" s="130"/>
    </row>
    <row r="610" spans="11:36">
      <c r="K610" s="76"/>
      <c r="L610" s="48" t="e">
        <f t="shared" si="59"/>
        <v>#VALUE!</v>
      </c>
      <c r="M610" s="32" t="str">
        <f t="shared" si="62"/>
        <v/>
      </c>
      <c r="N610" s="63" t="e">
        <f t="shared" si="61"/>
        <v>#VALUE!</v>
      </c>
      <c r="O610" s="86"/>
      <c r="P610" s="223"/>
      <c r="Q610" s="224"/>
      <c r="R610" s="135"/>
      <c r="S610" s="139" cm="1">
        <f t="array" ref="S610">IF(P610="",0,IF(OR(O610=";",P610="EQU",P610="ORG"),0,HlpGetInstructionSize(P610,Q610,R610,$AC$12)))</f>
        <v>0</v>
      </c>
      <c r="V610" s="42" t="str">
        <f t="shared" si="60"/>
        <v/>
      </c>
      <c r="W610" s="16"/>
      <c r="X610" s="28"/>
      <c r="Y610" s="29"/>
      <c r="AA610" s="66"/>
      <c r="AB610" s="11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28"/>
      <c r="AD610" s="129"/>
      <c r="AE610" s="129"/>
      <c r="AF610" s="129"/>
      <c r="AG610" s="129"/>
      <c r="AH610" s="129"/>
      <c r="AI610" s="129"/>
      <c r="AJ610" s="130"/>
    </row>
    <row r="611" spans="11:36">
      <c r="K611" s="76"/>
      <c r="L611" s="48" t="e">
        <f t="shared" si="59"/>
        <v>#VALUE!</v>
      </c>
      <c r="M611" s="32" t="str">
        <f t="shared" si="62"/>
        <v/>
      </c>
      <c r="N611" s="63" t="e">
        <f t="shared" si="61"/>
        <v>#VALUE!</v>
      </c>
      <c r="O611" s="86"/>
      <c r="P611" s="223"/>
      <c r="Q611" s="224"/>
      <c r="R611" s="135"/>
      <c r="S611" s="139" cm="1">
        <f t="array" ref="S611">IF(P611="",0,IF(OR(O611=";",P611="EQU",P611="ORG"),0,HlpGetInstructionSize(P611,Q611,R611,$AC$12)))</f>
        <v>0</v>
      </c>
      <c r="V611" s="42" t="str">
        <f t="shared" si="60"/>
        <v/>
      </c>
      <c r="W611" s="16"/>
      <c r="X611" s="28"/>
      <c r="Y611" s="29"/>
      <c r="AA611" s="66"/>
      <c r="AB611" s="11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28"/>
      <c r="AD611" s="129"/>
      <c r="AE611" s="129"/>
      <c r="AF611" s="129"/>
      <c r="AG611" s="129"/>
      <c r="AH611" s="129"/>
      <c r="AI611" s="129"/>
      <c r="AJ611" s="130"/>
    </row>
    <row r="612" spans="11:36">
      <c r="K612" s="76"/>
      <c r="L612" s="48" t="e">
        <f t="shared" si="59"/>
        <v>#VALUE!</v>
      </c>
      <c r="M612" s="32" t="str">
        <f t="shared" si="62"/>
        <v/>
      </c>
      <c r="N612" s="63" t="e">
        <f t="shared" si="61"/>
        <v>#VALUE!</v>
      </c>
      <c r="O612" s="86"/>
      <c r="P612" s="223"/>
      <c r="Q612" s="224"/>
      <c r="R612" s="135"/>
      <c r="S612" s="139" cm="1">
        <f t="array" ref="S612">IF(P612="",0,IF(OR(O612=";",P612="EQU",P612="ORG"),0,HlpGetInstructionSize(P612,Q612,R612,$AC$12)))</f>
        <v>0</v>
      </c>
      <c r="V612" s="42" t="str">
        <f t="shared" si="60"/>
        <v/>
      </c>
      <c r="W612" s="16"/>
      <c r="X612" s="28"/>
      <c r="Y612" s="29"/>
      <c r="AA612" s="66"/>
      <c r="AB612" s="11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28"/>
      <c r="AD612" s="129"/>
      <c r="AE612" s="129"/>
      <c r="AF612" s="129"/>
      <c r="AG612" s="129"/>
      <c r="AH612" s="129"/>
      <c r="AI612" s="129"/>
      <c r="AJ612" s="130"/>
    </row>
    <row r="613" spans="11:36">
      <c r="K613" s="76"/>
      <c r="L613" s="48" t="e">
        <f t="shared" si="59"/>
        <v>#VALUE!</v>
      </c>
      <c r="M613" s="32" t="str">
        <f t="shared" si="62"/>
        <v/>
      </c>
      <c r="N613" s="63" t="e">
        <f t="shared" si="61"/>
        <v>#VALUE!</v>
      </c>
      <c r="O613" s="86"/>
      <c r="P613" s="223"/>
      <c r="Q613" s="224"/>
      <c r="R613" s="135"/>
      <c r="S613" s="139" cm="1">
        <f t="array" ref="S613">IF(P613="",0,IF(OR(O613=";",P613="EQU",P613="ORG"),0,HlpGetInstructionSize(P613,Q613,R613,$AC$12)))</f>
        <v>0</v>
      </c>
      <c r="V613" s="42" t="str">
        <f t="shared" si="60"/>
        <v/>
      </c>
      <c r="W613" s="16"/>
      <c r="X613" s="28"/>
      <c r="Y613" s="29"/>
      <c r="AA613" s="66"/>
      <c r="AB613" s="11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28"/>
      <c r="AD613" s="129"/>
      <c r="AE613" s="129"/>
      <c r="AF613" s="129"/>
      <c r="AG613" s="129"/>
      <c r="AH613" s="129"/>
      <c r="AI613" s="129"/>
      <c r="AJ613" s="130"/>
    </row>
    <row r="614" spans="11:36">
      <c r="K614" s="76"/>
      <c r="L614" s="48" t="e">
        <f t="shared" si="59"/>
        <v>#VALUE!</v>
      </c>
      <c r="M614" s="32" t="str">
        <f t="shared" si="62"/>
        <v/>
      </c>
      <c r="N614" s="63" t="e">
        <f t="shared" si="61"/>
        <v>#VALUE!</v>
      </c>
      <c r="O614" s="86"/>
      <c r="P614" s="223"/>
      <c r="Q614" s="224"/>
      <c r="R614" s="135"/>
      <c r="S614" s="139" cm="1">
        <f t="array" ref="S614">IF(P614="",0,IF(OR(O614=";",P614="EQU",P614="ORG"),0,HlpGetInstructionSize(P614,Q614,R614,$AC$12)))</f>
        <v>0</v>
      </c>
      <c r="V614" s="42" t="str">
        <f t="shared" si="60"/>
        <v/>
      </c>
      <c r="W614" s="16"/>
      <c r="X614" s="28"/>
      <c r="Y614" s="29"/>
      <c r="AA614" s="66"/>
      <c r="AB614" s="11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28"/>
      <c r="AD614" s="129"/>
      <c r="AE614" s="129"/>
      <c r="AF614" s="129"/>
      <c r="AG614" s="129"/>
      <c r="AH614" s="129"/>
      <c r="AI614" s="129"/>
      <c r="AJ614" s="130"/>
    </row>
    <row r="615" spans="11:36">
      <c r="K615" s="76"/>
      <c r="L615" s="48" t="e">
        <f t="shared" si="59"/>
        <v>#VALUE!</v>
      </c>
      <c r="M615" s="32" t="str">
        <f t="shared" si="62"/>
        <v/>
      </c>
      <c r="N615" s="63" t="e">
        <f t="shared" si="61"/>
        <v>#VALUE!</v>
      </c>
      <c r="O615" s="86"/>
      <c r="P615" s="223"/>
      <c r="Q615" s="224"/>
      <c r="R615" s="135"/>
      <c r="S615" s="139" cm="1">
        <f t="array" ref="S615">IF(P615="",0,IF(OR(O615=";",P615="EQU",P615="ORG"),0,HlpGetInstructionSize(P615,Q615,R615,$AC$12)))</f>
        <v>0</v>
      </c>
      <c r="V615" s="42" t="str">
        <f t="shared" si="60"/>
        <v/>
      </c>
      <c r="W615" s="16"/>
      <c r="X615" s="28"/>
      <c r="Y615" s="29"/>
      <c r="AA615" s="66"/>
      <c r="AB615" s="11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28"/>
      <c r="AD615" s="129"/>
      <c r="AE615" s="129"/>
      <c r="AF615" s="129"/>
      <c r="AG615" s="129"/>
      <c r="AH615" s="129"/>
      <c r="AI615" s="129"/>
      <c r="AJ615" s="130"/>
    </row>
    <row r="616" spans="11:36">
      <c r="K616" s="76"/>
      <c r="L616" s="48" t="e">
        <f t="shared" si="59"/>
        <v>#VALUE!</v>
      </c>
      <c r="M616" s="32" t="str">
        <f t="shared" si="62"/>
        <v/>
      </c>
      <c r="N616" s="63" t="e">
        <f t="shared" si="61"/>
        <v>#VALUE!</v>
      </c>
      <c r="O616" s="86"/>
      <c r="P616" s="223"/>
      <c r="Q616" s="224"/>
      <c r="R616" s="135"/>
      <c r="S616" s="139" cm="1">
        <f t="array" ref="S616">IF(P616="",0,IF(OR(O616=";",P616="EQU",P616="ORG"),0,HlpGetInstructionSize(P616,Q616,R616,$AC$12)))</f>
        <v>0</v>
      </c>
      <c r="V616" s="42" t="str">
        <f t="shared" si="60"/>
        <v/>
      </c>
      <c r="W616" s="16"/>
      <c r="X616" s="28"/>
      <c r="Y616" s="29"/>
      <c r="AA616" s="66"/>
      <c r="AB616" s="11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28"/>
      <c r="AD616" s="129"/>
      <c r="AE616" s="129"/>
      <c r="AF616" s="129"/>
      <c r="AG616" s="129"/>
      <c r="AH616" s="129"/>
      <c r="AI616" s="129"/>
      <c r="AJ616" s="130"/>
    </row>
    <row r="617" spans="11:36">
      <c r="K617" s="76"/>
      <c r="L617" s="48" t="e">
        <f t="shared" si="59"/>
        <v>#VALUE!</v>
      </c>
      <c r="M617" s="32" t="str">
        <f t="shared" si="62"/>
        <v/>
      </c>
      <c r="N617" s="63" t="e">
        <f t="shared" si="61"/>
        <v>#VALUE!</v>
      </c>
      <c r="O617" s="86"/>
      <c r="P617" s="223"/>
      <c r="Q617" s="224"/>
      <c r="R617" s="135"/>
      <c r="S617" s="139" cm="1">
        <f t="array" ref="S617">IF(P617="",0,IF(OR(O617=";",P617="EQU",P617="ORG"),0,HlpGetInstructionSize(P617,Q617,R617,$AC$12)))</f>
        <v>0</v>
      </c>
      <c r="V617" s="42" t="str">
        <f t="shared" si="60"/>
        <v/>
      </c>
      <c r="W617" s="16"/>
      <c r="X617" s="28"/>
      <c r="Y617" s="29"/>
      <c r="AA617" s="66"/>
      <c r="AB617" s="11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28"/>
      <c r="AD617" s="129"/>
      <c r="AE617" s="129"/>
      <c r="AF617" s="129"/>
      <c r="AG617" s="129"/>
      <c r="AH617" s="129"/>
      <c r="AI617" s="129"/>
      <c r="AJ617" s="130"/>
    </row>
    <row r="618" spans="11:36">
      <c r="K618" s="76"/>
      <c r="L618" s="48" t="e">
        <f t="shared" si="59"/>
        <v>#VALUE!</v>
      </c>
      <c r="M618" s="32" t="str">
        <f t="shared" si="62"/>
        <v/>
      </c>
      <c r="N618" s="63" t="e">
        <f t="shared" si="61"/>
        <v>#VALUE!</v>
      </c>
      <c r="O618" s="86"/>
      <c r="P618" s="223"/>
      <c r="Q618" s="224"/>
      <c r="R618" s="135"/>
      <c r="S618" s="139" cm="1">
        <f t="array" ref="S618">IF(P618="",0,IF(OR(O618=";",P618="EQU",P618="ORG"),0,HlpGetInstructionSize(P618,Q618,R618,$AC$12)))</f>
        <v>0</v>
      </c>
      <c r="V618" s="42" t="str">
        <f t="shared" si="60"/>
        <v/>
      </c>
      <c r="W618" s="16"/>
      <c r="X618" s="28"/>
      <c r="Y618" s="29"/>
      <c r="AA618" s="66"/>
      <c r="AB618" s="11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28"/>
      <c r="AD618" s="129"/>
      <c r="AE618" s="129"/>
      <c r="AF618" s="129"/>
      <c r="AG618" s="129"/>
      <c r="AH618" s="129"/>
      <c r="AI618" s="129"/>
      <c r="AJ618" s="130"/>
    </row>
    <row r="619" spans="11:36">
      <c r="K619" s="76"/>
      <c r="L619" s="48" t="e">
        <f t="shared" si="59"/>
        <v>#VALUE!</v>
      </c>
      <c r="M619" s="32" t="str">
        <f t="shared" si="62"/>
        <v/>
      </c>
      <c r="N619" s="63" t="e">
        <f t="shared" si="61"/>
        <v>#VALUE!</v>
      </c>
      <c r="O619" s="86"/>
      <c r="P619" s="223"/>
      <c r="Q619" s="224"/>
      <c r="R619" s="135"/>
      <c r="S619" s="139" cm="1">
        <f t="array" ref="S619">IF(P619="",0,IF(OR(O619=";",P619="EQU",P619="ORG"),0,HlpGetInstructionSize(P619,Q619,R619,$AC$12)))</f>
        <v>0</v>
      </c>
      <c r="V619" s="42" t="str">
        <f t="shared" si="60"/>
        <v/>
      </c>
      <c r="W619" s="16"/>
      <c r="X619" s="28"/>
      <c r="Y619" s="29"/>
      <c r="AA619" s="66"/>
      <c r="AB619" s="11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28"/>
      <c r="AD619" s="129"/>
      <c r="AE619" s="129"/>
      <c r="AF619" s="129"/>
      <c r="AG619" s="129"/>
      <c r="AH619" s="129"/>
      <c r="AI619" s="129"/>
      <c r="AJ619" s="130"/>
    </row>
    <row r="620" spans="11:36">
      <c r="K620" s="76"/>
      <c r="L620" s="48" t="e">
        <f t="shared" si="59"/>
        <v>#VALUE!</v>
      </c>
      <c r="M620" s="32" t="str">
        <f t="shared" si="62"/>
        <v/>
      </c>
      <c r="N620" s="63" t="e">
        <f t="shared" si="61"/>
        <v>#VALUE!</v>
      </c>
      <c r="O620" s="86"/>
      <c r="P620" s="223"/>
      <c r="Q620" s="224"/>
      <c r="R620" s="135"/>
      <c r="S620" s="139" cm="1">
        <f t="array" ref="S620">IF(P620="",0,IF(OR(O620=";",P620="EQU",P620="ORG"),0,HlpGetInstructionSize(P620,Q620,R620,$AC$12)))</f>
        <v>0</v>
      </c>
      <c r="V620" s="42" t="str">
        <f t="shared" si="60"/>
        <v/>
      </c>
      <c r="W620" s="16"/>
      <c r="X620" s="28"/>
      <c r="Y620" s="29"/>
      <c r="AA620" s="66"/>
      <c r="AB620" s="11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28"/>
      <c r="AD620" s="129"/>
      <c r="AE620" s="129"/>
      <c r="AF620" s="129"/>
      <c r="AG620" s="129"/>
      <c r="AH620" s="129"/>
      <c r="AI620" s="129"/>
      <c r="AJ620" s="130"/>
    </row>
    <row r="621" spans="11:36">
      <c r="K621" s="76"/>
      <c r="L621" s="48" t="e">
        <f t="shared" si="59"/>
        <v>#VALUE!</v>
      </c>
      <c r="M621" s="32" t="str">
        <f t="shared" si="62"/>
        <v/>
      </c>
      <c r="N621" s="63" t="e">
        <f t="shared" si="61"/>
        <v>#VALUE!</v>
      </c>
      <c r="O621" s="86"/>
      <c r="P621" s="223"/>
      <c r="Q621" s="224"/>
      <c r="R621" s="135"/>
      <c r="S621" s="139" cm="1">
        <f t="array" ref="S621">IF(P621="",0,IF(OR(O621=";",P621="EQU",P621="ORG"),0,HlpGetInstructionSize(P621,Q621,R621,$AC$12)))</f>
        <v>0</v>
      </c>
      <c r="V621" s="42" t="str">
        <f t="shared" si="60"/>
        <v/>
      </c>
      <c r="W621" s="16"/>
      <c r="X621" s="28"/>
      <c r="Y621" s="29"/>
      <c r="AA621" s="66"/>
      <c r="AB621" s="11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28"/>
      <c r="AD621" s="129"/>
      <c r="AE621" s="129"/>
      <c r="AF621" s="129"/>
      <c r="AG621" s="129"/>
      <c r="AH621" s="129"/>
      <c r="AI621" s="129"/>
      <c r="AJ621" s="130"/>
    </row>
    <row r="622" spans="11:36">
      <c r="K622" s="76"/>
      <c r="L622" s="48" t="e">
        <f t="shared" si="59"/>
        <v>#VALUE!</v>
      </c>
      <c r="M622" s="32" t="str">
        <f t="shared" si="62"/>
        <v/>
      </c>
      <c r="N622" s="63" t="e">
        <f t="shared" si="61"/>
        <v>#VALUE!</v>
      </c>
      <c r="O622" s="86"/>
      <c r="P622" s="223"/>
      <c r="Q622" s="224"/>
      <c r="R622" s="135"/>
      <c r="S622" s="139" cm="1">
        <f t="array" ref="S622">IF(P622="",0,IF(OR(O622=";",P622="EQU",P622="ORG"),0,HlpGetInstructionSize(P622,Q622,R622,$AC$12)))</f>
        <v>0</v>
      </c>
      <c r="V622" s="42" t="str">
        <f t="shared" si="60"/>
        <v/>
      </c>
      <c r="W622" s="16"/>
      <c r="X622" s="28"/>
      <c r="Y622" s="29"/>
      <c r="AA622" s="66"/>
      <c r="AB622" s="11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28"/>
      <c r="AD622" s="129"/>
      <c r="AE622" s="129"/>
      <c r="AF622" s="129"/>
      <c r="AG622" s="129"/>
      <c r="AH622" s="129"/>
      <c r="AI622" s="129"/>
      <c r="AJ622" s="130"/>
    </row>
    <row r="623" spans="11:36">
      <c r="K623" s="76"/>
      <c r="L623" s="48" t="e">
        <f t="shared" si="59"/>
        <v>#VALUE!</v>
      </c>
      <c r="M623" s="32" t="str">
        <f t="shared" si="62"/>
        <v/>
      </c>
      <c r="N623" s="63" t="e">
        <f t="shared" si="61"/>
        <v>#VALUE!</v>
      </c>
      <c r="O623" s="86"/>
      <c r="P623" s="223"/>
      <c r="Q623" s="224"/>
      <c r="R623" s="135"/>
      <c r="S623" s="139" cm="1">
        <f t="array" ref="S623">IF(P623="",0,IF(OR(O623=";",P623="EQU",P623="ORG"),0,HlpGetInstructionSize(P623,Q623,R623,$AC$12)))</f>
        <v>0</v>
      </c>
      <c r="V623" s="42" t="str">
        <f t="shared" si="60"/>
        <v/>
      </c>
      <c r="W623" s="16"/>
      <c r="X623" s="28"/>
      <c r="Y623" s="29"/>
      <c r="AA623" s="66"/>
      <c r="AB623" s="11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28"/>
      <c r="AD623" s="129"/>
      <c r="AE623" s="129"/>
      <c r="AF623" s="129"/>
      <c r="AG623" s="129"/>
      <c r="AH623" s="129"/>
      <c r="AI623" s="129"/>
      <c r="AJ623" s="130"/>
    </row>
    <row r="624" spans="11:36">
      <c r="K624" s="76"/>
      <c r="L624" s="48" t="e">
        <f t="shared" si="59"/>
        <v>#VALUE!</v>
      </c>
      <c r="M624" s="32" t="str">
        <f t="shared" si="62"/>
        <v/>
      </c>
      <c r="N624" s="63" t="e">
        <f t="shared" si="61"/>
        <v>#VALUE!</v>
      </c>
      <c r="O624" s="86"/>
      <c r="P624" s="223"/>
      <c r="Q624" s="224"/>
      <c r="R624" s="135"/>
      <c r="S624" s="139" cm="1">
        <f t="array" ref="S624">IF(P624="",0,IF(OR(O624=";",P624="EQU",P624="ORG"),0,HlpGetInstructionSize(P624,Q624,R624,$AC$12)))</f>
        <v>0</v>
      </c>
      <c r="V624" s="42" t="str">
        <f t="shared" si="60"/>
        <v/>
      </c>
      <c r="W624" s="16"/>
      <c r="X624" s="28"/>
      <c r="Y624" s="29"/>
      <c r="AA624" s="66"/>
      <c r="AB624" s="11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28"/>
      <c r="AD624" s="129"/>
      <c r="AE624" s="129"/>
      <c r="AF624" s="129"/>
      <c r="AG624" s="129"/>
      <c r="AH624" s="129"/>
      <c r="AI624" s="129"/>
      <c r="AJ624" s="130"/>
    </row>
    <row r="625" spans="11:36">
      <c r="K625" s="76"/>
      <c r="L625" s="48" t="e">
        <f t="shared" si="59"/>
        <v>#VALUE!</v>
      </c>
      <c r="M625" s="32" t="str">
        <f t="shared" si="62"/>
        <v/>
      </c>
      <c r="N625" s="63" t="e">
        <f t="shared" si="61"/>
        <v>#VALUE!</v>
      </c>
      <c r="O625" s="86"/>
      <c r="P625" s="223"/>
      <c r="Q625" s="224"/>
      <c r="R625" s="135"/>
      <c r="S625" s="139" cm="1">
        <f t="array" ref="S625">IF(P625="",0,IF(OR(O625=";",P625="EQU",P625="ORG"),0,HlpGetInstructionSize(P625,Q625,R625,$AC$12)))</f>
        <v>0</v>
      </c>
      <c r="V625" s="42" t="str">
        <f t="shared" si="60"/>
        <v/>
      </c>
      <c r="W625" s="16"/>
      <c r="X625" s="28"/>
      <c r="Y625" s="29"/>
      <c r="AA625" s="66"/>
      <c r="AB625" s="11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28"/>
      <c r="AD625" s="129"/>
      <c r="AE625" s="129"/>
      <c r="AF625" s="129"/>
      <c r="AG625" s="129"/>
      <c r="AH625" s="129"/>
      <c r="AI625" s="129"/>
      <c r="AJ625" s="130"/>
    </row>
    <row r="626" spans="11:36">
      <c r="K626" s="76"/>
      <c r="L626" s="48" t="e">
        <f t="shared" si="59"/>
        <v>#VALUE!</v>
      </c>
      <c r="M626" s="32" t="str">
        <f t="shared" si="62"/>
        <v/>
      </c>
      <c r="N626" s="63" t="e">
        <f t="shared" si="61"/>
        <v>#VALUE!</v>
      </c>
      <c r="O626" s="86"/>
      <c r="P626" s="223"/>
      <c r="Q626" s="224"/>
      <c r="R626" s="135"/>
      <c r="S626" s="139" cm="1">
        <f t="array" ref="S626">IF(P626="",0,IF(OR(O626=";",P626="EQU",P626="ORG"),0,HlpGetInstructionSize(P626,Q626,R626,$AC$12)))</f>
        <v>0</v>
      </c>
      <c r="V626" s="42" t="str">
        <f t="shared" si="60"/>
        <v/>
      </c>
      <c r="W626" s="16"/>
      <c r="X626" s="28"/>
      <c r="Y626" s="29"/>
      <c r="AA626" s="66"/>
      <c r="AB626" s="11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28"/>
      <c r="AD626" s="129"/>
      <c r="AE626" s="129"/>
      <c r="AF626" s="129"/>
      <c r="AG626" s="129"/>
      <c r="AH626" s="129"/>
      <c r="AI626" s="129"/>
      <c r="AJ626" s="130"/>
    </row>
    <row r="627" spans="11:36">
      <c r="K627" s="76"/>
      <c r="L627" s="48" t="e">
        <f t="shared" si="59"/>
        <v>#VALUE!</v>
      </c>
      <c r="M627" s="32" t="str">
        <f t="shared" si="62"/>
        <v/>
      </c>
      <c r="N627" s="63" t="e">
        <f t="shared" si="61"/>
        <v>#VALUE!</v>
      </c>
      <c r="O627" s="86"/>
      <c r="P627" s="223"/>
      <c r="Q627" s="224"/>
      <c r="R627" s="135"/>
      <c r="S627" s="139" cm="1">
        <f t="array" ref="S627">IF(P627="",0,IF(OR(O627=";",P627="EQU",P627="ORG"),0,HlpGetInstructionSize(P627,Q627,R627,$AC$12)))</f>
        <v>0</v>
      </c>
      <c r="V627" s="42" t="str">
        <f t="shared" si="60"/>
        <v/>
      </c>
      <c r="W627" s="16"/>
      <c r="X627" s="28"/>
      <c r="Y627" s="29"/>
      <c r="AA627" s="66"/>
      <c r="AB627" s="11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28"/>
      <c r="AD627" s="129"/>
      <c r="AE627" s="129"/>
      <c r="AF627" s="129"/>
      <c r="AG627" s="129"/>
      <c r="AH627" s="129"/>
      <c r="AI627" s="129"/>
      <c r="AJ627" s="130"/>
    </row>
    <row r="628" spans="11:36">
      <c r="K628" s="76"/>
      <c r="L628" s="48" t="e">
        <f t="shared" si="59"/>
        <v>#VALUE!</v>
      </c>
      <c r="M628" s="32" t="str">
        <f t="shared" si="62"/>
        <v/>
      </c>
      <c r="N628" s="63" t="e">
        <f t="shared" si="61"/>
        <v>#VALUE!</v>
      </c>
      <c r="O628" s="86"/>
      <c r="P628" s="223"/>
      <c r="Q628" s="224"/>
      <c r="R628" s="135"/>
      <c r="S628" s="139" cm="1">
        <f t="array" ref="S628">IF(P628="",0,IF(OR(O628=";",P628="EQU",P628="ORG"),0,HlpGetInstructionSize(P628,Q628,R628,$AC$12)))</f>
        <v>0</v>
      </c>
      <c r="V628" s="42" t="str">
        <f t="shared" si="60"/>
        <v/>
      </c>
      <c r="W628" s="16"/>
      <c r="X628" s="28"/>
      <c r="Y628" s="29"/>
      <c r="AA628" s="66"/>
      <c r="AB628" s="11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28"/>
      <c r="AD628" s="129"/>
      <c r="AE628" s="129"/>
      <c r="AF628" s="129"/>
      <c r="AG628" s="129"/>
      <c r="AH628" s="129"/>
      <c r="AI628" s="129"/>
      <c r="AJ628" s="130"/>
    </row>
    <row r="629" spans="11:36">
      <c r="K629" s="76"/>
      <c r="L629" s="48" t="e">
        <f t="shared" si="59"/>
        <v>#VALUE!</v>
      </c>
      <c r="M629" s="32" t="str">
        <f t="shared" si="62"/>
        <v/>
      </c>
      <c r="N629" s="63" t="e">
        <f t="shared" si="61"/>
        <v>#VALUE!</v>
      </c>
      <c r="O629" s="86"/>
      <c r="P629" s="223"/>
      <c r="Q629" s="224"/>
      <c r="R629" s="135"/>
      <c r="S629" s="139" cm="1">
        <f t="array" ref="S629">IF(P629="",0,IF(OR(O629=";",P629="EQU",P629="ORG"),0,HlpGetInstructionSize(P629,Q629,R629,$AC$12)))</f>
        <v>0</v>
      </c>
      <c r="V629" s="42" t="str">
        <f t="shared" si="60"/>
        <v/>
      </c>
      <c r="W629" s="16"/>
      <c r="X629" s="28"/>
      <c r="Y629" s="29"/>
      <c r="AA629" s="66"/>
      <c r="AB629" s="11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28"/>
      <c r="AD629" s="129"/>
      <c r="AE629" s="129"/>
      <c r="AF629" s="129"/>
      <c r="AG629" s="129"/>
      <c r="AH629" s="129"/>
      <c r="AI629" s="129"/>
      <c r="AJ629" s="130"/>
    </row>
    <row r="630" spans="11:36">
      <c r="K630" s="76"/>
      <c r="L630" s="48" t="e">
        <f t="shared" si="59"/>
        <v>#VALUE!</v>
      </c>
      <c r="M630" s="32" t="str">
        <f t="shared" si="62"/>
        <v/>
      </c>
      <c r="N630" s="63" t="e">
        <f t="shared" si="61"/>
        <v>#VALUE!</v>
      </c>
      <c r="O630" s="86"/>
      <c r="P630" s="223"/>
      <c r="Q630" s="224"/>
      <c r="R630" s="135"/>
      <c r="S630" s="139" cm="1">
        <f t="array" ref="S630">IF(P630="",0,IF(OR(O630=";",P630="EQU",P630="ORG"),0,HlpGetInstructionSize(P630,Q630,R630,$AC$12)))</f>
        <v>0</v>
      </c>
      <c r="V630" s="42" t="str">
        <f t="shared" si="60"/>
        <v/>
      </c>
      <c r="W630" s="16"/>
      <c r="X630" s="28"/>
      <c r="Y630" s="29"/>
      <c r="AA630" s="66"/>
      <c r="AB630" s="11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28"/>
      <c r="AD630" s="129"/>
      <c r="AE630" s="129"/>
      <c r="AF630" s="129"/>
      <c r="AG630" s="129"/>
      <c r="AH630" s="129"/>
      <c r="AI630" s="129"/>
      <c r="AJ630" s="130"/>
    </row>
    <row r="631" spans="11:36">
      <c r="K631" s="76"/>
      <c r="L631" s="48" t="e">
        <f t="shared" si="59"/>
        <v>#VALUE!</v>
      </c>
      <c r="M631" s="32" t="str">
        <f t="shared" si="62"/>
        <v/>
      </c>
      <c r="N631" s="63" t="e">
        <f t="shared" si="61"/>
        <v>#VALUE!</v>
      </c>
      <c r="O631" s="86"/>
      <c r="P631" s="223"/>
      <c r="Q631" s="224"/>
      <c r="R631" s="135"/>
      <c r="S631" s="139" cm="1">
        <f t="array" ref="S631">IF(P631="",0,IF(OR(O631=";",P631="EQU",P631="ORG"),0,HlpGetInstructionSize(P631,Q631,R631,$AC$12)))</f>
        <v>0</v>
      </c>
      <c r="V631" s="42" t="str">
        <f t="shared" si="60"/>
        <v/>
      </c>
      <c r="W631" s="16"/>
      <c r="X631" s="28"/>
      <c r="Y631" s="29"/>
      <c r="AA631" s="66"/>
      <c r="AB631" s="11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28"/>
      <c r="AD631" s="129"/>
      <c r="AE631" s="129"/>
      <c r="AF631" s="129"/>
      <c r="AG631" s="129"/>
      <c r="AH631" s="129"/>
      <c r="AI631" s="129"/>
      <c r="AJ631" s="130"/>
    </row>
    <row r="632" spans="11:36">
      <c r="K632" s="76"/>
      <c r="L632" s="48" t="e">
        <f t="shared" si="59"/>
        <v>#VALUE!</v>
      </c>
      <c r="M632" s="32" t="str">
        <f t="shared" si="62"/>
        <v/>
      </c>
      <c r="N632" s="63" t="e">
        <f t="shared" si="61"/>
        <v>#VALUE!</v>
      </c>
      <c r="O632" s="86"/>
      <c r="P632" s="223"/>
      <c r="Q632" s="224"/>
      <c r="R632" s="135"/>
      <c r="S632" s="139" cm="1">
        <f t="array" ref="S632">IF(P632="",0,IF(OR(O632=";",P632="EQU",P632="ORG"),0,HlpGetInstructionSize(P632,Q632,R632,$AC$12)))</f>
        <v>0</v>
      </c>
      <c r="V632" s="42" t="str">
        <f t="shared" si="60"/>
        <v/>
      </c>
      <c r="W632" s="16"/>
      <c r="X632" s="28"/>
      <c r="Y632" s="29"/>
      <c r="AA632" s="66"/>
      <c r="AB632" s="11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28"/>
      <c r="AD632" s="129"/>
      <c r="AE632" s="129"/>
      <c r="AF632" s="129"/>
      <c r="AG632" s="129"/>
      <c r="AH632" s="129"/>
      <c r="AI632" s="129"/>
      <c r="AJ632" s="130"/>
    </row>
    <row r="633" spans="11:36">
      <c r="K633" s="76"/>
      <c r="L633" s="48" t="e">
        <f t="shared" si="59"/>
        <v>#VALUE!</v>
      </c>
      <c r="M633" s="32" t="str">
        <f t="shared" si="62"/>
        <v/>
      </c>
      <c r="N633" s="63" t="e">
        <f t="shared" si="61"/>
        <v>#VALUE!</v>
      </c>
      <c r="O633" s="86"/>
      <c r="P633" s="223"/>
      <c r="Q633" s="224"/>
      <c r="R633" s="135"/>
      <c r="S633" s="139" cm="1">
        <f t="array" ref="S633">IF(P633="",0,IF(OR(O633=";",P633="EQU",P633="ORG"),0,HlpGetInstructionSize(P633,Q633,R633,$AC$12)))</f>
        <v>0</v>
      </c>
      <c r="V633" s="42" t="str">
        <f t="shared" si="60"/>
        <v/>
      </c>
      <c r="W633" s="16"/>
      <c r="X633" s="28"/>
      <c r="Y633" s="29"/>
      <c r="AA633" s="66"/>
      <c r="AB633" s="11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28"/>
      <c r="AD633" s="129"/>
      <c r="AE633" s="129"/>
      <c r="AF633" s="129"/>
      <c r="AG633" s="129"/>
      <c r="AH633" s="129"/>
      <c r="AI633" s="129"/>
      <c r="AJ633" s="130"/>
    </row>
    <row r="634" spans="11:36">
      <c r="K634" s="76"/>
      <c r="L634" s="48" t="e">
        <f t="shared" si="59"/>
        <v>#VALUE!</v>
      </c>
      <c r="M634" s="32" t="str">
        <f t="shared" si="62"/>
        <v/>
      </c>
      <c r="N634" s="63" t="e">
        <f t="shared" si="61"/>
        <v>#VALUE!</v>
      </c>
      <c r="O634" s="86"/>
      <c r="P634" s="223"/>
      <c r="Q634" s="224"/>
      <c r="R634" s="135"/>
      <c r="S634" s="139" cm="1">
        <f t="array" ref="S634">IF(P634="",0,IF(OR(O634=";",P634="EQU",P634="ORG"),0,HlpGetInstructionSize(P634,Q634,R634,$AC$12)))</f>
        <v>0</v>
      </c>
      <c r="V634" s="42" t="str">
        <f t="shared" si="60"/>
        <v/>
      </c>
      <c r="W634" s="16"/>
      <c r="X634" s="28"/>
      <c r="Y634" s="29"/>
      <c r="AA634" s="66"/>
      <c r="AB634" s="11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28"/>
      <c r="AD634" s="129"/>
      <c r="AE634" s="129"/>
      <c r="AF634" s="129"/>
      <c r="AG634" s="129"/>
      <c r="AH634" s="129"/>
      <c r="AI634" s="129"/>
      <c r="AJ634" s="130"/>
    </row>
    <row r="635" spans="11:36">
      <c r="K635" s="76"/>
      <c r="L635" s="48" t="e">
        <f t="shared" si="59"/>
        <v>#VALUE!</v>
      </c>
      <c r="M635" s="32" t="str">
        <f t="shared" si="62"/>
        <v/>
      </c>
      <c r="N635" s="63" t="e">
        <f t="shared" si="61"/>
        <v>#VALUE!</v>
      </c>
      <c r="O635" s="86"/>
      <c r="P635" s="223"/>
      <c r="Q635" s="224"/>
      <c r="R635" s="135"/>
      <c r="S635" s="139" cm="1">
        <f t="array" ref="S635">IF(P635="",0,IF(OR(O635=";",P635="EQU",P635="ORG"),0,HlpGetInstructionSize(P635,Q635,R635,$AC$12)))</f>
        <v>0</v>
      </c>
      <c r="V635" s="42" t="str">
        <f t="shared" si="60"/>
        <v/>
      </c>
      <c r="W635" s="16"/>
      <c r="X635" s="28"/>
      <c r="Y635" s="29"/>
      <c r="AA635" s="66"/>
      <c r="AB635" s="11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28"/>
      <c r="AD635" s="129"/>
      <c r="AE635" s="129"/>
      <c r="AF635" s="129"/>
      <c r="AG635" s="129"/>
      <c r="AH635" s="129"/>
      <c r="AI635" s="129"/>
      <c r="AJ635" s="130"/>
    </row>
    <row r="636" spans="11:36">
      <c r="K636" s="76"/>
      <c r="L636" s="48" t="e">
        <f t="shared" si="59"/>
        <v>#VALUE!</v>
      </c>
      <c r="M636" s="32" t="str">
        <f t="shared" si="62"/>
        <v/>
      </c>
      <c r="N636" s="63" t="e">
        <f t="shared" si="61"/>
        <v>#VALUE!</v>
      </c>
      <c r="O636" s="86"/>
      <c r="P636" s="223"/>
      <c r="Q636" s="224"/>
      <c r="R636" s="135"/>
      <c r="S636" s="139" cm="1">
        <f t="array" ref="S636">IF(P636="",0,IF(OR(O636=";",P636="EQU",P636="ORG"),0,HlpGetInstructionSize(P636,Q636,R636,$AC$12)))</f>
        <v>0</v>
      </c>
      <c r="V636" s="42" t="str">
        <f t="shared" si="60"/>
        <v/>
      </c>
      <c r="W636" s="16"/>
      <c r="X636" s="28"/>
      <c r="Y636" s="29"/>
      <c r="AA636" s="66"/>
      <c r="AB636" s="11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28"/>
      <c r="AD636" s="129"/>
      <c r="AE636" s="129"/>
      <c r="AF636" s="129"/>
      <c r="AG636" s="129"/>
      <c r="AH636" s="129"/>
      <c r="AI636" s="129"/>
      <c r="AJ636" s="130"/>
    </row>
    <row r="637" spans="11:36">
      <c r="K637" s="76"/>
      <c r="L637" s="48" t="e">
        <f t="shared" si="59"/>
        <v>#VALUE!</v>
      </c>
      <c r="M637" s="32" t="str">
        <f t="shared" si="62"/>
        <v/>
      </c>
      <c r="N637" s="63" t="e">
        <f t="shared" si="61"/>
        <v>#VALUE!</v>
      </c>
      <c r="O637" s="86"/>
      <c r="P637" s="223"/>
      <c r="Q637" s="224"/>
      <c r="R637" s="135"/>
      <c r="S637" s="139" cm="1">
        <f t="array" ref="S637">IF(P637="",0,IF(OR(O637=";",P637="EQU",P637="ORG"),0,HlpGetInstructionSize(P637,Q637,R637,$AC$12)))</f>
        <v>0</v>
      </c>
      <c r="V637" s="42" t="str">
        <f t="shared" si="60"/>
        <v/>
      </c>
      <c r="W637" s="16"/>
      <c r="X637" s="28"/>
      <c r="Y637" s="29"/>
      <c r="AA637" s="66"/>
      <c r="AB637" s="11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28"/>
      <c r="AD637" s="129"/>
      <c r="AE637" s="129"/>
      <c r="AF637" s="129"/>
      <c r="AG637" s="129"/>
      <c r="AH637" s="129"/>
      <c r="AI637" s="129"/>
      <c r="AJ637" s="130"/>
    </row>
    <row r="638" spans="11:36">
      <c r="K638" s="76"/>
      <c r="L638" s="48" t="e">
        <f t="shared" si="59"/>
        <v>#VALUE!</v>
      </c>
      <c r="M638" s="32" t="str">
        <f t="shared" si="62"/>
        <v/>
      </c>
      <c r="N638" s="63" t="e">
        <f t="shared" si="61"/>
        <v>#VALUE!</v>
      </c>
      <c r="O638" s="86"/>
      <c r="P638" s="223"/>
      <c r="Q638" s="224"/>
      <c r="R638" s="135"/>
      <c r="S638" s="139" cm="1">
        <f t="array" ref="S638">IF(P638="",0,IF(OR(O638=";",P638="EQU",P638="ORG"),0,HlpGetInstructionSize(P638,Q638,R638,$AC$12)))</f>
        <v>0</v>
      </c>
      <c r="V638" s="42" t="str">
        <f t="shared" si="60"/>
        <v/>
      </c>
      <c r="W638" s="16"/>
      <c r="X638" s="28"/>
      <c r="Y638" s="29"/>
      <c r="AA638" s="66"/>
      <c r="AB638" s="11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28"/>
      <c r="AD638" s="129"/>
      <c r="AE638" s="129"/>
      <c r="AF638" s="129"/>
      <c r="AG638" s="129"/>
      <c r="AH638" s="129"/>
      <c r="AI638" s="129"/>
      <c r="AJ638" s="130"/>
    </row>
    <row r="639" spans="11:36">
      <c r="K639" s="76"/>
      <c r="L639" s="48" t="e">
        <f t="shared" si="59"/>
        <v>#VALUE!</v>
      </c>
      <c r="M639" s="32" t="str">
        <f t="shared" si="62"/>
        <v/>
      </c>
      <c r="N639" s="63" t="e">
        <f t="shared" si="61"/>
        <v>#VALUE!</v>
      </c>
      <c r="O639" s="86"/>
      <c r="P639" s="223"/>
      <c r="Q639" s="224"/>
      <c r="R639" s="135"/>
      <c r="S639" s="139" cm="1">
        <f t="array" ref="S639">IF(P639="",0,IF(OR(O639=";",P639="EQU",P639="ORG"),0,HlpGetInstructionSize(P639,Q639,R639,$AC$12)))</f>
        <v>0</v>
      </c>
      <c r="V639" s="42" t="str">
        <f t="shared" si="60"/>
        <v/>
      </c>
      <c r="W639" s="16"/>
      <c r="X639" s="28"/>
      <c r="Y639" s="29"/>
      <c r="AA639" s="66"/>
      <c r="AB639" s="11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28"/>
      <c r="AD639" s="129"/>
      <c r="AE639" s="129"/>
      <c r="AF639" s="129"/>
      <c r="AG639" s="129"/>
      <c r="AH639" s="129"/>
      <c r="AI639" s="129"/>
      <c r="AJ639" s="130"/>
    </row>
    <row r="640" spans="11:36">
      <c r="K640" s="76"/>
      <c r="L640" s="48" t="e">
        <f t="shared" si="59"/>
        <v>#VALUE!</v>
      </c>
      <c r="M640" s="32" t="str">
        <f t="shared" si="62"/>
        <v/>
      </c>
      <c r="N640" s="63" t="e">
        <f t="shared" si="61"/>
        <v>#VALUE!</v>
      </c>
      <c r="O640" s="86"/>
      <c r="P640" s="223"/>
      <c r="Q640" s="224"/>
      <c r="R640" s="135"/>
      <c r="S640" s="139" cm="1">
        <f t="array" ref="S640">IF(P640="",0,IF(OR(O640=";",P640="EQU",P640="ORG"),0,HlpGetInstructionSize(P640,Q640,R640,$AC$12)))</f>
        <v>0</v>
      </c>
      <c r="V640" s="42" t="str">
        <f t="shared" si="60"/>
        <v/>
      </c>
      <c r="W640" s="16"/>
      <c r="X640" s="28"/>
      <c r="Y640" s="29"/>
      <c r="AA640" s="66"/>
      <c r="AB640" s="11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28"/>
      <c r="AD640" s="129"/>
      <c r="AE640" s="129"/>
      <c r="AF640" s="129"/>
      <c r="AG640" s="129"/>
      <c r="AH640" s="129"/>
      <c r="AI640" s="129"/>
      <c r="AJ640" s="130"/>
    </row>
    <row r="641" spans="11:36">
      <c r="K641" s="76"/>
      <c r="L641" s="48" t="e">
        <f t="shared" si="59"/>
        <v>#VALUE!</v>
      </c>
      <c r="M641" s="32" t="str">
        <f t="shared" si="62"/>
        <v/>
      </c>
      <c r="N641" s="63" t="e">
        <f t="shared" si="61"/>
        <v>#VALUE!</v>
      </c>
      <c r="O641" s="86"/>
      <c r="P641" s="223"/>
      <c r="Q641" s="224"/>
      <c r="R641" s="135"/>
      <c r="S641" s="139" cm="1">
        <f t="array" ref="S641">IF(P641="",0,IF(OR(O641=";",P641="EQU",P641="ORG"),0,HlpGetInstructionSize(P641,Q641,R641,$AC$12)))</f>
        <v>0</v>
      </c>
      <c r="V641" s="42" t="str">
        <f t="shared" si="60"/>
        <v/>
      </c>
      <c r="W641" s="16"/>
      <c r="X641" s="28"/>
      <c r="Y641" s="29"/>
      <c r="AA641" s="66"/>
      <c r="AB641" s="11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28"/>
      <c r="AD641" s="129"/>
      <c r="AE641" s="129"/>
      <c r="AF641" s="129"/>
      <c r="AG641" s="129"/>
      <c r="AH641" s="129"/>
      <c r="AI641" s="129"/>
      <c r="AJ641" s="130"/>
    </row>
    <row r="642" spans="11:36">
      <c r="K642" s="76"/>
      <c r="L642" s="48" t="e">
        <f t="shared" si="59"/>
        <v>#VALUE!</v>
      </c>
      <c r="M642" s="32" t="str">
        <f t="shared" si="62"/>
        <v/>
      </c>
      <c r="N642" s="63" t="e">
        <f t="shared" si="61"/>
        <v>#VALUE!</v>
      </c>
      <c r="O642" s="86"/>
      <c r="P642" s="223"/>
      <c r="Q642" s="224"/>
      <c r="R642" s="135"/>
      <c r="S642" s="139" cm="1">
        <f t="array" ref="S642">IF(P642="",0,IF(OR(O642=";",P642="EQU",P642="ORG"),0,HlpGetInstructionSize(P642,Q642,R642,$AC$12)))</f>
        <v>0</v>
      </c>
      <c r="V642" s="42" t="str">
        <f t="shared" si="60"/>
        <v/>
      </c>
      <c r="W642" s="16"/>
      <c r="X642" s="28"/>
      <c r="Y642" s="29"/>
      <c r="AA642" s="66"/>
      <c r="AB642" s="11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28"/>
      <c r="AD642" s="129"/>
      <c r="AE642" s="129"/>
      <c r="AF642" s="129"/>
      <c r="AG642" s="129"/>
      <c r="AH642" s="129"/>
      <c r="AI642" s="129"/>
      <c r="AJ642" s="130"/>
    </row>
    <row r="643" spans="11:36">
      <c r="K643" s="76"/>
      <c r="L643" s="48" t="e">
        <f t="shared" si="59"/>
        <v>#VALUE!</v>
      </c>
      <c r="M643" s="32" t="str">
        <f t="shared" si="62"/>
        <v/>
      </c>
      <c r="N643" s="63" t="e">
        <f t="shared" si="61"/>
        <v>#VALUE!</v>
      </c>
      <c r="O643" s="86"/>
      <c r="P643" s="223"/>
      <c r="Q643" s="224"/>
      <c r="R643" s="135"/>
      <c r="S643" s="139" cm="1">
        <f t="array" ref="S643">IF(P643="",0,IF(OR(O643=";",P643="EQU",P643="ORG"),0,HlpGetInstructionSize(P643,Q643,R643,$AC$12)))</f>
        <v>0</v>
      </c>
      <c r="V643" s="42" t="str">
        <f t="shared" si="60"/>
        <v/>
      </c>
      <c r="W643" s="16"/>
      <c r="X643" s="28"/>
      <c r="Y643" s="29"/>
      <c r="AA643" s="66"/>
      <c r="AB643" s="11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28"/>
      <c r="AD643" s="129"/>
      <c r="AE643" s="129"/>
      <c r="AF643" s="129"/>
      <c r="AG643" s="129"/>
      <c r="AH643" s="129"/>
      <c r="AI643" s="129"/>
      <c r="AJ643" s="130"/>
    </row>
    <row r="644" spans="11:36">
      <c r="K644" s="76"/>
      <c r="L644" s="48" t="e">
        <f t="shared" si="59"/>
        <v>#VALUE!</v>
      </c>
      <c r="M644" s="32" t="str">
        <f t="shared" si="62"/>
        <v/>
      </c>
      <c r="N644" s="63" t="e">
        <f t="shared" si="61"/>
        <v>#VALUE!</v>
      </c>
      <c r="O644" s="86"/>
      <c r="P644" s="223"/>
      <c r="Q644" s="224"/>
      <c r="R644" s="135"/>
      <c r="S644" s="139" cm="1">
        <f t="array" ref="S644">IF(P644="",0,IF(OR(O644=";",P644="EQU",P644="ORG"),0,HlpGetInstructionSize(P644,Q644,R644,$AC$12)))</f>
        <v>0</v>
      </c>
      <c r="V644" s="42" t="str">
        <f t="shared" si="60"/>
        <v/>
      </c>
      <c r="W644" s="16"/>
      <c r="X644" s="28"/>
      <c r="Y644" s="29"/>
      <c r="AA644" s="66"/>
      <c r="AB644" s="11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28"/>
      <c r="AD644" s="129"/>
      <c r="AE644" s="129"/>
      <c r="AF644" s="129"/>
      <c r="AG644" s="129"/>
      <c r="AH644" s="129"/>
      <c r="AI644" s="129"/>
      <c r="AJ644" s="130"/>
    </row>
    <row r="645" spans="11:36">
      <c r="K645" s="76"/>
      <c r="L645" s="48" t="e">
        <f t="shared" si="59"/>
        <v>#VALUE!</v>
      </c>
      <c r="M645" s="32" t="str">
        <f t="shared" si="62"/>
        <v/>
      </c>
      <c r="N645" s="63" t="e">
        <f t="shared" si="61"/>
        <v>#VALUE!</v>
      </c>
      <c r="O645" s="86"/>
      <c r="P645" s="223"/>
      <c r="Q645" s="224"/>
      <c r="R645" s="135"/>
      <c r="S645" s="139" cm="1">
        <f t="array" ref="S645">IF(P645="",0,IF(OR(O645=";",P645="EQU",P645="ORG"),0,HlpGetInstructionSize(P645,Q645,R645,$AC$12)))</f>
        <v>0</v>
      </c>
      <c r="V645" s="42" t="str">
        <f t="shared" si="60"/>
        <v/>
      </c>
      <c r="W645" s="16"/>
      <c r="X645" s="28"/>
      <c r="Y645" s="29"/>
      <c r="AA645" s="66"/>
      <c r="AB645" s="11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28"/>
      <c r="AD645" s="129"/>
      <c r="AE645" s="129"/>
      <c r="AF645" s="129"/>
      <c r="AG645" s="129"/>
      <c r="AH645" s="129"/>
      <c r="AI645" s="129"/>
      <c r="AJ645" s="130"/>
    </row>
    <row r="646" spans="11:36">
      <c r="K646" s="76"/>
      <c r="L646" s="48" t="e">
        <f t="shared" si="59"/>
        <v>#VALUE!</v>
      </c>
      <c r="M646" s="32" t="str">
        <f t="shared" si="62"/>
        <v/>
      </c>
      <c r="N646" s="63" t="e">
        <f t="shared" si="61"/>
        <v>#VALUE!</v>
      </c>
      <c r="O646" s="86"/>
      <c r="P646" s="223"/>
      <c r="Q646" s="224"/>
      <c r="R646" s="135"/>
      <c r="S646" s="139" cm="1">
        <f t="array" ref="S646">IF(P646="",0,IF(OR(O646=";",P646="EQU",P646="ORG"),0,HlpGetInstructionSize(P646,Q646,R646,$AC$12)))</f>
        <v>0</v>
      </c>
      <c r="V646" s="42" t="str">
        <f t="shared" si="60"/>
        <v/>
      </c>
      <c r="W646" s="16"/>
      <c r="X646" s="28"/>
      <c r="Y646" s="29"/>
      <c r="AA646" s="66"/>
      <c r="AB646" s="11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28"/>
      <c r="AD646" s="129"/>
      <c r="AE646" s="129"/>
      <c r="AF646" s="129"/>
      <c r="AG646" s="129"/>
      <c r="AH646" s="129"/>
      <c r="AI646" s="129"/>
      <c r="AJ646" s="130"/>
    </row>
    <row r="647" spans="11:36">
      <c r="K647" s="76"/>
      <c r="L647" s="48" t="e">
        <f t="shared" si="59"/>
        <v>#VALUE!</v>
      </c>
      <c r="M647" s="32" t="str">
        <f t="shared" si="62"/>
        <v/>
      </c>
      <c r="N647" s="63" t="e">
        <f t="shared" si="61"/>
        <v>#VALUE!</v>
      </c>
      <c r="O647" s="86"/>
      <c r="P647" s="223"/>
      <c r="Q647" s="224"/>
      <c r="R647" s="135"/>
      <c r="S647" s="139" cm="1">
        <f t="array" ref="S647">IF(P647="",0,IF(OR(O647=";",P647="EQU",P647="ORG"),0,HlpGetInstructionSize(P647,Q647,R647,$AC$12)))</f>
        <v>0</v>
      </c>
      <c r="V647" s="42" t="str">
        <f t="shared" si="60"/>
        <v/>
      </c>
      <c r="W647" s="16"/>
      <c r="X647" s="28"/>
      <c r="Y647" s="29"/>
      <c r="AA647" s="66"/>
      <c r="AB647" s="11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28"/>
      <c r="AD647" s="129"/>
      <c r="AE647" s="129"/>
      <c r="AF647" s="129"/>
      <c r="AG647" s="129"/>
      <c r="AH647" s="129"/>
      <c r="AI647" s="129"/>
      <c r="AJ647" s="130"/>
    </row>
    <row r="648" spans="11:36">
      <c r="K648" s="76"/>
      <c r="L648" s="48" t="e">
        <f t="shared" si="59"/>
        <v>#VALUE!</v>
      </c>
      <c r="M648" s="32" t="str">
        <f t="shared" si="62"/>
        <v/>
      </c>
      <c r="N648" s="63" t="e">
        <f t="shared" si="61"/>
        <v>#VALUE!</v>
      </c>
      <c r="O648" s="86"/>
      <c r="P648" s="223"/>
      <c r="Q648" s="224"/>
      <c r="R648" s="135"/>
      <c r="S648" s="139" cm="1">
        <f t="array" ref="S648">IF(P648="",0,IF(OR(O648=";",P648="EQU",P648="ORG"),0,HlpGetInstructionSize(P648,Q648,R648,$AC$12)))</f>
        <v>0</v>
      </c>
      <c r="V648" s="42" t="str">
        <f t="shared" si="60"/>
        <v/>
      </c>
      <c r="W648" s="16"/>
      <c r="X648" s="28"/>
      <c r="Y648" s="29"/>
      <c r="AA648" s="66"/>
      <c r="AB648" s="11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28"/>
      <c r="AD648" s="129"/>
      <c r="AE648" s="129"/>
      <c r="AF648" s="129"/>
      <c r="AG648" s="129"/>
      <c r="AH648" s="129"/>
      <c r="AI648" s="129"/>
      <c r="AJ648" s="130"/>
    </row>
    <row r="649" spans="11:36">
      <c r="K649" s="76"/>
      <c r="L649" s="48" t="e">
        <f t="shared" ref="L649:L712" si="63">IF(UPPER(P649)="EQU","E",IF(P649="DB","D",IF(O649&lt;&gt;"","L",IF(N649="","F",""))))</f>
        <v>#VALUE!</v>
      </c>
      <c r="M649" s="32" t="str">
        <f t="shared" si="62"/>
        <v/>
      </c>
      <c r="N649" s="63" t="e">
        <f t="shared" si="61"/>
        <v>#VALUE!</v>
      </c>
      <c r="O649" s="86"/>
      <c r="P649" s="223"/>
      <c r="Q649" s="224"/>
      <c r="R649" s="135"/>
      <c r="S649" s="139" cm="1">
        <f t="array" ref="S649">IF(P649="",0,IF(OR(O649=";",P649="EQU",P649="ORG"),0,HlpGetInstructionSize(P649,Q649,R649,$AC$12)))</f>
        <v>0</v>
      </c>
      <c r="V649" s="42" t="str">
        <f t="shared" ref="V649:V712" si="64">IF(W649&gt;0,RIGHT("0000"&amp;DEC2HEX(W649),4),"")</f>
        <v/>
      </c>
      <c r="W649" s="16"/>
      <c r="X649" s="28"/>
      <c r="Y649" s="29"/>
      <c r="AA649" s="66"/>
      <c r="AB649" s="11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28"/>
      <c r="AD649" s="129"/>
      <c r="AE649" s="129"/>
      <c r="AF649" s="129"/>
      <c r="AG649" s="129"/>
      <c r="AH649" s="129"/>
      <c r="AI649" s="129"/>
      <c r="AJ649" s="130"/>
    </row>
    <row r="650" spans="11:36">
      <c r="K650" s="76"/>
      <c r="L650" s="48" t="e">
        <f t="shared" si="63"/>
        <v>#VALUE!</v>
      </c>
      <c r="M650" s="32" t="str">
        <f t="shared" si="62"/>
        <v/>
      </c>
      <c r="N650" s="63" t="e">
        <f t="shared" ref="N650:N713" si="65">N649+S649</f>
        <v>#VALUE!</v>
      </c>
      <c r="O650" s="86"/>
      <c r="P650" s="223"/>
      <c r="Q650" s="224"/>
      <c r="R650" s="135"/>
      <c r="S650" s="139" cm="1">
        <f t="array" ref="S650">IF(P650="",0,IF(OR(O650=";",P650="EQU",P650="ORG"),0,HlpGetInstructionSize(P650,Q650,R650,$AC$12)))</f>
        <v>0</v>
      </c>
      <c r="V650" s="42" t="str">
        <f t="shared" si="64"/>
        <v/>
      </c>
      <c r="W650" s="16"/>
      <c r="X650" s="28"/>
      <c r="Y650" s="29"/>
      <c r="AA650" s="66"/>
      <c r="AB650" s="11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28"/>
      <c r="AD650" s="129"/>
      <c r="AE650" s="129"/>
      <c r="AF650" s="129"/>
      <c r="AG650" s="129"/>
      <c r="AH650" s="129"/>
      <c r="AI650" s="129"/>
      <c r="AJ650" s="130"/>
    </row>
    <row r="651" spans="11:36">
      <c r="K651" s="76"/>
      <c r="L651" s="48" t="e">
        <f t="shared" si="63"/>
        <v>#VALUE!</v>
      </c>
      <c r="M651" s="32" t="str">
        <f t="shared" si="62"/>
        <v/>
      </c>
      <c r="N651" s="63" t="e">
        <f t="shared" si="65"/>
        <v>#VALUE!</v>
      </c>
      <c r="O651" s="86"/>
      <c r="P651" s="223"/>
      <c r="Q651" s="224"/>
      <c r="R651" s="135"/>
      <c r="S651" s="139" cm="1">
        <f t="array" ref="S651">IF(P651="",0,IF(OR(O651=";",P651="EQU",P651="ORG"),0,HlpGetInstructionSize(P651,Q651,R651,$AC$12)))</f>
        <v>0</v>
      </c>
      <c r="V651" s="42" t="str">
        <f t="shared" si="64"/>
        <v/>
      </c>
      <c r="W651" s="16"/>
      <c r="X651" s="28"/>
      <c r="Y651" s="29"/>
      <c r="AA651" s="66"/>
      <c r="AB651" s="11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28"/>
      <c r="AD651" s="129"/>
      <c r="AE651" s="129"/>
      <c r="AF651" s="129"/>
      <c r="AG651" s="129"/>
      <c r="AH651" s="129"/>
      <c r="AI651" s="129"/>
      <c r="AJ651" s="130"/>
    </row>
    <row r="652" spans="11:36">
      <c r="K652" s="76"/>
      <c r="L652" s="48" t="e">
        <f t="shared" si="63"/>
        <v>#VALUE!</v>
      </c>
      <c r="M652" s="32" t="str">
        <f t="shared" si="62"/>
        <v/>
      </c>
      <c r="N652" s="63" t="e">
        <f t="shared" si="65"/>
        <v>#VALUE!</v>
      </c>
      <c r="O652" s="86"/>
      <c r="P652" s="223"/>
      <c r="Q652" s="224"/>
      <c r="R652" s="135"/>
      <c r="S652" s="139" cm="1">
        <f t="array" ref="S652">IF(P652="",0,IF(OR(O652=";",P652="EQU",P652="ORG"),0,HlpGetInstructionSize(P652,Q652,R652,$AC$12)))</f>
        <v>0</v>
      </c>
      <c r="V652" s="42" t="str">
        <f t="shared" si="64"/>
        <v/>
      </c>
      <c r="W652" s="16"/>
      <c r="X652" s="28"/>
      <c r="Y652" s="29"/>
      <c r="AA652" s="66"/>
      <c r="AB652" s="11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28"/>
      <c r="AD652" s="129"/>
      <c r="AE652" s="129"/>
      <c r="AF652" s="129"/>
      <c r="AG652" s="129"/>
      <c r="AH652" s="129"/>
      <c r="AI652" s="129"/>
      <c r="AJ652" s="130"/>
    </row>
    <row r="653" spans="11:36">
      <c r="K653" s="76"/>
      <c r="L653" s="48" t="e">
        <f t="shared" si="63"/>
        <v>#VALUE!</v>
      </c>
      <c r="M653" s="32" t="str">
        <f t="shared" si="62"/>
        <v/>
      </c>
      <c r="N653" s="63" t="e">
        <f t="shared" si="65"/>
        <v>#VALUE!</v>
      </c>
      <c r="O653" s="86"/>
      <c r="P653" s="223"/>
      <c r="Q653" s="224"/>
      <c r="R653" s="135"/>
      <c r="S653" s="139" cm="1">
        <f t="array" ref="S653">IF(P653="",0,IF(OR(O653=";",P653="EQU",P653="ORG"),0,HlpGetInstructionSize(P653,Q653,R653,$AC$12)))</f>
        <v>0</v>
      </c>
      <c r="V653" s="42" t="str">
        <f t="shared" si="64"/>
        <v/>
      </c>
      <c r="W653" s="16"/>
      <c r="X653" s="28"/>
      <c r="Y653" s="29"/>
      <c r="AA653" s="66"/>
      <c r="AB653" s="11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28"/>
      <c r="AD653" s="129"/>
      <c r="AE653" s="129"/>
      <c r="AF653" s="129"/>
      <c r="AG653" s="129"/>
      <c r="AH653" s="129"/>
      <c r="AI653" s="129"/>
      <c r="AJ653" s="130"/>
    </row>
    <row r="654" spans="11:36">
      <c r="K654" s="76"/>
      <c r="L654" s="48" t="e">
        <f t="shared" si="63"/>
        <v>#VALUE!</v>
      </c>
      <c r="M654" s="32" t="str">
        <f t="shared" si="62"/>
        <v/>
      </c>
      <c r="N654" s="63" t="e">
        <f t="shared" si="65"/>
        <v>#VALUE!</v>
      </c>
      <c r="O654" s="86"/>
      <c r="P654" s="223"/>
      <c r="Q654" s="224"/>
      <c r="R654" s="135"/>
      <c r="S654" s="139" cm="1">
        <f t="array" ref="S654">IF(P654="",0,IF(OR(O654=";",P654="EQU",P654="ORG"),0,HlpGetInstructionSize(P654,Q654,R654,$AC$12)))</f>
        <v>0</v>
      </c>
      <c r="V654" s="42" t="str">
        <f t="shared" si="64"/>
        <v/>
      </c>
      <c r="W654" s="16"/>
      <c r="X654" s="28"/>
      <c r="Y654" s="29"/>
      <c r="AA654" s="66"/>
      <c r="AB654" s="11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28"/>
      <c r="AD654" s="129"/>
      <c r="AE654" s="129"/>
      <c r="AF654" s="129"/>
      <c r="AG654" s="129"/>
      <c r="AH654" s="129"/>
      <c r="AI654" s="129"/>
      <c r="AJ654" s="130"/>
    </row>
    <row r="655" spans="11:36">
      <c r="K655" s="76"/>
      <c r="L655" s="48" t="e">
        <f t="shared" si="63"/>
        <v>#VALUE!</v>
      </c>
      <c r="M655" s="32" t="str">
        <f t="shared" si="62"/>
        <v/>
      </c>
      <c r="N655" s="63" t="e">
        <f t="shared" si="65"/>
        <v>#VALUE!</v>
      </c>
      <c r="O655" s="86"/>
      <c r="P655" s="223"/>
      <c r="Q655" s="224"/>
      <c r="R655" s="135"/>
      <c r="S655" s="139" cm="1">
        <f t="array" ref="S655">IF(P655="",0,IF(OR(O655=";",P655="EQU",P655="ORG"),0,HlpGetInstructionSize(P655,Q655,R655,$AC$12)))</f>
        <v>0</v>
      </c>
      <c r="V655" s="42" t="str">
        <f t="shared" si="64"/>
        <v/>
      </c>
      <c r="W655" s="16"/>
      <c r="X655" s="28"/>
      <c r="Y655" s="29"/>
      <c r="AA655" s="66"/>
      <c r="AB655" s="11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28"/>
      <c r="AD655" s="129"/>
      <c r="AE655" s="129"/>
      <c r="AF655" s="129"/>
      <c r="AG655" s="129"/>
      <c r="AH655" s="129"/>
      <c r="AI655" s="129"/>
      <c r="AJ655" s="130"/>
    </row>
    <row r="656" spans="11:36">
      <c r="K656" s="76"/>
      <c r="L656" s="48" t="e">
        <f t="shared" si="63"/>
        <v>#VALUE!</v>
      </c>
      <c r="M656" s="32" t="str">
        <f t="shared" si="62"/>
        <v/>
      </c>
      <c r="N656" s="63" t="e">
        <f t="shared" si="65"/>
        <v>#VALUE!</v>
      </c>
      <c r="O656" s="86"/>
      <c r="P656" s="223"/>
      <c r="Q656" s="224"/>
      <c r="R656" s="135"/>
      <c r="S656" s="139" cm="1">
        <f t="array" ref="S656">IF(P656="",0,IF(OR(O656=";",P656="EQU",P656="ORG"),0,HlpGetInstructionSize(P656,Q656,R656,$AC$12)))</f>
        <v>0</v>
      </c>
      <c r="V656" s="42" t="str">
        <f t="shared" si="64"/>
        <v/>
      </c>
      <c r="W656" s="16"/>
      <c r="X656" s="28"/>
      <c r="Y656" s="29"/>
      <c r="AA656" s="66"/>
      <c r="AB656" s="11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28"/>
      <c r="AD656" s="129"/>
      <c r="AE656" s="129"/>
      <c r="AF656" s="129"/>
      <c r="AG656" s="129"/>
      <c r="AH656" s="129"/>
      <c r="AI656" s="129"/>
      <c r="AJ656" s="130"/>
    </row>
    <row r="657" spans="11:36">
      <c r="K657" s="76"/>
      <c r="L657" s="48" t="e">
        <f t="shared" si="63"/>
        <v>#VALUE!</v>
      </c>
      <c r="M657" s="32" t="str">
        <f t="shared" si="62"/>
        <v/>
      </c>
      <c r="N657" s="63" t="e">
        <f t="shared" si="65"/>
        <v>#VALUE!</v>
      </c>
      <c r="O657" s="86"/>
      <c r="P657" s="223"/>
      <c r="Q657" s="224"/>
      <c r="R657" s="135"/>
      <c r="S657" s="139" cm="1">
        <f t="array" ref="S657">IF(P657="",0,IF(OR(O657=";",P657="EQU",P657="ORG"),0,HlpGetInstructionSize(P657,Q657,R657,$AC$12)))</f>
        <v>0</v>
      </c>
      <c r="V657" s="42" t="str">
        <f t="shared" si="64"/>
        <v/>
      </c>
      <c r="W657" s="16"/>
      <c r="X657" s="28"/>
      <c r="Y657" s="29"/>
      <c r="AA657" s="66"/>
      <c r="AB657" s="11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28"/>
      <c r="AD657" s="129"/>
      <c r="AE657" s="129"/>
      <c r="AF657" s="129"/>
      <c r="AG657" s="129"/>
      <c r="AH657" s="129"/>
      <c r="AI657" s="129"/>
      <c r="AJ657" s="130"/>
    </row>
    <row r="658" spans="11:36">
      <c r="K658" s="76"/>
      <c r="L658" s="48" t="e">
        <f t="shared" si="63"/>
        <v>#VALUE!</v>
      </c>
      <c r="M658" s="32" t="str">
        <f t="shared" si="62"/>
        <v/>
      </c>
      <c r="N658" s="63" t="e">
        <f t="shared" si="65"/>
        <v>#VALUE!</v>
      </c>
      <c r="O658" s="86"/>
      <c r="P658" s="223"/>
      <c r="Q658" s="224"/>
      <c r="R658" s="135"/>
      <c r="S658" s="139" cm="1">
        <f t="array" ref="S658">IF(P658="",0,IF(OR(O658=";",P658="EQU",P658="ORG"),0,HlpGetInstructionSize(P658,Q658,R658,$AC$12)))</f>
        <v>0</v>
      </c>
      <c r="V658" s="42" t="str">
        <f t="shared" si="64"/>
        <v/>
      </c>
      <c r="W658" s="16"/>
      <c r="X658" s="28"/>
      <c r="Y658" s="29"/>
      <c r="AA658" s="66"/>
      <c r="AB658" s="11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28"/>
      <c r="AD658" s="129"/>
      <c r="AE658" s="129"/>
      <c r="AF658" s="129"/>
      <c r="AG658" s="129"/>
      <c r="AH658" s="129"/>
      <c r="AI658" s="129"/>
      <c r="AJ658" s="130"/>
    </row>
    <row r="659" spans="11:36">
      <c r="K659" s="76"/>
      <c r="L659" s="48" t="e">
        <f t="shared" si="63"/>
        <v>#VALUE!</v>
      </c>
      <c r="M659" s="32" t="str">
        <f t="shared" si="62"/>
        <v/>
      </c>
      <c r="N659" s="63" t="e">
        <f t="shared" si="65"/>
        <v>#VALUE!</v>
      </c>
      <c r="O659" s="86"/>
      <c r="P659" s="223"/>
      <c r="Q659" s="224"/>
      <c r="R659" s="135"/>
      <c r="S659" s="139" cm="1">
        <f t="array" ref="S659">IF(P659="",0,IF(OR(O659=";",P659="EQU",P659="ORG"),0,HlpGetInstructionSize(P659,Q659,R659,$AC$12)))</f>
        <v>0</v>
      </c>
      <c r="V659" s="42" t="str">
        <f t="shared" si="64"/>
        <v/>
      </c>
      <c r="W659" s="16"/>
      <c r="X659" s="28"/>
      <c r="Y659" s="29"/>
      <c r="AA659" s="66"/>
      <c r="AB659" s="11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28"/>
      <c r="AD659" s="129"/>
      <c r="AE659" s="129"/>
      <c r="AF659" s="129"/>
      <c r="AG659" s="129"/>
      <c r="AH659" s="129"/>
      <c r="AI659" s="129"/>
      <c r="AJ659" s="130"/>
    </row>
    <row r="660" spans="11:36">
      <c r="K660" s="76"/>
      <c r="L660" s="48" t="e">
        <f t="shared" si="63"/>
        <v>#VALUE!</v>
      </c>
      <c r="M660" s="32" t="str">
        <f t="shared" si="62"/>
        <v/>
      </c>
      <c r="N660" s="63" t="e">
        <f t="shared" si="65"/>
        <v>#VALUE!</v>
      </c>
      <c r="O660" s="86"/>
      <c r="P660" s="223"/>
      <c r="Q660" s="224"/>
      <c r="R660" s="135"/>
      <c r="S660" s="139" cm="1">
        <f t="array" ref="S660">IF(P660="",0,IF(OR(O660=";",P660="EQU",P660="ORG"),0,HlpGetInstructionSize(P660,Q660,R660,$AC$12)))</f>
        <v>0</v>
      </c>
      <c r="V660" s="42" t="str">
        <f t="shared" si="64"/>
        <v/>
      </c>
      <c r="W660" s="16"/>
      <c r="X660" s="28"/>
      <c r="Y660" s="29"/>
      <c r="AA660" s="66"/>
      <c r="AB660" s="11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28"/>
      <c r="AD660" s="129"/>
      <c r="AE660" s="129"/>
      <c r="AF660" s="129"/>
      <c r="AG660" s="129"/>
      <c r="AH660" s="129"/>
      <c r="AI660" s="129"/>
      <c r="AJ660" s="130"/>
    </row>
    <row r="661" spans="11:36">
      <c r="K661" s="76"/>
      <c r="L661" s="48" t="e">
        <f t="shared" si="63"/>
        <v>#VALUE!</v>
      </c>
      <c r="M661" s="32" t="str">
        <f t="shared" si="62"/>
        <v/>
      </c>
      <c r="N661" s="63" t="e">
        <f t="shared" si="65"/>
        <v>#VALUE!</v>
      </c>
      <c r="O661" s="86"/>
      <c r="P661" s="223"/>
      <c r="Q661" s="224"/>
      <c r="R661" s="135"/>
      <c r="S661" s="139" cm="1">
        <f t="array" ref="S661">IF(P661="",0,IF(OR(O661=";",P661="EQU",P661="ORG"),0,HlpGetInstructionSize(P661,Q661,R661,$AC$12)))</f>
        <v>0</v>
      </c>
      <c r="V661" s="42" t="str">
        <f t="shared" si="64"/>
        <v/>
      </c>
      <c r="W661" s="16"/>
      <c r="X661" s="28"/>
      <c r="Y661" s="29"/>
      <c r="AA661" s="66"/>
      <c r="AB661" s="11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28"/>
      <c r="AD661" s="129"/>
      <c r="AE661" s="129"/>
      <c r="AF661" s="129"/>
      <c r="AG661" s="129"/>
      <c r="AH661" s="129"/>
      <c r="AI661" s="129"/>
      <c r="AJ661" s="130"/>
    </row>
    <row r="662" spans="11:36">
      <c r="K662" s="76"/>
      <c r="L662" s="48" t="e">
        <f t="shared" si="63"/>
        <v>#VALUE!</v>
      </c>
      <c r="M662" s="32" t="str">
        <f t="shared" si="62"/>
        <v/>
      </c>
      <c r="N662" s="63" t="e">
        <f t="shared" si="65"/>
        <v>#VALUE!</v>
      </c>
      <c r="O662" s="86"/>
      <c r="P662" s="223"/>
      <c r="Q662" s="224"/>
      <c r="R662" s="135"/>
      <c r="S662" s="139" cm="1">
        <f t="array" ref="S662">IF(P662="",0,IF(OR(O662=";",P662="EQU",P662="ORG"),0,HlpGetInstructionSize(P662,Q662,R662,$AC$12)))</f>
        <v>0</v>
      </c>
      <c r="V662" s="42" t="str">
        <f t="shared" si="64"/>
        <v/>
      </c>
      <c r="W662" s="16"/>
      <c r="X662" s="28"/>
      <c r="Y662" s="29"/>
      <c r="AA662" s="66"/>
      <c r="AB662" s="11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28"/>
      <c r="AD662" s="129"/>
      <c r="AE662" s="129"/>
      <c r="AF662" s="129"/>
      <c r="AG662" s="129"/>
      <c r="AH662" s="129"/>
      <c r="AI662" s="129"/>
      <c r="AJ662" s="130"/>
    </row>
    <row r="663" spans="11:36">
      <c r="K663" s="76"/>
      <c r="L663" s="48" t="e">
        <f t="shared" si="63"/>
        <v>#VALUE!</v>
      </c>
      <c r="M663" s="32" t="str">
        <f t="shared" si="62"/>
        <v/>
      </c>
      <c r="N663" s="63" t="e">
        <f t="shared" si="65"/>
        <v>#VALUE!</v>
      </c>
      <c r="O663" s="86"/>
      <c r="P663" s="223"/>
      <c r="Q663" s="224"/>
      <c r="R663" s="135"/>
      <c r="S663" s="139" cm="1">
        <f t="array" ref="S663">IF(P663="",0,IF(OR(O663=";",P663="EQU",P663="ORG"),0,HlpGetInstructionSize(P663,Q663,R663,$AC$12)))</f>
        <v>0</v>
      </c>
      <c r="V663" s="42" t="str">
        <f t="shared" si="64"/>
        <v/>
      </c>
      <c r="W663" s="16"/>
      <c r="X663" s="28"/>
      <c r="Y663" s="29"/>
      <c r="AA663" s="66"/>
      <c r="AB663" s="11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28"/>
      <c r="AD663" s="129"/>
      <c r="AE663" s="129"/>
      <c r="AF663" s="129"/>
      <c r="AG663" s="129"/>
      <c r="AH663" s="129"/>
      <c r="AI663" s="129"/>
      <c r="AJ663" s="130"/>
    </row>
    <row r="664" spans="11:36">
      <c r="K664" s="76"/>
      <c r="L664" s="48" t="e">
        <f t="shared" si="63"/>
        <v>#VALUE!</v>
      </c>
      <c r="M664" s="32" t="str">
        <f t="shared" si="62"/>
        <v/>
      </c>
      <c r="N664" s="63" t="e">
        <f t="shared" si="65"/>
        <v>#VALUE!</v>
      </c>
      <c r="O664" s="86"/>
      <c r="P664" s="223"/>
      <c r="Q664" s="224"/>
      <c r="R664" s="135"/>
      <c r="S664" s="139" cm="1">
        <f t="array" ref="S664">IF(P664="",0,IF(OR(O664=";",P664="EQU",P664="ORG"),0,HlpGetInstructionSize(P664,Q664,R664,$AC$12)))</f>
        <v>0</v>
      </c>
      <c r="V664" s="42" t="str">
        <f t="shared" si="64"/>
        <v/>
      </c>
      <c r="W664" s="16"/>
      <c r="X664" s="28"/>
      <c r="Y664" s="29"/>
      <c r="AA664" s="66"/>
      <c r="AB664" s="11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28"/>
      <c r="AD664" s="129"/>
      <c r="AE664" s="129"/>
      <c r="AF664" s="129"/>
      <c r="AG664" s="129"/>
      <c r="AH664" s="129"/>
      <c r="AI664" s="129"/>
      <c r="AJ664" s="130"/>
    </row>
    <row r="665" spans="11:36">
      <c r="K665" s="76"/>
      <c r="L665" s="48" t="e">
        <f t="shared" si="63"/>
        <v>#VALUE!</v>
      </c>
      <c r="M665" s="32" t="str">
        <f t="shared" si="62"/>
        <v/>
      </c>
      <c r="N665" s="63" t="e">
        <f t="shared" si="65"/>
        <v>#VALUE!</v>
      </c>
      <c r="O665" s="86"/>
      <c r="P665" s="223"/>
      <c r="Q665" s="224"/>
      <c r="R665" s="135"/>
      <c r="S665" s="139" cm="1">
        <f t="array" ref="S665">IF(P665="",0,IF(OR(O665=";",P665="EQU",P665="ORG"),0,HlpGetInstructionSize(P665,Q665,R665,$AC$12)))</f>
        <v>0</v>
      </c>
      <c r="V665" s="42" t="str">
        <f t="shared" si="64"/>
        <v/>
      </c>
      <c r="W665" s="16"/>
      <c r="X665" s="28"/>
      <c r="Y665" s="29"/>
      <c r="AA665" s="66"/>
      <c r="AB665" s="11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28"/>
      <c r="AD665" s="129"/>
      <c r="AE665" s="129"/>
      <c r="AF665" s="129"/>
      <c r="AG665" s="129"/>
      <c r="AH665" s="129"/>
      <c r="AI665" s="129"/>
      <c r="AJ665" s="130"/>
    </row>
    <row r="666" spans="11:36">
      <c r="K666" s="76"/>
      <c r="L666" s="48" t="e">
        <f t="shared" si="63"/>
        <v>#VALUE!</v>
      </c>
      <c r="M666" s="32" t="str">
        <f t="shared" si="62"/>
        <v/>
      </c>
      <c r="N666" s="63" t="e">
        <f t="shared" si="65"/>
        <v>#VALUE!</v>
      </c>
      <c r="O666" s="86"/>
      <c r="P666" s="223"/>
      <c r="Q666" s="224"/>
      <c r="R666" s="135"/>
      <c r="S666" s="139" cm="1">
        <f t="array" ref="S666">IF(P666="",0,IF(OR(O666=";",P666="EQU",P666="ORG"),0,HlpGetInstructionSize(P666,Q666,R666,$AC$12)))</f>
        <v>0</v>
      </c>
      <c r="V666" s="42" t="str">
        <f t="shared" si="64"/>
        <v/>
      </c>
      <c r="W666" s="16"/>
      <c r="X666" s="28"/>
      <c r="Y666" s="29"/>
      <c r="AA666" s="66"/>
      <c r="AB666" s="11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28"/>
      <c r="AD666" s="129"/>
      <c r="AE666" s="129"/>
      <c r="AF666" s="129"/>
      <c r="AG666" s="129"/>
      <c r="AH666" s="129"/>
      <c r="AI666" s="129"/>
      <c r="AJ666" s="130"/>
    </row>
    <row r="667" spans="11:36">
      <c r="K667" s="76"/>
      <c r="L667" s="48" t="e">
        <f t="shared" si="63"/>
        <v>#VALUE!</v>
      </c>
      <c r="M667" s="32" t="str">
        <f t="shared" si="62"/>
        <v/>
      </c>
      <c r="N667" s="63" t="e">
        <f t="shared" si="65"/>
        <v>#VALUE!</v>
      </c>
      <c r="O667" s="86"/>
      <c r="P667" s="223"/>
      <c r="Q667" s="224"/>
      <c r="R667" s="135"/>
      <c r="S667" s="139" cm="1">
        <f t="array" ref="S667">IF(P667="",0,IF(OR(O667=";",P667="EQU",P667="ORG"),0,HlpGetInstructionSize(P667,Q667,R667,$AC$12)))</f>
        <v>0</v>
      </c>
      <c r="V667" s="42" t="str">
        <f t="shared" si="64"/>
        <v/>
      </c>
      <c r="W667" s="16"/>
      <c r="X667" s="28"/>
      <c r="Y667" s="29"/>
      <c r="AA667" s="66"/>
      <c r="AB667" s="11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28"/>
      <c r="AD667" s="129"/>
      <c r="AE667" s="129"/>
      <c r="AF667" s="129"/>
      <c r="AG667" s="129"/>
      <c r="AH667" s="129"/>
      <c r="AI667" s="129"/>
      <c r="AJ667" s="130"/>
    </row>
    <row r="668" spans="11:36">
      <c r="K668" s="76"/>
      <c r="L668" s="48" t="e">
        <f t="shared" si="63"/>
        <v>#VALUE!</v>
      </c>
      <c r="M668" s="32" t="str">
        <f t="shared" si="62"/>
        <v/>
      </c>
      <c r="N668" s="63" t="e">
        <f t="shared" si="65"/>
        <v>#VALUE!</v>
      </c>
      <c r="O668" s="86"/>
      <c r="P668" s="223"/>
      <c r="Q668" s="224"/>
      <c r="R668" s="135"/>
      <c r="S668" s="139" cm="1">
        <f t="array" ref="S668">IF(P668="",0,IF(OR(O668=";",P668="EQU",P668="ORG"),0,HlpGetInstructionSize(P668,Q668,R668,$AC$12)))</f>
        <v>0</v>
      </c>
      <c r="V668" s="42" t="str">
        <f t="shared" si="64"/>
        <v/>
      </c>
      <c r="W668" s="16"/>
      <c r="X668" s="28"/>
      <c r="Y668" s="29"/>
      <c r="AA668" s="66"/>
      <c r="AB668" s="11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28"/>
      <c r="AD668" s="129"/>
      <c r="AE668" s="129"/>
      <c r="AF668" s="129"/>
      <c r="AG668" s="129"/>
      <c r="AH668" s="129"/>
      <c r="AI668" s="129"/>
      <c r="AJ668" s="130"/>
    </row>
    <row r="669" spans="11:36">
      <c r="K669" s="76"/>
      <c r="L669" s="48" t="e">
        <f t="shared" si="63"/>
        <v>#VALUE!</v>
      </c>
      <c r="M669" s="32" t="str">
        <f t="shared" ref="M669:M732" si="66">IFERROR(RIGHT("0000"&amp;DEC2HEX(N669),4),"")</f>
        <v/>
      </c>
      <c r="N669" s="63" t="e">
        <f t="shared" si="65"/>
        <v>#VALUE!</v>
      </c>
      <c r="O669" s="86"/>
      <c r="P669" s="223"/>
      <c r="Q669" s="224"/>
      <c r="R669" s="135"/>
      <c r="S669" s="139" cm="1">
        <f t="array" ref="S669">IF(P669="",0,IF(OR(O669=";",P669="EQU",P669="ORG"),0,HlpGetInstructionSize(P669,Q669,R669,$AC$12)))</f>
        <v>0</v>
      </c>
      <c r="V669" s="42" t="str">
        <f t="shared" si="64"/>
        <v/>
      </c>
      <c r="W669" s="16"/>
      <c r="X669" s="28"/>
      <c r="Y669" s="29"/>
      <c r="AA669" s="66"/>
      <c r="AB669" s="11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28"/>
      <c r="AD669" s="129"/>
      <c r="AE669" s="129"/>
      <c r="AF669" s="129"/>
      <c r="AG669" s="129"/>
      <c r="AH669" s="129"/>
      <c r="AI669" s="129"/>
      <c r="AJ669" s="130"/>
    </row>
    <row r="670" spans="11:36">
      <c r="K670" s="76"/>
      <c r="L670" s="48" t="e">
        <f t="shared" si="63"/>
        <v>#VALUE!</v>
      </c>
      <c r="M670" s="32" t="str">
        <f t="shared" si="66"/>
        <v/>
      </c>
      <c r="N670" s="63" t="e">
        <f t="shared" si="65"/>
        <v>#VALUE!</v>
      </c>
      <c r="O670" s="86"/>
      <c r="P670" s="223"/>
      <c r="Q670" s="224"/>
      <c r="R670" s="135"/>
      <c r="S670" s="139" cm="1">
        <f t="array" ref="S670">IF(P670="",0,IF(OR(O670=";",P670="EQU",P670="ORG"),0,HlpGetInstructionSize(P670,Q670,R670,$AC$12)))</f>
        <v>0</v>
      </c>
      <c r="V670" s="42" t="str">
        <f t="shared" si="64"/>
        <v/>
      </c>
      <c r="W670" s="16"/>
      <c r="X670" s="28"/>
      <c r="Y670" s="29"/>
      <c r="AA670" s="66"/>
      <c r="AB670" s="11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28"/>
      <c r="AD670" s="129"/>
      <c r="AE670" s="129"/>
      <c r="AF670" s="129"/>
      <c r="AG670" s="129"/>
      <c r="AH670" s="129"/>
      <c r="AI670" s="129"/>
      <c r="AJ670" s="130"/>
    </row>
    <row r="671" spans="11:36">
      <c r="K671" s="76"/>
      <c r="L671" s="48" t="e">
        <f t="shared" si="63"/>
        <v>#VALUE!</v>
      </c>
      <c r="M671" s="32" t="str">
        <f t="shared" si="66"/>
        <v/>
      </c>
      <c r="N671" s="63" t="e">
        <f t="shared" si="65"/>
        <v>#VALUE!</v>
      </c>
      <c r="O671" s="86"/>
      <c r="P671" s="223"/>
      <c r="Q671" s="224"/>
      <c r="R671" s="135"/>
      <c r="S671" s="139" cm="1">
        <f t="array" ref="S671">IF(P671="",0,IF(OR(O671=";",P671="EQU",P671="ORG"),0,HlpGetInstructionSize(P671,Q671,R671,$AC$12)))</f>
        <v>0</v>
      </c>
      <c r="V671" s="42" t="str">
        <f t="shared" si="64"/>
        <v/>
      </c>
      <c r="W671" s="16"/>
      <c r="X671" s="28"/>
      <c r="Y671" s="29"/>
      <c r="AA671" s="66"/>
      <c r="AB671" s="11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28"/>
      <c r="AD671" s="129"/>
      <c r="AE671" s="129"/>
      <c r="AF671" s="129"/>
      <c r="AG671" s="129"/>
      <c r="AH671" s="129"/>
      <c r="AI671" s="129"/>
      <c r="AJ671" s="130"/>
    </row>
    <row r="672" spans="11:36">
      <c r="K672" s="76"/>
      <c r="L672" s="48" t="e">
        <f t="shared" si="63"/>
        <v>#VALUE!</v>
      </c>
      <c r="M672" s="32" t="str">
        <f t="shared" si="66"/>
        <v/>
      </c>
      <c r="N672" s="63" t="e">
        <f t="shared" si="65"/>
        <v>#VALUE!</v>
      </c>
      <c r="O672" s="86"/>
      <c r="P672" s="223"/>
      <c r="Q672" s="224"/>
      <c r="R672" s="135"/>
      <c r="S672" s="139" cm="1">
        <f t="array" ref="S672">IF(P672="",0,IF(OR(O672=";",P672="EQU",P672="ORG"),0,HlpGetInstructionSize(P672,Q672,R672,$AC$12)))</f>
        <v>0</v>
      </c>
      <c r="V672" s="42" t="str">
        <f t="shared" si="64"/>
        <v/>
      </c>
      <c r="W672" s="16"/>
      <c r="X672" s="28"/>
      <c r="Y672" s="29"/>
      <c r="AA672" s="66"/>
      <c r="AB672" s="11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28"/>
      <c r="AD672" s="129"/>
      <c r="AE672" s="129"/>
      <c r="AF672" s="129"/>
      <c r="AG672" s="129"/>
      <c r="AH672" s="129"/>
      <c r="AI672" s="129"/>
      <c r="AJ672" s="130"/>
    </row>
    <row r="673" spans="11:36">
      <c r="K673" s="76"/>
      <c r="L673" s="48" t="e">
        <f t="shared" si="63"/>
        <v>#VALUE!</v>
      </c>
      <c r="M673" s="32" t="str">
        <f t="shared" si="66"/>
        <v/>
      </c>
      <c r="N673" s="63" t="e">
        <f t="shared" si="65"/>
        <v>#VALUE!</v>
      </c>
      <c r="O673" s="86"/>
      <c r="P673" s="223"/>
      <c r="Q673" s="224"/>
      <c r="R673" s="135"/>
      <c r="S673" s="139" cm="1">
        <f t="array" ref="S673">IF(P673="",0,IF(OR(O673=";",P673="EQU",P673="ORG"),0,HlpGetInstructionSize(P673,Q673,R673,$AC$12)))</f>
        <v>0</v>
      </c>
      <c r="V673" s="42" t="str">
        <f t="shared" si="64"/>
        <v/>
      </c>
      <c r="W673" s="16"/>
      <c r="X673" s="28"/>
      <c r="Y673" s="29"/>
      <c r="AA673" s="66"/>
      <c r="AB673" s="11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28"/>
      <c r="AD673" s="129"/>
      <c r="AE673" s="129"/>
      <c r="AF673" s="129"/>
      <c r="AG673" s="129"/>
      <c r="AH673" s="129"/>
      <c r="AI673" s="129"/>
      <c r="AJ673" s="130"/>
    </row>
    <row r="674" spans="11:36">
      <c r="K674" s="76"/>
      <c r="L674" s="48" t="e">
        <f t="shared" si="63"/>
        <v>#VALUE!</v>
      </c>
      <c r="M674" s="32" t="str">
        <f t="shared" si="66"/>
        <v/>
      </c>
      <c r="N674" s="63" t="e">
        <f t="shared" si="65"/>
        <v>#VALUE!</v>
      </c>
      <c r="O674" s="86"/>
      <c r="P674" s="223"/>
      <c r="Q674" s="224"/>
      <c r="R674" s="135"/>
      <c r="S674" s="139" cm="1">
        <f t="array" ref="S674">IF(P674="",0,IF(OR(O674=";",P674="EQU",P674="ORG"),0,HlpGetInstructionSize(P674,Q674,R674,$AC$12)))</f>
        <v>0</v>
      </c>
      <c r="V674" s="42" t="str">
        <f t="shared" si="64"/>
        <v/>
      </c>
      <c r="W674" s="16"/>
      <c r="X674" s="28"/>
      <c r="Y674" s="29"/>
      <c r="AA674" s="66"/>
      <c r="AB674" s="11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28"/>
      <c r="AD674" s="129"/>
      <c r="AE674" s="129"/>
      <c r="AF674" s="129"/>
      <c r="AG674" s="129"/>
      <c r="AH674" s="129"/>
      <c r="AI674" s="129"/>
      <c r="AJ674" s="130"/>
    </row>
    <row r="675" spans="11:36">
      <c r="K675" s="76"/>
      <c r="L675" s="48" t="e">
        <f t="shared" si="63"/>
        <v>#VALUE!</v>
      </c>
      <c r="M675" s="32" t="str">
        <f t="shared" si="66"/>
        <v/>
      </c>
      <c r="N675" s="63" t="e">
        <f t="shared" si="65"/>
        <v>#VALUE!</v>
      </c>
      <c r="O675" s="86"/>
      <c r="P675" s="223"/>
      <c r="Q675" s="224"/>
      <c r="R675" s="135"/>
      <c r="S675" s="139" cm="1">
        <f t="array" ref="S675">IF(P675="",0,IF(OR(O675=";",P675="EQU",P675="ORG"),0,HlpGetInstructionSize(P675,Q675,R675,$AC$12)))</f>
        <v>0</v>
      </c>
      <c r="V675" s="42" t="str">
        <f t="shared" si="64"/>
        <v/>
      </c>
      <c r="W675" s="16"/>
      <c r="X675" s="28"/>
      <c r="Y675" s="29"/>
      <c r="AA675" s="66"/>
      <c r="AB675" s="11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28"/>
      <c r="AD675" s="129"/>
      <c r="AE675" s="129"/>
      <c r="AF675" s="129"/>
      <c r="AG675" s="129"/>
      <c r="AH675" s="129"/>
      <c r="AI675" s="129"/>
      <c r="AJ675" s="130"/>
    </row>
    <row r="676" spans="11:36">
      <c r="K676" s="76"/>
      <c r="L676" s="48" t="e">
        <f t="shared" si="63"/>
        <v>#VALUE!</v>
      </c>
      <c r="M676" s="32" t="str">
        <f t="shared" si="66"/>
        <v/>
      </c>
      <c r="N676" s="63" t="e">
        <f t="shared" si="65"/>
        <v>#VALUE!</v>
      </c>
      <c r="O676" s="86"/>
      <c r="P676" s="223"/>
      <c r="Q676" s="224"/>
      <c r="R676" s="135"/>
      <c r="S676" s="139" cm="1">
        <f t="array" ref="S676">IF(P676="",0,IF(OR(O676=";",P676="EQU",P676="ORG"),0,HlpGetInstructionSize(P676,Q676,R676,$AC$12)))</f>
        <v>0</v>
      </c>
      <c r="V676" s="42" t="str">
        <f t="shared" si="64"/>
        <v/>
      </c>
      <c r="W676" s="16"/>
      <c r="X676" s="28"/>
      <c r="Y676" s="29"/>
      <c r="AA676" s="66"/>
      <c r="AB676" s="11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28"/>
      <c r="AD676" s="129"/>
      <c r="AE676" s="129"/>
      <c r="AF676" s="129"/>
      <c r="AG676" s="129"/>
      <c r="AH676" s="129"/>
      <c r="AI676" s="129"/>
      <c r="AJ676" s="130"/>
    </row>
    <row r="677" spans="11:36">
      <c r="K677" s="76"/>
      <c r="L677" s="48" t="e">
        <f t="shared" si="63"/>
        <v>#VALUE!</v>
      </c>
      <c r="M677" s="32" t="str">
        <f t="shared" si="66"/>
        <v/>
      </c>
      <c r="N677" s="63" t="e">
        <f t="shared" si="65"/>
        <v>#VALUE!</v>
      </c>
      <c r="O677" s="86"/>
      <c r="P677" s="223"/>
      <c r="Q677" s="224"/>
      <c r="R677" s="135"/>
      <c r="S677" s="139" cm="1">
        <f t="array" ref="S677">IF(P677="",0,IF(OR(O677=";",P677="EQU",P677="ORG"),0,HlpGetInstructionSize(P677,Q677,R677,$AC$12)))</f>
        <v>0</v>
      </c>
      <c r="V677" s="42" t="str">
        <f t="shared" si="64"/>
        <v/>
      </c>
      <c r="W677" s="16"/>
      <c r="X677" s="28"/>
      <c r="Y677" s="29"/>
      <c r="AA677" s="66"/>
      <c r="AB677" s="11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28"/>
      <c r="AD677" s="129"/>
      <c r="AE677" s="129"/>
      <c r="AF677" s="129"/>
      <c r="AG677" s="129"/>
      <c r="AH677" s="129"/>
      <c r="AI677" s="129"/>
      <c r="AJ677" s="130"/>
    </row>
    <row r="678" spans="11:36">
      <c r="K678" s="76"/>
      <c r="L678" s="48" t="e">
        <f t="shared" si="63"/>
        <v>#VALUE!</v>
      </c>
      <c r="M678" s="32" t="str">
        <f t="shared" si="66"/>
        <v/>
      </c>
      <c r="N678" s="63" t="e">
        <f t="shared" si="65"/>
        <v>#VALUE!</v>
      </c>
      <c r="O678" s="86"/>
      <c r="P678" s="223"/>
      <c r="Q678" s="224"/>
      <c r="R678" s="135"/>
      <c r="S678" s="139" cm="1">
        <f t="array" ref="S678">IF(P678="",0,IF(OR(O678=";",P678="EQU",P678="ORG"),0,HlpGetInstructionSize(P678,Q678,R678,$AC$12)))</f>
        <v>0</v>
      </c>
      <c r="V678" s="42" t="str">
        <f t="shared" si="64"/>
        <v/>
      </c>
      <c r="W678" s="16"/>
      <c r="X678" s="28"/>
      <c r="Y678" s="29"/>
      <c r="AA678" s="66"/>
      <c r="AB678" s="11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28"/>
      <c r="AD678" s="129"/>
      <c r="AE678" s="129"/>
      <c r="AF678" s="129"/>
      <c r="AG678" s="129"/>
      <c r="AH678" s="129"/>
      <c r="AI678" s="129"/>
      <c r="AJ678" s="130"/>
    </row>
    <row r="679" spans="11:36">
      <c r="K679" s="76"/>
      <c r="L679" s="48" t="e">
        <f t="shared" si="63"/>
        <v>#VALUE!</v>
      </c>
      <c r="M679" s="32" t="str">
        <f t="shared" si="66"/>
        <v/>
      </c>
      <c r="N679" s="63" t="e">
        <f t="shared" si="65"/>
        <v>#VALUE!</v>
      </c>
      <c r="O679" s="86"/>
      <c r="P679" s="223"/>
      <c r="Q679" s="224"/>
      <c r="R679" s="135"/>
      <c r="S679" s="139" cm="1">
        <f t="array" ref="S679">IF(P679="",0,IF(OR(O679=";",P679="EQU",P679="ORG"),0,HlpGetInstructionSize(P679,Q679,R679,$AC$12)))</f>
        <v>0</v>
      </c>
      <c r="V679" s="42" t="str">
        <f t="shared" si="64"/>
        <v/>
      </c>
      <c r="W679" s="16"/>
      <c r="X679" s="28"/>
      <c r="Y679" s="29"/>
      <c r="AA679" s="66"/>
      <c r="AB679" s="11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28"/>
      <c r="AD679" s="129"/>
      <c r="AE679" s="129"/>
      <c r="AF679" s="129"/>
      <c r="AG679" s="129"/>
      <c r="AH679" s="129"/>
      <c r="AI679" s="129"/>
      <c r="AJ679" s="130"/>
    </row>
    <row r="680" spans="11:36">
      <c r="K680" s="76"/>
      <c r="L680" s="48" t="e">
        <f t="shared" si="63"/>
        <v>#VALUE!</v>
      </c>
      <c r="M680" s="32" t="str">
        <f t="shared" si="66"/>
        <v/>
      </c>
      <c r="N680" s="63" t="e">
        <f t="shared" si="65"/>
        <v>#VALUE!</v>
      </c>
      <c r="O680" s="86"/>
      <c r="P680" s="223"/>
      <c r="Q680" s="224"/>
      <c r="R680" s="135"/>
      <c r="S680" s="139" cm="1">
        <f t="array" ref="S680">IF(P680="",0,IF(OR(O680=";",P680="EQU",P680="ORG"),0,HlpGetInstructionSize(P680,Q680,R680,$AC$12)))</f>
        <v>0</v>
      </c>
      <c r="V680" s="42" t="str">
        <f t="shared" si="64"/>
        <v/>
      </c>
      <c r="W680" s="16"/>
      <c r="X680" s="28"/>
      <c r="Y680" s="29"/>
      <c r="AA680" s="66"/>
      <c r="AB680" s="11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28"/>
      <c r="AD680" s="129"/>
      <c r="AE680" s="129"/>
      <c r="AF680" s="129"/>
      <c r="AG680" s="129"/>
      <c r="AH680" s="129"/>
      <c r="AI680" s="129"/>
      <c r="AJ680" s="130"/>
    </row>
    <row r="681" spans="11:36">
      <c r="K681" s="76"/>
      <c r="L681" s="48" t="e">
        <f t="shared" si="63"/>
        <v>#VALUE!</v>
      </c>
      <c r="M681" s="32" t="str">
        <f t="shared" si="66"/>
        <v/>
      </c>
      <c r="N681" s="63" t="e">
        <f t="shared" si="65"/>
        <v>#VALUE!</v>
      </c>
      <c r="O681" s="86"/>
      <c r="P681" s="223"/>
      <c r="Q681" s="224"/>
      <c r="R681" s="135"/>
      <c r="S681" s="139" cm="1">
        <f t="array" ref="S681">IF(P681="",0,IF(OR(O681=";",P681="EQU",P681="ORG"),0,HlpGetInstructionSize(P681,Q681,R681,$AC$12)))</f>
        <v>0</v>
      </c>
      <c r="V681" s="42" t="str">
        <f t="shared" si="64"/>
        <v/>
      </c>
      <c r="W681" s="16"/>
      <c r="X681" s="28"/>
      <c r="Y681" s="29"/>
      <c r="AA681" s="66"/>
      <c r="AB681" s="11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28"/>
      <c r="AD681" s="129"/>
      <c r="AE681" s="129"/>
      <c r="AF681" s="129"/>
      <c r="AG681" s="129"/>
      <c r="AH681" s="129"/>
      <c r="AI681" s="129"/>
      <c r="AJ681" s="130"/>
    </row>
    <row r="682" spans="11:36">
      <c r="K682" s="76"/>
      <c r="L682" s="48" t="e">
        <f t="shared" si="63"/>
        <v>#VALUE!</v>
      </c>
      <c r="M682" s="32" t="str">
        <f t="shared" si="66"/>
        <v/>
      </c>
      <c r="N682" s="63" t="e">
        <f t="shared" si="65"/>
        <v>#VALUE!</v>
      </c>
      <c r="O682" s="86"/>
      <c r="P682" s="223"/>
      <c r="Q682" s="224"/>
      <c r="R682" s="135"/>
      <c r="S682" s="139" cm="1">
        <f t="array" ref="S682">IF(P682="",0,IF(OR(O682=";",P682="EQU",P682="ORG"),0,HlpGetInstructionSize(P682,Q682,R682,$AC$12)))</f>
        <v>0</v>
      </c>
      <c r="V682" s="42" t="str">
        <f t="shared" si="64"/>
        <v/>
      </c>
      <c r="W682" s="16"/>
      <c r="X682" s="28"/>
      <c r="Y682" s="29"/>
      <c r="AA682" s="66"/>
      <c r="AB682" s="11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28"/>
      <c r="AD682" s="129"/>
      <c r="AE682" s="129"/>
      <c r="AF682" s="129"/>
      <c r="AG682" s="129"/>
      <c r="AH682" s="129"/>
      <c r="AI682" s="129"/>
      <c r="AJ682" s="130"/>
    </row>
    <row r="683" spans="11:36">
      <c r="K683" s="76"/>
      <c r="L683" s="48" t="e">
        <f t="shared" si="63"/>
        <v>#VALUE!</v>
      </c>
      <c r="M683" s="32" t="str">
        <f t="shared" si="66"/>
        <v/>
      </c>
      <c r="N683" s="63" t="e">
        <f t="shared" si="65"/>
        <v>#VALUE!</v>
      </c>
      <c r="O683" s="86"/>
      <c r="P683" s="223"/>
      <c r="Q683" s="224"/>
      <c r="R683" s="135"/>
      <c r="S683" s="139" cm="1">
        <f t="array" ref="S683">IF(P683="",0,IF(OR(O683=";",P683="EQU",P683="ORG"),0,HlpGetInstructionSize(P683,Q683,R683,$AC$12)))</f>
        <v>0</v>
      </c>
      <c r="V683" s="42" t="str">
        <f t="shared" si="64"/>
        <v/>
      </c>
      <c r="W683" s="16"/>
      <c r="X683" s="28"/>
      <c r="Y683" s="29"/>
      <c r="AA683" s="66"/>
      <c r="AB683" s="11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28"/>
      <c r="AD683" s="129"/>
      <c r="AE683" s="129"/>
      <c r="AF683" s="129"/>
      <c r="AG683" s="129"/>
      <c r="AH683" s="129"/>
      <c r="AI683" s="129"/>
      <c r="AJ683" s="130"/>
    </row>
    <row r="684" spans="11:36">
      <c r="K684" s="76"/>
      <c r="L684" s="48" t="e">
        <f t="shared" si="63"/>
        <v>#VALUE!</v>
      </c>
      <c r="M684" s="32" t="str">
        <f t="shared" si="66"/>
        <v/>
      </c>
      <c r="N684" s="63" t="e">
        <f t="shared" si="65"/>
        <v>#VALUE!</v>
      </c>
      <c r="O684" s="86"/>
      <c r="P684" s="223"/>
      <c r="Q684" s="224"/>
      <c r="R684" s="135"/>
      <c r="S684" s="139" cm="1">
        <f t="array" ref="S684">IF(P684="",0,IF(OR(O684=";",P684="EQU",P684="ORG"),0,HlpGetInstructionSize(P684,Q684,R684,$AC$12)))</f>
        <v>0</v>
      </c>
      <c r="V684" s="42" t="str">
        <f t="shared" si="64"/>
        <v/>
      </c>
      <c r="W684" s="16"/>
      <c r="X684" s="28"/>
      <c r="Y684" s="29"/>
      <c r="AA684" s="66"/>
      <c r="AB684" s="11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28"/>
      <c r="AD684" s="129"/>
      <c r="AE684" s="129"/>
      <c r="AF684" s="129"/>
      <c r="AG684" s="129"/>
      <c r="AH684" s="129"/>
      <c r="AI684" s="129"/>
      <c r="AJ684" s="130"/>
    </row>
    <row r="685" spans="11:36">
      <c r="K685" s="76"/>
      <c r="L685" s="48" t="e">
        <f t="shared" si="63"/>
        <v>#VALUE!</v>
      </c>
      <c r="M685" s="32" t="str">
        <f t="shared" si="66"/>
        <v/>
      </c>
      <c r="N685" s="63" t="e">
        <f t="shared" si="65"/>
        <v>#VALUE!</v>
      </c>
      <c r="O685" s="86"/>
      <c r="P685" s="223"/>
      <c r="Q685" s="224"/>
      <c r="R685" s="135"/>
      <c r="S685" s="139" cm="1">
        <f t="array" ref="S685">IF(P685="",0,IF(OR(O685=";",P685="EQU",P685="ORG"),0,HlpGetInstructionSize(P685,Q685,R685,$AC$12)))</f>
        <v>0</v>
      </c>
      <c r="V685" s="42" t="str">
        <f t="shared" si="64"/>
        <v/>
      </c>
      <c r="W685" s="16"/>
      <c r="X685" s="28"/>
      <c r="Y685" s="29"/>
      <c r="AA685" s="66"/>
      <c r="AB685" s="11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28"/>
      <c r="AD685" s="129"/>
      <c r="AE685" s="129"/>
      <c r="AF685" s="129"/>
      <c r="AG685" s="129"/>
      <c r="AH685" s="129"/>
      <c r="AI685" s="129"/>
      <c r="AJ685" s="130"/>
    </row>
    <row r="686" spans="11:36">
      <c r="K686" s="76"/>
      <c r="L686" s="48" t="e">
        <f t="shared" si="63"/>
        <v>#VALUE!</v>
      </c>
      <c r="M686" s="32" t="str">
        <f t="shared" si="66"/>
        <v/>
      </c>
      <c r="N686" s="63" t="e">
        <f t="shared" si="65"/>
        <v>#VALUE!</v>
      </c>
      <c r="O686" s="86"/>
      <c r="P686" s="223"/>
      <c r="Q686" s="224"/>
      <c r="R686" s="135"/>
      <c r="S686" s="139" cm="1">
        <f t="array" ref="S686">IF(P686="",0,IF(OR(O686=";",P686="EQU",P686="ORG"),0,HlpGetInstructionSize(P686,Q686,R686,$AC$12)))</f>
        <v>0</v>
      </c>
      <c r="V686" s="42" t="str">
        <f t="shared" si="64"/>
        <v/>
      </c>
      <c r="W686" s="16"/>
      <c r="X686" s="28"/>
      <c r="Y686" s="29"/>
      <c r="AA686" s="66"/>
      <c r="AB686" s="11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28"/>
      <c r="AD686" s="129"/>
      <c r="AE686" s="129"/>
      <c r="AF686" s="129"/>
      <c r="AG686" s="129"/>
      <c r="AH686" s="129"/>
      <c r="AI686" s="129"/>
      <c r="AJ686" s="130"/>
    </row>
    <row r="687" spans="11:36">
      <c r="K687" s="76"/>
      <c r="L687" s="48" t="e">
        <f t="shared" si="63"/>
        <v>#VALUE!</v>
      </c>
      <c r="M687" s="32" t="str">
        <f t="shared" si="66"/>
        <v/>
      </c>
      <c r="N687" s="63" t="e">
        <f t="shared" si="65"/>
        <v>#VALUE!</v>
      </c>
      <c r="O687" s="86"/>
      <c r="P687" s="223"/>
      <c r="Q687" s="224"/>
      <c r="R687" s="135"/>
      <c r="S687" s="139" cm="1">
        <f t="array" ref="S687">IF(P687="",0,IF(OR(O687=";",P687="EQU",P687="ORG"),0,HlpGetInstructionSize(P687,Q687,R687,$AC$12)))</f>
        <v>0</v>
      </c>
      <c r="V687" s="42" t="str">
        <f t="shared" si="64"/>
        <v/>
      </c>
      <c r="W687" s="16"/>
      <c r="X687" s="28"/>
      <c r="Y687" s="29"/>
      <c r="AA687" s="66"/>
      <c r="AB687" s="11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28"/>
      <c r="AD687" s="129"/>
      <c r="AE687" s="129"/>
      <c r="AF687" s="129"/>
      <c r="AG687" s="129"/>
      <c r="AH687" s="129"/>
      <c r="AI687" s="129"/>
      <c r="AJ687" s="130"/>
    </row>
    <row r="688" spans="11:36">
      <c r="K688" s="76"/>
      <c r="L688" s="48" t="e">
        <f t="shared" si="63"/>
        <v>#VALUE!</v>
      </c>
      <c r="M688" s="32" t="str">
        <f t="shared" si="66"/>
        <v/>
      </c>
      <c r="N688" s="63" t="e">
        <f t="shared" si="65"/>
        <v>#VALUE!</v>
      </c>
      <c r="O688" s="86"/>
      <c r="P688" s="223"/>
      <c r="Q688" s="224"/>
      <c r="R688" s="135"/>
      <c r="S688" s="139" cm="1">
        <f t="array" ref="S688">IF(P688="",0,IF(OR(O688=";",P688="EQU",P688="ORG"),0,HlpGetInstructionSize(P688,Q688,R688,$AC$12)))</f>
        <v>0</v>
      </c>
      <c r="V688" s="42" t="str">
        <f t="shared" si="64"/>
        <v/>
      </c>
      <c r="W688" s="16"/>
      <c r="X688" s="28"/>
      <c r="Y688" s="29"/>
      <c r="AA688" s="66"/>
      <c r="AB688" s="11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28"/>
      <c r="AD688" s="129"/>
      <c r="AE688" s="129"/>
      <c r="AF688" s="129"/>
      <c r="AG688" s="129"/>
      <c r="AH688" s="129"/>
      <c r="AI688" s="129"/>
      <c r="AJ688" s="130"/>
    </row>
    <row r="689" spans="11:36">
      <c r="K689" s="76"/>
      <c r="L689" s="48" t="e">
        <f t="shared" si="63"/>
        <v>#VALUE!</v>
      </c>
      <c r="M689" s="32" t="str">
        <f t="shared" si="66"/>
        <v/>
      </c>
      <c r="N689" s="63" t="e">
        <f t="shared" si="65"/>
        <v>#VALUE!</v>
      </c>
      <c r="O689" s="86"/>
      <c r="P689" s="223"/>
      <c r="Q689" s="224"/>
      <c r="R689" s="135"/>
      <c r="S689" s="139" cm="1">
        <f t="array" ref="S689">IF(P689="",0,IF(OR(O689=";",P689="EQU",P689="ORG"),0,HlpGetInstructionSize(P689,Q689,R689,$AC$12)))</f>
        <v>0</v>
      </c>
      <c r="V689" s="42" t="str">
        <f t="shared" si="64"/>
        <v/>
      </c>
      <c r="W689" s="16"/>
      <c r="X689" s="28"/>
      <c r="Y689" s="29"/>
      <c r="AA689" s="66"/>
      <c r="AB689" s="11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28"/>
      <c r="AD689" s="129"/>
      <c r="AE689" s="129"/>
      <c r="AF689" s="129"/>
      <c r="AG689" s="129"/>
      <c r="AH689" s="129"/>
      <c r="AI689" s="129"/>
      <c r="AJ689" s="130"/>
    </row>
    <row r="690" spans="11:36">
      <c r="K690" s="76"/>
      <c r="L690" s="48" t="e">
        <f t="shared" si="63"/>
        <v>#VALUE!</v>
      </c>
      <c r="M690" s="32" t="str">
        <f t="shared" si="66"/>
        <v/>
      </c>
      <c r="N690" s="63" t="e">
        <f t="shared" si="65"/>
        <v>#VALUE!</v>
      </c>
      <c r="O690" s="86"/>
      <c r="P690" s="223"/>
      <c r="Q690" s="224"/>
      <c r="R690" s="135"/>
      <c r="S690" s="139" cm="1">
        <f t="array" ref="S690">IF(P690="",0,IF(OR(O690=";",P690="EQU",P690="ORG"),0,HlpGetInstructionSize(P690,Q690,R690,$AC$12)))</f>
        <v>0</v>
      </c>
      <c r="V690" s="42" t="str">
        <f t="shared" si="64"/>
        <v/>
      </c>
      <c r="W690" s="16"/>
      <c r="X690" s="28"/>
      <c r="Y690" s="29"/>
      <c r="AA690" s="66"/>
      <c r="AB690" s="11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28"/>
      <c r="AD690" s="129"/>
      <c r="AE690" s="129"/>
      <c r="AF690" s="129"/>
      <c r="AG690" s="129"/>
      <c r="AH690" s="129"/>
      <c r="AI690" s="129"/>
      <c r="AJ690" s="130"/>
    </row>
    <row r="691" spans="11:36">
      <c r="K691" s="76"/>
      <c r="L691" s="48" t="e">
        <f t="shared" si="63"/>
        <v>#VALUE!</v>
      </c>
      <c r="M691" s="32" t="str">
        <f t="shared" si="66"/>
        <v/>
      </c>
      <c r="N691" s="63" t="e">
        <f t="shared" si="65"/>
        <v>#VALUE!</v>
      </c>
      <c r="O691" s="86"/>
      <c r="P691" s="223"/>
      <c r="Q691" s="224"/>
      <c r="R691" s="135"/>
      <c r="S691" s="139" cm="1">
        <f t="array" ref="S691">IF(P691="",0,IF(OR(O691=";",P691="EQU",P691="ORG"),0,HlpGetInstructionSize(P691,Q691,R691,$AC$12)))</f>
        <v>0</v>
      </c>
      <c r="V691" s="42" t="str">
        <f t="shared" si="64"/>
        <v/>
      </c>
      <c r="W691" s="16"/>
      <c r="X691" s="28"/>
      <c r="Y691" s="29"/>
      <c r="AA691" s="66"/>
      <c r="AB691" s="11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28"/>
      <c r="AD691" s="129"/>
      <c r="AE691" s="129"/>
      <c r="AF691" s="129"/>
      <c r="AG691" s="129"/>
      <c r="AH691" s="129"/>
      <c r="AI691" s="129"/>
      <c r="AJ691" s="130"/>
    </row>
    <row r="692" spans="11:36">
      <c r="K692" s="76"/>
      <c r="L692" s="48" t="e">
        <f t="shared" si="63"/>
        <v>#VALUE!</v>
      </c>
      <c r="M692" s="32" t="str">
        <f t="shared" si="66"/>
        <v/>
      </c>
      <c r="N692" s="63" t="e">
        <f t="shared" si="65"/>
        <v>#VALUE!</v>
      </c>
      <c r="O692" s="86"/>
      <c r="P692" s="223"/>
      <c r="Q692" s="224"/>
      <c r="R692" s="135"/>
      <c r="S692" s="139" cm="1">
        <f t="array" ref="S692">IF(P692="",0,IF(OR(O692=";",P692="EQU",P692="ORG"),0,HlpGetInstructionSize(P692,Q692,R692,$AC$12)))</f>
        <v>0</v>
      </c>
      <c r="V692" s="42" t="str">
        <f t="shared" si="64"/>
        <v/>
      </c>
      <c r="W692" s="16"/>
      <c r="X692" s="28"/>
      <c r="Y692" s="29"/>
      <c r="AA692" s="66"/>
      <c r="AB692" s="11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28"/>
      <c r="AD692" s="129"/>
      <c r="AE692" s="129"/>
      <c r="AF692" s="129"/>
      <c r="AG692" s="129"/>
      <c r="AH692" s="129"/>
      <c r="AI692" s="129"/>
      <c r="AJ692" s="130"/>
    </row>
    <row r="693" spans="11:36">
      <c r="K693" s="76"/>
      <c r="L693" s="48" t="e">
        <f t="shared" si="63"/>
        <v>#VALUE!</v>
      </c>
      <c r="M693" s="32" t="str">
        <f t="shared" si="66"/>
        <v/>
      </c>
      <c r="N693" s="63" t="e">
        <f t="shared" si="65"/>
        <v>#VALUE!</v>
      </c>
      <c r="O693" s="86"/>
      <c r="P693" s="223"/>
      <c r="Q693" s="224"/>
      <c r="R693" s="135"/>
      <c r="S693" s="139" cm="1">
        <f t="array" ref="S693">IF(P693="",0,IF(OR(O693=";",P693="EQU",P693="ORG"),0,HlpGetInstructionSize(P693,Q693,R693,$AC$12)))</f>
        <v>0</v>
      </c>
      <c r="V693" s="42" t="str">
        <f t="shared" si="64"/>
        <v/>
      </c>
      <c r="W693" s="16"/>
      <c r="X693" s="28"/>
      <c r="Y693" s="29"/>
      <c r="AA693" s="66"/>
      <c r="AB693" s="11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28"/>
      <c r="AD693" s="129"/>
      <c r="AE693" s="129"/>
      <c r="AF693" s="129"/>
      <c r="AG693" s="129"/>
      <c r="AH693" s="129"/>
      <c r="AI693" s="129"/>
      <c r="AJ693" s="130"/>
    </row>
    <row r="694" spans="11:36">
      <c r="K694" s="76"/>
      <c r="L694" s="48" t="e">
        <f t="shared" si="63"/>
        <v>#VALUE!</v>
      </c>
      <c r="M694" s="32" t="str">
        <f t="shared" si="66"/>
        <v/>
      </c>
      <c r="N694" s="63" t="e">
        <f t="shared" si="65"/>
        <v>#VALUE!</v>
      </c>
      <c r="O694" s="86"/>
      <c r="P694" s="223"/>
      <c r="Q694" s="224"/>
      <c r="R694" s="135"/>
      <c r="S694" s="139" cm="1">
        <f t="array" ref="S694">IF(P694="",0,IF(OR(O694=";",P694="EQU",P694="ORG"),0,HlpGetInstructionSize(P694,Q694,R694,$AC$12)))</f>
        <v>0</v>
      </c>
      <c r="V694" s="42" t="str">
        <f t="shared" si="64"/>
        <v/>
      </c>
      <c r="W694" s="16"/>
      <c r="X694" s="28"/>
      <c r="Y694" s="29"/>
      <c r="AA694" s="66"/>
      <c r="AB694" s="11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28"/>
      <c r="AD694" s="129"/>
      <c r="AE694" s="129"/>
      <c r="AF694" s="129"/>
      <c r="AG694" s="129"/>
      <c r="AH694" s="129"/>
      <c r="AI694" s="129"/>
      <c r="AJ694" s="130"/>
    </row>
    <row r="695" spans="11:36">
      <c r="K695" s="76"/>
      <c r="L695" s="48" t="e">
        <f t="shared" si="63"/>
        <v>#VALUE!</v>
      </c>
      <c r="M695" s="32" t="str">
        <f t="shared" si="66"/>
        <v/>
      </c>
      <c r="N695" s="63" t="e">
        <f t="shared" si="65"/>
        <v>#VALUE!</v>
      </c>
      <c r="O695" s="86"/>
      <c r="P695" s="223"/>
      <c r="Q695" s="224"/>
      <c r="R695" s="135"/>
      <c r="S695" s="139" cm="1">
        <f t="array" ref="S695">IF(P695="",0,IF(OR(O695=";",P695="EQU",P695="ORG"),0,HlpGetInstructionSize(P695,Q695,R695,$AC$12)))</f>
        <v>0</v>
      </c>
      <c r="V695" s="42" t="str">
        <f t="shared" si="64"/>
        <v/>
      </c>
      <c r="W695" s="16"/>
      <c r="X695" s="28"/>
      <c r="Y695" s="29"/>
      <c r="AA695" s="66"/>
      <c r="AB695" s="11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28"/>
      <c r="AD695" s="129"/>
      <c r="AE695" s="129"/>
      <c r="AF695" s="129"/>
      <c r="AG695" s="129"/>
      <c r="AH695" s="129"/>
      <c r="AI695" s="129"/>
      <c r="AJ695" s="130"/>
    </row>
    <row r="696" spans="11:36">
      <c r="K696" s="76"/>
      <c r="L696" s="48" t="e">
        <f t="shared" si="63"/>
        <v>#VALUE!</v>
      </c>
      <c r="M696" s="32" t="str">
        <f t="shared" si="66"/>
        <v/>
      </c>
      <c r="N696" s="63" t="e">
        <f t="shared" si="65"/>
        <v>#VALUE!</v>
      </c>
      <c r="O696" s="86"/>
      <c r="P696" s="223"/>
      <c r="Q696" s="224"/>
      <c r="R696" s="135"/>
      <c r="S696" s="139" cm="1">
        <f t="array" ref="S696">IF(P696="",0,IF(OR(O696=";",P696="EQU",P696="ORG"),0,HlpGetInstructionSize(P696,Q696,R696,$AC$12)))</f>
        <v>0</v>
      </c>
      <c r="V696" s="42" t="str">
        <f t="shared" si="64"/>
        <v/>
      </c>
      <c r="W696" s="16"/>
      <c r="X696" s="28"/>
      <c r="Y696" s="29"/>
      <c r="AA696" s="66"/>
      <c r="AB696" s="11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28"/>
      <c r="AD696" s="129"/>
      <c r="AE696" s="129"/>
      <c r="AF696" s="129"/>
      <c r="AG696" s="129"/>
      <c r="AH696" s="129"/>
      <c r="AI696" s="129"/>
      <c r="AJ696" s="130"/>
    </row>
    <row r="697" spans="11:36">
      <c r="K697" s="76"/>
      <c r="L697" s="48" t="e">
        <f t="shared" si="63"/>
        <v>#VALUE!</v>
      </c>
      <c r="M697" s="32" t="str">
        <f t="shared" si="66"/>
        <v/>
      </c>
      <c r="N697" s="63" t="e">
        <f t="shared" si="65"/>
        <v>#VALUE!</v>
      </c>
      <c r="O697" s="86"/>
      <c r="P697" s="223"/>
      <c r="Q697" s="224"/>
      <c r="R697" s="135"/>
      <c r="S697" s="139" cm="1">
        <f t="array" ref="S697">IF(P697="",0,IF(OR(O697=";",P697="EQU",P697="ORG"),0,HlpGetInstructionSize(P697,Q697,R697,$AC$12)))</f>
        <v>0</v>
      </c>
      <c r="V697" s="42" t="str">
        <f t="shared" si="64"/>
        <v/>
      </c>
      <c r="W697" s="16"/>
      <c r="X697" s="28"/>
      <c r="Y697" s="29"/>
      <c r="AA697" s="66"/>
      <c r="AB697" s="11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28"/>
      <c r="AD697" s="129"/>
      <c r="AE697" s="129"/>
      <c r="AF697" s="129"/>
      <c r="AG697" s="129"/>
      <c r="AH697" s="129"/>
      <c r="AI697" s="129"/>
      <c r="AJ697" s="130"/>
    </row>
    <row r="698" spans="11:36">
      <c r="K698" s="76"/>
      <c r="L698" s="48" t="e">
        <f t="shared" si="63"/>
        <v>#VALUE!</v>
      </c>
      <c r="M698" s="32" t="str">
        <f t="shared" si="66"/>
        <v/>
      </c>
      <c r="N698" s="63" t="e">
        <f t="shared" si="65"/>
        <v>#VALUE!</v>
      </c>
      <c r="O698" s="86"/>
      <c r="P698" s="223"/>
      <c r="Q698" s="224"/>
      <c r="R698" s="135"/>
      <c r="S698" s="139" cm="1">
        <f t="array" ref="S698">IF(P698="",0,IF(OR(O698=";",P698="EQU",P698="ORG"),0,HlpGetInstructionSize(P698,Q698,R698,$AC$12)))</f>
        <v>0</v>
      </c>
      <c r="V698" s="42" t="str">
        <f t="shared" si="64"/>
        <v/>
      </c>
      <c r="W698" s="16"/>
      <c r="X698" s="28"/>
      <c r="Y698" s="29"/>
      <c r="AA698" s="66"/>
      <c r="AB698" s="11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28"/>
      <c r="AD698" s="129"/>
      <c r="AE698" s="129"/>
      <c r="AF698" s="129"/>
      <c r="AG698" s="129"/>
      <c r="AH698" s="129"/>
      <c r="AI698" s="129"/>
      <c r="AJ698" s="130"/>
    </row>
    <row r="699" spans="11:36">
      <c r="K699" s="76"/>
      <c r="L699" s="48" t="e">
        <f t="shared" si="63"/>
        <v>#VALUE!</v>
      </c>
      <c r="M699" s="32" t="str">
        <f t="shared" si="66"/>
        <v/>
      </c>
      <c r="N699" s="63" t="e">
        <f t="shared" si="65"/>
        <v>#VALUE!</v>
      </c>
      <c r="O699" s="86"/>
      <c r="P699" s="223"/>
      <c r="Q699" s="224"/>
      <c r="R699" s="135"/>
      <c r="S699" s="139" cm="1">
        <f t="array" ref="S699">IF(P699="",0,IF(OR(O699=";",P699="EQU",P699="ORG"),0,HlpGetInstructionSize(P699,Q699,R699,$AC$12)))</f>
        <v>0</v>
      </c>
      <c r="V699" s="42" t="str">
        <f t="shared" si="64"/>
        <v/>
      </c>
      <c r="W699" s="16"/>
      <c r="X699" s="28"/>
      <c r="Y699" s="29"/>
      <c r="AA699" s="66"/>
      <c r="AB699" s="11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28"/>
      <c r="AD699" s="129"/>
      <c r="AE699" s="129"/>
      <c r="AF699" s="129"/>
      <c r="AG699" s="129"/>
      <c r="AH699" s="129"/>
      <c r="AI699" s="129"/>
      <c r="AJ699" s="130"/>
    </row>
    <row r="700" spans="11:36">
      <c r="K700" s="76"/>
      <c r="L700" s="48" t="e">
        <f t="shared" si="63"/>
        <v>#VALUE!</v>
      </c>
      <c r="M700" s="32" t="str">
        <f t="shared" si="66"/>
        <v/>
      </c>
      <c r="N700" s="63" t="e">
        <f t="shared" si="65"/>
        <v>#VALUE!</v>
      </c>
      <c r="O700" s="86"/>
      <c r="P700" s="223"/>
      <c r="Q700" s="224"/>
      <c r="R700" s="135"/>
      <c r="S700" s="139" cm="1">
        <f t="array" ref="S700">IF(P700="",0,IF(OR(O700=";",P700="EQU",P700="ORG"),0,HlpGetInstructionSize(P700,Q700,R700,$AC$12)))</f>
        <v>0</v>
      </c>
      <c r="V700" s="42" t="str">
        <f t="shared" si="64"/>
        <v/>
      </c>
      <c r="W700" s="16"/>
      <c r="X700" s="28"/>
      <c r="Y700" s="29"/>
      <c r="AA700" s="66"/>
      <c r="AB700" s="11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28"/>
      <c r="AD700" s="129"/>
      <c r="AE700" s="129"/>
      <c r="AF700" s="129"/>
      <c r="AG700" s="129"/>
      <c r="AH700" s="129"/>
      <c r="AI700" s="129"/>
      <c r="AJ700" s="130"/>
    </row>
    <row r="701" spans="11:36">
      <c r="K701" s="76"/>
      <c r="L701" s="48" t="e">
        <f t="shared" si="63"/>
        <v>#VALUE!</v>
      </c>
      <c r="M701" s="32" t="str">
        <f t="shared" si="66"/>
        <v/>
      </c>
      <c r="N701" s="63" t="e">
        <f t="shared" si="65"/>
        <v>#VALUE!</v>
      </c>
      <c r="O701" s="86"/>
      <c r="P701" s="223"/>
      <c r="Q701" s="224"/>
      <c r="R701" s="135"/>
      <c r="S701" s="139" cm="1">
        <f t="array" ref="S701">IF(P701="",0,IF(OR(O701=";",P701="EQU",P701="ORG"),0,HlpGetInstructionSize(P701,Q701,R701,$AC$12)))</f>
        <v>0</v>
      </c>
      <c r="V701" s="42" t="str">
        <f t="shared" si="64"/>
        <v/>
      </c>
      <c r="W701" s="16"/>
      <c r="X701" s="28"/>
      <c r="Y701" s="29"/>
      <c r="AA701" s="66"/>
      <c r="AB701" s="11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28"/>
      <c r="AD701" s="129"/>
      <c r="AE701" s="129"/>
      <c r="AF701" s="129"/>
      <c r="AG701" s="129"/>
      <c r="AH701" s="129"/>
      <c r="AI701" s="129"/>
      <c r="AJ701" s="130"/>
    </row>
    <row r="702" spans="11:36">
      <c r="K702" s="76"/>
      <c r="L702" s="48" t="e">
        <f t="shared" si="63"/>
        <v>#VALUE!</v>
      </c>
      <c r="M702" s="32" t="str">
        <f t="shared" si="66"/>
        <v/>
      </c>
      <c r="N702" s="63" t="e">
        <f t="shared" si="65"/>
        <v>#VALUE!</v>
      </c>
      <c r="O702" s="86"/>
      <c r="P702" s="223"/>
      <c r="Q702" s="224"/>
      <c r="R702" s="135"/>
      <c r="S702" s="139" cm="1">
        <f t="array" ref="S702">IF(P702="",0,IF(OR(O702=";",P702="EQU",P702="ORG"),0,HlpGetInstructionSize(P702,Q702,R702,$AC$12)))</f>
        <v>0</v>
      </c>
      <c r="V702" s="42" t="str">
        <f t="shared" si="64"/>
        <v/>
      </c>
      <c r="W702" s="16"/>
      <c r="X702" s="28"/>
      <c r="Y702" s="29"/>
      <c r="AA702" s="66"/>
      <c r="AB702" s="11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28"/>
      <c r="AD702" s="129"/>
      <c r="AE702" s="129"/>
      <c r="AF702" s="129"/>
      <c r="AG702" s="129"/>
      <c r="AH702" s="129"/>
      <c r="AI702" s="129"/>
      <c r="AJ702" s="130"/>
    </row>
    <row r="703" spans="11:36">
      <c r="K703" s="76"/>
      <c r="L703" s="48" t="e">
        <f t="shared" si="63"/>
        <v>#VALUE!</v>
      </c>
      <c r="M703" s="32" t="str">
        <f t="shared" si="66"/>
        <v/>
      </c>
      <c r="N703" s="63" t="e">
        <f t="shared" si="65"/>
        <v>#VALUE!</v>
      </c>
      <c r="O703" s="86"/>
      <c r="P703" s="223"/>
      <c r="Q703" s="224"/>
      <c r="R703" s="135"/>
      <c r="S703" s="139" cm="1">
        <f t="array" ref="S703">IF(P703="",0,IF(OR(O703=";",P703="EQU",P703="ORG"),0,HlpGetInstructionSize(P703,Q703,R703,$AC$12)))</f>
        <v>0</v>
      </c>
      <c r="V703" s="42" t="str">
        <f t="shared" si="64"/>
        <v/>
      </c>
      <c r="W703" s="16"/>
      <c r="X703" s="28"/>
      <c r="Y703" s="29"/>
      <c r="AA703" s="66"/>
      <c r="AB703" s="11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28"/>
      <c r="AD703" s="129"/>
      <c r="AE703" s="129"/>
      <c r="AF703" s="129"/>
      <c r="AG703" s="129"/>
      <c r="AH703" s="129"/>
      <c r="AI703" s="129"/>
      <c r="AJ703" s="130"/>
    </row>
    <row r="704" spans="11:36">
      <c r="K704" s="76"/>
      <c r="L704" s="48" t="e">
        <f t="shared" si="63"/>
        <v>#VALUE!</v>
      </c>
      <c r="M704" s="32" t="str">
        <f t="shared" si="66"/>
        <v/>
      </c>
      <c r="N704" s="63" t="e">
        <f t="shared" si="65"/>
        <v>#VALUE!</v>
      </c>
      <c r="O704" s="86"/>
      <c r="P704" s="223"/>
      <c r="Q704" s="224"/>
      <c r="R704" s="135"/>
      <c r="S704" s="139" cm="1">
        <f t="array" ref="S704">IF(P704="",0,IF(OR(O704=";",P704="EQU",P704="ORG"),0,HlpGetInstructionSize(P704,Q704,R704,$AC$12)))</f>
        <v>0</v>
      </c>
      <c r="V704" s="42" t="str">
        <f t="shared" si="64"/>
        <v/>
      </c>
      <c r="W704" s="16"/>
      <c r="X704" s="28"/>
      <c r="Y704" s="29"/>
      <c r="AA704" s="66"/>
      <c r="AB704" s="11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28"/>
      <c r="AD704" s="129"/>
      <c r="AE704" s="129"/>
      <c r="AF704" s="129"/>
      <c r="AG704" s="129"/>
      <c r="AH704" s="129"/>
      <c r="AI704" s="129"/>
      <c r="AJ704" s="130"/>
    </row>
    <row r="705" spans="11:36">
      <c r="K705" s="76"/>
      <c r="L705" s="48" t="e">
        <f t="shared" si="63"/>
        <v>#VALUE!</v>
      </c>
      <c r="M705" s="32" t="str">
        <f t="shared" si="66"/>
        <v/>
      </c>
      <c r="N705" s="63" t="e">
        <f t="shared" si="65"/>
        <v>#VALUE!</v>
      </c>
      <c r="O705" s="86"/>
      <c r="P705" s="223"/>
      <c r="Q705" s="224"/>
      <c r="R705" s="135"/>
      <c r="S705" s="139" cm="1">
        <f t="array" ref="S705">IF(P705="",0,IF(OR(O705=";",P705="EQU",P705="ORG"),0,HlpGetInstructionSize(P705,Q705,R705,$AC$12)))</f>
        <v>0</v>
      </c>
      <c r="V705" s="42" t="str">
        <f t="shared" si="64"/>
        <v/>
      </c>
      <c r="W705" s="16"/>
      <c r="X705" s="28"/>
      <c r="Y705" s="29"/>
      <c r="AA705" s="66"/>
      <c r="AB705" s="11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28"/>
      <c r="AD705" s="129"/>
      <c r="AE705" s="129"/>
      <c r="AF705" s="129"/>
      <c r="AG705" s="129"/>
      <c r="AH705" s="129"/>
      <c r="AI705" s="129"/>
      <c r="AJ705" s="130"/>
    </row>
    <row r="706" spans="11:36">
      <c r="K706" s="76"/>
      <c r="L706" s="48" t="e">
        <f t="shared" si="63"/>
        <v>#VALUE!</v>
      </c>
      <c r="M706" s="32" t="str">
        <f t="shared" si="66"/>
        <v/>
      </c>
      <c r="N706" s="63" t="e">
        <f t="shared" si="65"/>
        <v>#VALUE!</v>
      </c>
      <c r="O706" s="86"/>
      <c r="P706" s="223"/>
      <c r="Q706" s="224"/>
      <c r="R706" s="135"/>
      <c r="S706" s="139" cm="1">
        <f t="array" ref="S706">IF(P706="",0,IF(OR(O706=";",P706="EQU",P706="ORG"),0,HlpGetInstructionSize(P706,Q706,R706,$AC$12)))</f>
        <v>0</v>
      </c>
      <c r="V706" s="42" t="str">
        <f t="shared" si="64"/>
        <v/>
      </c>
      <c r="W706" s="16"/>
      <c r="X706" s="28"/>
      <c r="Y706" s="29"/>
      <c r="AA706" s="66"/>
      <c r="AB706" s="11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28"/>
      <c r="AD706" s="129"/>
      <c r="AE706" s="129"/>
      <c r="AF706" s="129"/>
      <c r="AG706" s="129"/>
      <c r="AH706" s="129"/>
      <c r="AI706" s="129"/>
      <c r="AJ706" s="130"/>
    </row>
    <row r="707" spans="11:36">
      <c r="K707" s="76"/>
      <c r="L707" s="48" t="e">
        <f t="shared" si="63"/>
        <v>#VALUE!</v>
      </c>
      <c r="M707" s="32" t="str">
        <f t="shared" si="66"/>
        <v/>
      </c>
      <c r="N707" s="63" t="e">
        <f t="shared" si="65"/>
        <v>#VALUE!</v>
      </c>
      <c r="O707" s="86"/>
      <c r="P707" s="223"/>
      <c r="Q707" s="224"/>
      <c r="R707" s="135"/>
      <c r="S707" s="139" cm="1">
        <f t="array" ref="S707">IF(P707="",0,IF(OR(O707=";",P707="EQU",P707="ORG"),0,HlpGetInstructionSize(P707,Q707,R707,$AC$12)))</f>
        <v>0</v>
      </c>
      <c r="V707" s="42" t="str">
        <f t="shared" si="64"/>
        <v/>
      </c>
      <c r="W707" s="16"/>
      <c r="X707" s="28"/>
      <c r="Y707" s="29"/>
      <c r="AA707" s="66"/>
      <c r="AB707" s="11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28"/>
      <c r="AD707" s="129"/>
      <c r="AE707" s="129"/>
      <c r="AF707" s="129"/>
      <c r="AG707" s="129"/>
      <c r="AH707" s="129"/>
      <c r="AI707" s="129"/>
      <c r="AJ707" s="130"/>
    </row>
    <row r="708" spans="11:36">
      <c r="K708" s="76"/>
      <c r="L708" s="48" t="e">
        <f t="shared" si="63"/>
        <v>#VALUE!</v>
      </c>
      <c r="M708" s="32" t="str">
        <f t="shared" si="66"/>
        <v/>
      </c>
      <c r="N708" s="63" t="e">
        <f t="shared" si="65"/>
        <v>#VALUE!</v>
      </c>
      <c r="O708" s="86"/>
      <c r="P708" s="223"/>
      <c r="Q708" s="224"/>
      <c r="R708" s="135"/>
      <c r="S708" s="139" cm="1">
        <f t="array" ref="S708">IF(P708="",0,IF(OR(O708=";",P708="EQU",P708="ORG"),0,HlpGetInstructionSize(P708,Q708,R708,$AC$12)))</f>
        <v>0</v>
      </c>
      <c r="V708" s="42" t="str">
        <f t="shared" si="64"/>
        <v/>
      </c>
      <c r="W708" s="16"/>
      <c r="X708" s="28"/>
      <c r="Y708" s="29"/>
      <c r="AA708" s="66"/>
      <c r="AB708" s="11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28"/>
      <c r="AD708" s="129"/>
      <c r="AE708" s="129"/>
      <c r="AF708" s="129"/>
      <c r="AG708" s="129"/>
      <c r="AH708" s="129"/>
      <c r="AI708" s="129"/>
      <c r="AJ708" s="130"/>
    </row>
    <row r="709" spans="11:36">
      <c r="K709" s="76"/>
      <c r="L709" s="48" t="e">
        <f t="shared" si="63"/>
        <v>#VALUE!</v>
      </c>
      <c r="M709" s="32" t="str">
        <f t="shared" si="66"/>
        <v/>
      </c>
      <c r="N709" s="63" t="e">
        <f t="shared" si="65"/>
        <v>#VALUE!</v>
      </c>
      <c r="O709" s="86"/>
      <c r="P709" s="223"/>
      <c r="Q709" s="224"/>
      <c r="R709" s="135"/>
      <c r="S709" s="139" cm="1">
        <f t="array" ref="S709">IF(P709="",0,IF(OR(O709=";",P709="EQU",P709="ORG"),0,HlpGetInstructionSize(P709,Q709,R709,$AC$12)))</f>
        <v>0</v>
      </c>
      <c r="V709" s="42" t="str">
        <f t="shared" si="64"/>
        <v/>
      </c>
      <c r="W709" s="16"/>
      <c r="X709" s="28"/>
      <c r="Y709" s="29"/>
      <c r="AA709" s="66"/>
      <c r="AB709" s="11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28"/>
      <c r="AD709" s="129"/>
      <c r="AE709" s="129"/>
      <c r="AF709" s="129"/>
      <c r="AG709" s="129"/>
      <c r="AH709" s="129"/>
      <c r="AI709" s="129"/>
      <c r="AJ709" s="130"/>
    </row>
    <row r="710" spans="11:36">
      <c r="K710" s="76"/>
      <c r="L710" s="48" t="e">
        <f t="shared" si="63"/>
        <v>#VALUE!</v>
      </c>
      <c r="M710" s="32" t="str">
        <f t="shared" si="66"/>
        <v/>
      </c>
      <c r="N710" s="63" t="e">
        <f t="shared" si="65"/>
        <v>#VALUE!</v>
      </c>
      <c r="O710" s="86"/>
      <c r="P710" s="223"/>
      <c r="Q710" s="224"/>
      <c r="R710" s="135"/>
      <c r="S710" s="139" cm="1">
        <f t="array" ref="S710">IF(P710="",0,IF(OR(O710=";",P710="EQU",P710="ORG"),0,HlpGetInstructionSize(P710,Q710,R710,$AC$12)))</f>
        <v>0</v>
      </c>
      <c r="V710" s="42" t="str">
        <f t="shared" si="64"/>
        <v/>
      </c>
      <c r="W710" s="16"/>
      <c r="X710" s="28"/>
      <c r="Y710" s="29"/>
      <c r="AA710" s="66"/>
      <c r="AB710" s="11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28"/>
      <c r="AD710" s="129"/>
      <c r="AE710" s="129"/>
      <c r="AF710" s="129"/>
      <c r="AG710" s="129"/>
      <c r="AH710" s="129"/>
      <c r="AI710" s="129"/>
      <c r="AJ710" s="130"/>
    </row>
    <row r="711" spans="11:36">
      <c r="K711" s="76"/>
      <c r="L711" s="48" t="e">
        <f t="shared" si="63"/>
        <v>#VALUE!</v>
      </c>
      <c r="M711" s="32" t="str">
        <f t="shared" si="66"/>
        <v/>
      </c>
      <c r="N711" s="63" t="e">
        <f t="shared" si="65"/>
        <v>#VALUE!</v>
      </c>
      <c r="O711" s="86"/>
      <c r="P711" s="223"/>
      <c r="Q711" s="224"/>
      <c r="R711" s="135"/>
      <c r="S711" s="139" cm="1">
        <f t="array" ref="S711">IF(P711="",0,IF(OR(O711=";",P711="EQU",P711="ORG"),0,HlpGetInstructionSize(P711,Q711,R711,$AC$12)))</f>
        <v>0</v>
      </c>
      <c r="V711" s="42" t="str">
        <f t="shared" si="64"/>
        <v/>
      </c>
      <c r="W711" s="16"/>
      <c r="X711" s="28"/>
      <c r="Y711" s="29"/>
      <c r="AA711" s="66"/>
      <c r="AB711" s="11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28"/>
      <c r="AD711" s="129"/>
      <c r="AE711" s="129"/>
      <c r="AF711" s="129"/>
      <c r="AG711" s="129"/>
      <c r="AH711" s="129"/>
      <c r="AI711" s="129"/>
      <c r="AJ711" s="130"/>
    </row>
    <row r="712" spans="11:36">
      <c r="K712" s="76"/>
      <c r="L712" s="48" t="e">
        <f t="shared" si="63"/>
        <v>#VALUE!</v>
      </c>
      <c r="M712" s="32" t="str">
        <f t="shared" si="66"/>
        <v/>
      </c>
      <c r="N712" s="63" t="e">
        <f t="shared" si="65"/>
        <v>#VALUE!</v>
      </c>
      <c r="O712" s="86"/>
      <c r="P712" s="223"/>
      <c r="Q712" s="224"/>
      <c r="R712" s="135"/>
      <c r="S712" s="139" cm="1">
        <f t="array" ref="S712">IF(P712="",0,IF(OR(O712=";",P712="EQU",P712="ORG"),0,HlpGetInstructionSize(P712,Q712,R712,$AC$12)))</f>
        <v>0</v>
      </c>
      <c r="V712" s="42" t="str">
        <f t="shared" si="64"/>
        <v/>
      </c>
      <c r="W712" s="16"/>
      <c r="X712" s="28"/>
      <c r="Y712" s="29"/>
      <c r="AA712" s="66"/>
      <c r="AB712" s="11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28"/>
      <c r="AD712" s="129"/>
      <c r="AE712" s="129"/>
      <c r="AF712" s="129"/>
      <c r="AG712" s="129"/>
      <c r="AH712" s="129"/>
      <c r="AI712" s="129"/>
      <c r="AJ712" s="130"/>
    </row>
    <row r="713" spans="11:36">
      <c r="K713" s="76"/>
      <c r="L713" s="48" t="e">
        <f t="shared" ref="L713:L776" si="67">IF(UPPER(P713)="EQU","E",IF(P713="DB","D",IF(O713&lt;&gt;"","L",IF(N713="","F",""))))</f>
        <v>#VALUE!</v>
      </c>
      <c r="M713" s="32" t="str">
        <f t="shared" si="66"/>
        <v/>
      </c>
      <c r="N713" s="63" t="e">
        <f t="shared" si="65"/>
        <v>#VALUE!</v>
      </c>
      <c r="O713" s="86"/>
      <c r="P713" s="223"/>
      <c r="Q713" s="224"/>
      <c r="R713" s="135"/>
      <c r="S713" s="139" cm="1">
        <f t="array" ref="S713">IF(P713="",0,IF(OR(O713=";",P713="EQU",P713="ORG"),0,HlpGetInstructionSize(P713,Q713,R713,$AC$12)))</f>
        <v>0</v>
      </c>
      <c r="V713" s="42" t="str">
        <f t="shared" ref="V713:V776" si="68">IF(W713&gt;0,RIGHT("0000"&amp;DEC2HEX(W713),4),"")</f>
        <v/>
      </c>
      <c r="W713" s="16"/>
      <c r="X713" s="28"/>
      <c r="Y713" s="29"/>
      <c r="AA713" s="66"/>
      <c r="AB713" s="11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28"/>
      <c r="AD713" s="129"/>
      <c r="AE713" s="129"/>
      <c r="AF713" s="129"/>
      <c r="AG713" s="129"/>
      <c r="AH713" s="129"/>
      <c r="AI713" s="129"/>
      <c r="AJ713" s="130"/>
    </row>
    <row r="714" spans="11:36">
      <c r="K714" s="76"/>
      <c r="L714" s="48" t="e">
        <f t="shared" si="67"/>
        <v>#VALUE!</v>
      </c>
      <c r="M714" s="32" t="str">
        <f t="shared" si="66"/>
        <v/>
      </c>
      <c r="N714" s="63" t="e">
        <f t="shared" ref="N714:N777" si="69">N713+S713</f>
        <v>#VALUE!</v>
      </c>
      <c r="O714" s="86"/>
      <c r="P714" s="223"/>
      <c r="Q714" s="224"/>
      <c r="R714" s="135"/>
      <c r="S714" s="139" cm="1">
        <f t="array" ref="S714">IF(P714="",0,IF(OR(O714=";",P714="EQU",P714="ORG"),0,HlpGetInstructionSize(P714,Q714,R714,$AC$12)))</f>
        <v>0</v>
      </c>
      <c r="V714" s="42" t="str">
        <f t="shared" si="68"/>
        <v/>
      </c>
      <c r="W714" s="16"/>
      <c r="X714" s="28"/>
      <c r="Y714" s="29"/>
      <c r="AA714" s="66"/>
      <c r="AB714" s="11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28"/>
      <c r="AD714" s="129"/>
      <c r="AE714" s="129"/>
      <c r="AF714" s="129"/>
      <c r="AG714" s="129"/>
      <c r="AH714" s="129"/>
      <c r="AI714" s="129"/>
      <c r="AJ714" s="130"/>
    </row>
    <row r="715" spans="11:36">
      <c r="K715" s="76"/>
      <c r="L715" s="48" t="e">
        <f t="shared" si="67"/>
        <v>#VALUE!</v>
      </c>
      <c r="M715" s="32" t="str">
        <f t="shared" si="66"/>
        <v/>
      </c>
      <c r="N715" s="63" t="e">
        <f t="shared" si="69"/>
        <v>#VALUE!</v>
      </c>
      <c r="O715" s="86"/>
      <c r="P715" s="223"/>
      <c r="Q715" s="224"/>
      <c r="R715" s="135"/>
      <c r="S715" s="139" cm="1">
        <f t="array" ref="S715">IF(P715="",0,IF(OR(O715=";",P715="EQU",P715="ORG"),0,HlpGetInstructionSize(P715,Q715,R715,$AC$12)))</f>
        <v>0</v>
      </c>
      <c r="V715" s="42" t="str">
        <f t="shared" si="68"/>
        <v/>
      </c>
      <c r="W715" s="16"/>
      <c r="X715" s="28"/>
      <c r="Y715" s="29"/>
      <c r="AA715" s="66"/>
      <c r="AB715" s="11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28"/>
      <c r="AD715" s="129"/>
      <c r="AE715" s="129"/>
      <c r="AF715" s="129"/>
      <c r="AG715" s="129"/>
      <c r="AH715" s="129"/>
      <c r="AI715" s="129"/>
      <c r="AJ715" s="130"/>
    </row>
    <row r="716" spans="11:36">
      <c r="K716" s="76"/>
      <c r="L716" s="48" t="e">
        <f t="shared" si="67"/>
        <v>#VALUE!</v>
      </c>
      <c r="M716" s="32" t="str">
        <f t="shared" si="66"/>
        <v/>
      </c>
      <c r="N716" s="63" t="e">
        <f t="shared" si="69"/>
        <v>#VALUE!</v>
      </c>
      <c r="O716" s="86"/>
      <c r="P716" s="223"/>
      <c r="Q716" s="224"/>
      <c r="R716" s="135"/>
      <c r="S716" s="139" cm="1">
        <f t="array" ref="S716">IF(P716="",0,IF(OR(O716=";",P716="EQU",P716="ORG"),0,HlpGetInstructionSize(P716,Q716,R716,$AC$12)))</f>
        <v>0</v>
      </c>
      <c r="V716" s="42" t="str">
        <f t="shared" si="68"/>
        <v/>
      </c>
      <c r="W716" s="16"/>
      <c r="X716" s="28"/>
      <c r="Y716" s="29"/>
      <c r="AA716" s="66"/>
      <c r="AB716" s="11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28"/>
      <c r="AD716" s="129"/>
      <c r="AE716" s="129"/>
      <c r="AF716" s="129"/>
      <c r="AG716" s="129"/>
      <c r="AH716" s="129"/>
      <c r="AI716" s="129"/>
      <c r="AJ716" s="130"/>
    </row>
    <row r="717" spans="11:36">
      <c r="K717" s="76"/>
      <c r="L717" s="48" t="e">
        <f t="shared" si="67"/>
        <v>#VALUE!</v>
      </c>
      <c r="M717" s="32" t="str">
        <f t="shared" si="66"/>
        <v/>
      </c>
      <c r="N717" s="63" t="e">
        <f t="shared" si="69"/>
        <v>#VALUE!</v>
      </c>
      <c r="O717" s="86"/>
      <c r="P717" s="223"/>
      <c r="Q717" s="224"/>
      <c r="R717" s="135"/>
      <c r="S717" s="139" cm="1">
        <f t="array" ref="S717">IF(P717="",0,IF(OR(O717=";",P717="EQU",P717="ORG"),0,HlpGetInstructionSize(P717,Q717,R717,$AC$12)))</f>
        <v>0</v>
      </c>
      <c r="V717" s="42" t="str">
        <f t="shared" si="68"/>
        <v/>
      </c>
      <c r="W717" s="16"/>
      <c r="X717" s="28"/>
      <c r="Y717" s="29"/>
      <c r="AA717" s="66"/>
      <c r="AB717" s="11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28"/>
      <c r="AD717" s="129"/>
      <c r="AE717" s="129"/>
      <c r="AF717" s="129"/>
      <c r="AG717" s="129"/>
      <c r="AH717" s="129"/>
      <c r="AI717" s="129"/>
      <c r="AJ717" s="130"/>
    </row>
    <row r="718" spans="11:36">
      <c r="K718" s="76"/>
      <c r="L718" s="48" t="e">
        <f t="shared" si="67"/>
        <v>#VALUE!</v>
      </c>
      <c r="M718" s="32" t="str">
        <f t="shared" si="66"/>
        <v/>
      </c>
      <c r="N718" s="63" t="e">
        <f t="shared" si="69"/>
        <v>#VALUE!</v>
      </c>
      <c r="O718" s="86"/>
      <c r="P718" s="223"/>
      <c r="Q718" s="224"/>
      <c r="R718" s="135"/>
      <c r="S718" s="139" cm="1">
        <f t="array" ref="S718">IF(P718="",0,IF(OR(O718=";",P718="EQU",P718="ORG"),0,HlpGetInstructionSize(P718,Q718,R718,$AC$12)))</f>
        <v>0</v>
      </c>
      <c r="V718" s="42" t="str">
        <f t="shared" si="68"/>
        <v/>
      </c>
      <c r="W718" s="16"/>
      <c r="X718" s="28"/>
      <c r="Y718" s="29"/>
      <c r="AA718" s="66"/>
      <c r="AB718" s="11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28"/>
      <c r="AD718" s="129"/>
      <c r="AE718" s="129"/>
      <c r="AF718" s="129"/>
      <c r="AG718" s="129"/>
      <c r="AH718" s="129"/>
      <c r="AI718" s="129"/>
      <c r="AJ718" s="130"/>
    </row>
    <row r="719" spans="11:36">
      <c r="K719" s="76"/>
      <c r="L719" s="48" t="e">
        <f t="shared" si="67"/>
        <v>#VALUE!</v>
      </c>
      <c r="M719" s="32" t="str">
        <f t="shared" si="66"/>
        <v/>
      </c>
      <c r="N719" s="63" t="e">
        <f t="shared" si="69"/>
        <v>#VALUE!</v>
      </c>
      <c r="O719" s="86"/>
      <c r="P719" s="223"/>
      <c r="Q719" s="224"/>
      <c r="R719" s="135"/>
      <c r="S719" s="139" cm="1">
        <f t="array" ref="S719">IF(P719="",0,IF(OR(O719=";",P719="EQU",P719="ORG"),0,HlpGetInstructionSize(P719,Q719,R719,$AC$12)))</f>
        <v>0</v>
      </c>
      <c r="V719" s="42" t="str">
        <f t="shared" si="68"/>
        <v/>
      </c>
      <c r="W719" s="16"/>
      <c r="X719" s="28"/>
      <c r="Y719" s="29"/>
      <c r="AA719" s="66"/>
      <c r="AB719" s="11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28"/>
      <c r="AD719" s="129"/>
      <c r="AE719" s="129"/>
      <c r="AF719" s="129"/>
      <c r="AG719" s="129"/>
      <c r="AH719" s="129"/>
      <c r="AI719" s="129"/>
      <c r="AJ719" s="130"/>
    </row>
    <row r="720" spans="11:36">
      <c r="K720" s="76"/>
      <c r="L720" s="48" t="e">
        <f t="shared" si="67"/>
        <v>#VALUE!</v>
      </c>
      <c r="M720" s="32" t="str">
        <f t="shared" si="66"/>
        <v/>
      </c>
      <c r="N720" s="63" t="e">
        <f t="shared" si="69"/>
        <v>#VALUE!</v>
      </c>
      <c r="O720" s="86"/>
      <c r="P720" s="223"/>
      <c r="Q720" s="224"/>
      <c r="R720" s="135"/>
      <c r="S720" s="139" cm="1">
        <f t="array" ref="S720">IF(P720="",0,IF(OR(O720=";",P720="EQU",P720="ORG"),0,HlpGetInstructionSize(P720,Q720,R720,$AC$12)))</f>
        <v>0</v>
      </c>
      <c r="V720" s="42" t="str">
        <f t="shared" si="68"/>
        <v/>
      </c>
      <c r="W720" s="16"/>
      <c r="X720" s="28"/>
      <c r="Y720" s="29"/>
      <c r="AA720" s="66"/>
      <c r="AB720" s="11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28"/>
      <c r="AD720" s="129"/>
      <c r="AE720" s="129"/>
      <c r="AF720" s="129"/>
      <c r="AG720" s="129"/>
      <c r="AH720" s="129"/>
      <c r="AI720" s="129"/>
      <c r="AJ720" s="130"/>
    </row>
    <row r="721" spans="11:36">
      <c r="K721" s="76"/>
      <c r="L721" s="48" t="e">
        <f t="shared" si="67"/>
        <v>#VALUE!</v>
      </c>
      <c r="M721" s="32" t="str">
        <f t="shared" si="66"/>
        <v/>
      </c>
      <c r="N721" s="63" t="e">
        <f t="shared" si="69"/>
        <v>#VALUE!</v>
      </c>
      <c r="O721" s="86"/>
      <c r="P721" s="223"/>
      <c r="Q721" s="224"/>
      <c r="R721" s="135"/>
      <c r="S721" s="139" cm="1">
        <f t="array" ref="S721">IF(P721="",0,IF(OR(O721=";",P721="EQU",P721="ORG"),0,HlpGetInstructionSize(P721,Q721,R721,$AC$12)))</f>
        <v>0</v>
      </c>
      <c r="V721" s="42" t="str">
        <f t="shared" si="68"/>
        <v/>
      </c>
      <c r="W721" s="16"/>
      <c r="X721" s="28"/>
      <c r="Y721" s="29"/>
      <c r="AA721" s="66"/>
      <c r="AB721" s="11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28"/>
      <c r="AD721" s="129"/>
      <c r="AE721" s="129"/>
      <c r="AF721" s="129"/>
      <c r="AG721" s="129"/>
      <c r="AH721" s="129"/>
      <c r="AI721" s="129"/>
      <c r="AJ721" s="130"/>
    </row>
    <row r="722" spans="11:36">
      <c r="K722" s="76"/>
      <c r="L722" s="48" t="e">
        <f t="shared" si="67"/>
        <v>#VALUE!</v>
      </c>
      <c r="M722" s="32" t="str">
        <f t="shared" si="66"/>
        <v/>
      </c>
      <c r="N722" s="63" t="e">
        <f t="shared" si="69"/>
        <v>#VALUE!</v>
      </c>
      <c r="O722" s="86"/>
      <c r="P722" s="223"/>
      <c r="Q722" s="224"/>
      <c r="R722" s="135"/>
      <c r="S722" s="139" cm="1">
        <f t="array" ref="S722">IF(P722="",0,IF(OR(O722=";",P722="EQU",P722="ORG"),0,HlpGetInstructionSize(P722,Q722,R722,$AC$12)))</f>
        <v>0</v>
      </c>
      <c r="V722" s="42" t="str">
        <f t="shared" si="68"/>
        <v/>
      </c>
      <c r="W722" s="16"/>
      <c r="X722" s="28"/>
      <c r="Y722" s="29"/>
      <c r="AA722" s="66"/>
      <c r="AB722" s="11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28"/>
      <c r="AD722" s="129"/>
      <c r="AE722" s="129"/>
      <c r="AF722" s="129"/>
      <c r="AG722" s="129"/>
      <c r="AH722" s="129"/>
      <c r="AI722" s="129"/>
      <c r="AJ722" s="130"/>
    </row>
    <row r="723" spans="11:36">
      <c r="K723" s="76"/>
      <c r="L723" s="48" t="e">
        <f t="shared" si="67"/>
        <v>#VALUE!</v>
      </c>
      <c r="M723" s="32" t="str">
        <f t="shared" si="66"/>
        <v/>
      </c>
      <c r="N723" s="63" t="e">
        <f t="shared" si="69"/>
        <v>#VALUE!</v>
      </c>
      <c r="O723" s="86"/>
      <c r="P723" s="223"/>
      <c r="Q723" s="224"/>
      <c r="R723" s="135"/>
      <c r="S723" s="139" cm="1">
        <f t="array" ref="S723">IF(P723="",0,IF(OR(O723=";",P723="EQU",P723="ORG"),0,HlpGetInstructionSize(P723,Q723,R723,$AC$12)))</f>
        <v>0</v>
      </c>
      <c r="V723" s="42" t="str">
        <f t="shared" si="68"/>
        <v/>
      </c>
      <c r="W723" s="16"/>
      <c r="X723" s="28"/>
      <c r="Y723" s="29"/>
      <c r="AA723" s="66"/>
      <c r="AB723" s="11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28"/>
      <c r="AD723" s="129"/>
      <c r="AE723" s="129"/>
      <c r="AF723" s="129"/>
      <c r="AG723" s="129"/>
      <c r="AH723" s="129"/>
      <c r="AI723" s="129"/>
      <c r="AJ723" s="130"/>
    </row>
    <row r="724" spans="11:36">
      <c r="K724" s="76"/>
      <c r="L724" s="48" t="e">
        <f t="shared" si="67"/>
        <v>#VALUE!</v>
      </c>
      <c r="M724" s="32" t="str">
        <f t="shared" si="66"/>
        <v/>
      </c>
      <c r="N724" s="63" t="e">
        <f t="shared" si="69"/>
        <v>#VALUE!</v>
      </c>
      <c r="O724" s="86"/>
      <c r="P724" s="223"/>
      <c r="Q724" s="224"/>
      <c r="R724" s="135"/>
      <c r="S724" s="139" cm="1">
        <f t="array" ref="S724">IF(P724="",0,IF(OR(O724=";",P724="EQU",P724="ORG"),0,HlpGetInstructionSize(P724,Q724,R724,$AC$12)))</f>
        <v>0</v>
      </c>
      <c r="V724" s="42" t="str">
        <f t="shared" si="68"/>
        <v/>
      </c>
      <c r="W724" s="16"/>
      <c r="X724" s="28"/>
      <c r="Y724" s="29"/>
      <c r="AA724" s="66"/>
      <c r="AB724" s="11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28"/>
      <c r="AD724" s="129"/>
      <c r="AE724" s="129"/>
      <c r="AF724" s="129"/>
      <c r="AG724" s="129"/>
      <c r="AH724" s="129"/>
      <c r="AI724" s="129"/>
      <c r="AJ724" s="130"/>
    </row>
    <row r="725" spans="11:36">
      <c r="K725" s="76"/>
      <c r="L725" s="48" t="e">
        <f t="shared" si="67"/>
        <v>#VALUE!</v>
      </c>
      <c r="M725" s="32" t="str">
        <f t="shared" si="66"/>
        <v/>
      </c>
      <c r="N725" s="63" t="e">
        <f t="shared" si="69"/>
        <v>#VALUE!</v>
      </c>
      <c r="O725" s="86"/>
      <c r="P725" s="223"/>
      <c r="Q725" s="224"/>
      <c r="R725" s="135"/>
      <c r="S725" s="139" cm="1">
        <f t="array" ref="S725">IF(P725="",0,IF(OR(O725=";",P725="EQU",P725="ORG"),0,HlpGetInstructionSize(P725,Q725,R725,$AC$12)))</f>
        <v>0</v>
      </c>
      <c r="V725" s="42" t="str">
        <f t="shared" si="68"/>
        <v/>
      </c>
      <c r="W725" s="16"/>
      <c r="X725" s="28"/>
      <c r="Y725" s="29"/>
      <c r="AA725" s="66"/>
      <c r="AB725" s="11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28"/>
      <c r="AD725" s="129"/>
      <c r="AE725" s="129"/>
      <c r="AF725" s="129"/>
      <c r="AG725" s="129"/>
      <c r="AH725" s="129"/>
      <c r="AI725" s="129"/>
      <c r="AJ725" s="130"/>
    </row>
    <row r="726" spans="11:36">
      <c r="K726" s="76"/>
      <c r="L726" s="48" t="e">
        <f t="shared" si="67"/>
        <v>#VALUE!</v>
      </c>
      <c r="M726" s="32" t="str">
        <f t="shared" si="66"/>
        <v/>
      </c>
      <c r="N726" s="63" t="e">
        <f t="shared" si="69"/>
        <v>#VALUE!</v>
      </c>
      <c r="O726" s="86"/>
      <c r="P726" s="223"/>
      <c r="Q726" s="224"/>
      <c r="R726" s="135"/>
      <c r="S726" s="139" cm="1">
        <f t="array" ref="S726">IF(P726="",0,IF(OR(O726=";",P726="EQU",P726="ORG"),0,HlpGetInstructionSize(P726,Q726,R726,$AC$12)))</f>
        <v>0</v>
      </c>
      <c r="V726" s="42" t="str">
        <f t="shared" si="68"/>
        <v/>
      </c>
      <c r="W726" s="16"/>
      <c r="X726" s="28"/>
      <c r="Y726" s="29"/>
      <c r="AA726" s="66"/>
      <c r="AB726" s="11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28"/>
      <c r="AD726" s="129"/>
      <c r="AE726" s="129"/>
      <c r="AF726" s="129"/>
      <c r="AG726" s="129"/>
      <c r="AH726" s="129"/>
      <c r="AI726" s="129"/>
      <c r="AJ726" s="130"/>
    </row>
    <row r="727" spans="11:36">
      <c r="K727" s="76"/>
      <c r="L727" s="48" t="e">
        <f t="shared" si="67"/>
        <v>#VALUE!</v>
      </c>
      <c r="M727" s="32" t="str">
        <f t="shared" si="66"/>
        <v/>
      </c>
      <c r="N727" s="63" t="e">
        <f t="shared" si="69"/>
        <v>#VALUE!</v>
      </c>
      <c r="O727" s="86"/>
      <c r="P727" s="223"/>
      <c r="Q727" s="224"/>
      <c r="R727" s="135"/>
      <c r="S727" s="139" cm="1">
        <f t="array" ref="S727">IF(P727="",0,IF(OR(O727=";",P727="EQU",P727="ORG"),0,HlpGetInstructionSize(P727,Q727,R727,$AC$12)))</f>
        <v>0</v>
      </c>
      <c r="V727" s="42" t="str">
        <f t="shared" si="68"/>
        <v/>
      </c>
      <c r="W727" s="16"/>
      <c r="X727" s="28"/>
      <c r="Y727" s="29"/>
      <c r="AA727" s="66"/>
      <c r="AB727" s="11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28"/>
      <c r="AD727" s="129"/>
      <c r="AE727" s="129"/>
      <c r="AF727" s="129"/>
      <c r="AG727" s="129"/>
      <c r="AH727" s="129"/>
      <c r="AI727" s="129"/>
      <c r="AJ727" s="130"/>
    </row>
    <row r="728" spans="11:36">
      <c r="K728" s="76"/>
      <c r="L728" s="48" t="e">
        <f t="shared" si="67"/>
        <v>#VALUE!</v>
      </c>
      <c r="M728" s="32" t="str">
        <f t="shared" si="66"/>
        <v/>
      </c>
      <c r="N728" s="63" t="e">
        <f t="shared" si="69"/>
        <v>#VALUE!</v>
      </c>
      <c r="O728" s="86"/>
      <c r="P728" s="223"/>
      <c r="Q728" s="224"/>
      <c r="R728" s="135"/>
      <c r="S728" s="139" cm="1">
        <f t="array" ref="S728">IF(P728="",0,IF(OR(O728=";",P728="EQU",P728="ORG"),0,HlpGetInstructionSize(P728,Q728,R728,$AC$12)))</f>
        <v>0</v>
      </c>
      <c r="V728" s="42" t="str">
        <f t="shared" si="68"/>
        <v/>
      </c>
      <c r="W728" s="16"/>
      <c r="X728" s="28"/>
      <c r="Y728" s="29"/>
      <c r="AA728" s="66"/>
      <c r="AB728" s="11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28"/>
      <c r="AD728" s="129"/>
      <c r="AE728" s="129"/>
      <c r="AF728" s="129"/>
      <c r="AG728" s="129"/>
      <c r="AH728" s="129"/>
      <c r="AI728" s="129"/>
      <c r="AJ728" s="130"/>
    </row>
    <row r="729" spans="11:36">
      <c r="K729" s="76"/>
      <c r="L729" s="48" t="e">
        <f t="shared" si="67"/>
        <v>#VALUE!</v>
      </c>
      <c r="M729" s="32" t="str">
        <f t="shared" si="66"/>
        <v/>
      </c>
      <c r="N729" s="63" t="e">
        <f t="shared" si="69"/>
        <v>#VALUE!</v>
      </c>
      <c r="O729" s="86"/>
      <c r="P729" s="223"/>
      <c r="Q729" s="224"/>
      <c r="R729" s="135"/>
      <c r="S729" s="139" cm="1">
        <f t="array" ref="S729">IF(P729="",0,IF(OR(O729=";",P729="EQU",P729="ORG"),0,HlpGetInstructionSize(P729,Q729,R729,$AC$12)))</f>
        <v>0</v>
      </c>
      <c r="V729" s="42" t="str">
        <f t="shared" si="68"/>
        <v/>
      </c>
      <c r="W729" s="16"/>
      <c r="X729" s="28"/>
      <c r="Y729" s="29"/>
      <c r="AA729" s="66"/>
      <c r="AB729" s="11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28"/>
      <c r="AD729" s="129"/>
      <c r="AE729" s="129"/>
      <c r="AF729" s="129"/>
      <c r="AG729" s="129"/>
      <c r="AH729" s="129"/>
      <c r="AI729" s="129"/>
      <c r="AJ729" s="130"/>
    </row>
    <row r="730" spans="11:36">
      <c r="K730" s="76"/>
      <c r="L730" s="48" t="e">
        <f t="shared" si="67"/>
        <v>#VALUE!</v>
      </c>
      <c r="M730" s="32" t="str">
        <f t="shared" si="66"/>
        <v/>
      </c>
      <c r="N730" s="63" t="e">
        <f t="shared" si="69"/>
        <v>#VALUE!</v>
      </c>
      <c r="O730" s="86"/>
      <c r="P730" s="223"/>
      <c r="Q730" s="224"/>
      <c r="R730" s="135"/>
      <c r="S730" s="139" cm="1">
        <f t="array" ref="S730">IF(P730="",0,IF(OR(O730=";",P730="EQU",P730="ORG"),0,HlpGetInstructionSize(P730,Q730,R730,$AC$12)))</f>
        <v>0</v>
      </c>
      <c r="V730" s="42" t="str">
        <f t="shared" si="68"/>
        <v/>
      </c>
      <c r="W730" s="16"/>
      <c r="X730" s="28"/>
      <c r="Y730" s="29"/>
      <c r="AA730" s="66"/>
      <c r="AB730" s="11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28"/>
      <c r="AD730" s="129"/>
      <c r="AE730" s="129"/>
      <c r="AF730" s="129"/>
      <c r="AG730" s="129"/>
      <c r="AH730" s="129"/>
      <c r="AI730" s="129"/>
      <c r="AJ730" s="130"/>
    </row>
    <row r="731" spans="11:36">
      <c r="K731" s="76"/>
      <c r="L731" s="48" t="e">
        <f t="shared" si="67"/>
        <v>#VALUE!</v>
      </c>
      <c r="M731" s="32" t="str">
        <f t="shared" si="66"/>
        <v/>
      </c>
      <c r="N731" s="63" t="e">
        <f t="shared" si="69"/>
        <v>#VALUE!</v>
      </c>
      <c r="O731" s="86"/>
      <c r="P731" s="223"/>
      <c r="Q731" s="224"/>
      <c r="R731" s="135"/>
      <c r="S731" s="139" cm="1">
        <f t="array" ref="S731">IF(P731="",0,IF(OR(O731=";",P731="EQU",P731="ORG"),0,HlpGetInstructionSize(P731,Q731,R731,$AC$12)))</f>
        <v>0</v>
      </c>
      <c r="V731" s="42" t="str">
        <f t="shared" si="68"/>
        <v/>
      </c>
      <c r="W731" s="16"/>
      <c r="X731" s="28"/>
      <c r="Y731" s="29"/>
      <c r="AA731" s="66"/>
      <c r="AB731" s="11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28"/>
      <c r="AD731" s="129"/>
      <c r="AE731" s="129"/>
      <c r="AF731" s="129"/>
      <c r="AG731" s="129"/>
      <c r="AH731" s="129"/>
      <c r="AI731" s="129"/>
      <c r="AJ731" s="130"/>
    </row>
    <row r="732" spans="11:36">
      <c r="K732" s="76"/>
      <c r="L732" s="48" t="e">
        <f t="shared" si="67"/>
        <v>#VALUE!</v>
      </c>
      <c r="M732" s="32" t="str">
        <f t="shared" si="66"/>
        <v/>
      </c>
      <c r="N732" s="63" t="e">
        <f t="shared" si="69"/>
        <v>#VALUE!</v>
      </c>
      <c r="O732" s="86"/>
      <c r="P732" s="223"/>
      <c r="Q732" s="224"/>
      <c r="R732" s="135"/>
      <c r="S732" s="139" cm="1">
        <f t="array" ref="S732">IF(P732="",0,IF(OR(O732=";",P732="EQU",P732="ORG"),0,HlpGetInstructionSize(P732,Q732,R732,$AC$12)))</f>
        <v>0</v>
      </c>
      <c r="V732" s="42" t="str">
        <f t="shared" si="68"/>
        <v/>
      </c>
      <c r="W732" s="16"/>
      <c r="X732" s="28"/>
      <c r="Y732" s="29"/>
      <c r="AA732" s="66"/>
      <c r="AB732" s="11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28"/>
      <c r="AD732" s="129"/>
      <c r="AE732" s="129"/>
      <c r="AF732" s="129"/>
      <c r="AG732" s="129"/>
      <c r="AH732" s="129"/>
      <c r="AI732" s="129"/>
      <c r="AJ732" s="130"/>
    </row>
    <row r="733" spans="11:36">
      <c r="K733" s="76"/>
      <c r="L733" s="48" t="e">
        <f t="shared" si="67"/>
        <v>#VALUE!</v>
      </c>
      <c r="M733" s="32" t="str">
        <f t="shared" ref="M733:M796" si="70">IFERROR(RIGHT("0000"&amp;DEC2HEX(N733),4),"")</f>
        <v/>
      </c>
      <c r="N733" s="63" t="e">
        <f t="shared" si="69"/>
        <v>#VALUE!</v>
      </c>
      <c r="O733" s="86"/>
      <c r="P733" s="223"/>
      <c r="Q733" s="224"/>
      <c r="R733" s="135"/>
      <c r="S733" s="139" cm="1">
        <f t="array" ref="S733">IF(P733="",0,IF(OR(O733=";",P733="EQU",P733="ORG"),0,HlpGetInstructionSize(P733,Q733,R733,$AC$12)))</f>
        <v>0</v>
      </c>
      <c r="V733" s="42" t="str">
        <f t="shared" si="68"/>
        <v/>
      </c>
      <c r="W733" s="16"/>
      <c r="X733" s="28"/>
      <c r="Y733" s="29"/>
      <c r="AA733" s="66"/>
      <c r="AB733" s="11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28"/>
      <c r="AD733" s="129"/>
      <c r="AE733" s="129"/>
      <c r="AF733" s="129"/>
      <c r="AG733" s="129"/>
      <c r="AH733" s="129"/>
      <c r="AI733" s="129"/>
      <c r="AJ733" s="130"/>
    </row>
    <row r="734" spans="11:36">
      <c r="K734" s="76"/>
      <c r="L734" s="48" t="e">
        <f t="shared" si="67"/>
        <v>#VALUE!</v>
      </c>
      <c r="M734" s="32" t="str">
        <f t="shared" si="70"/>
        <v/>
      </c>
      <c r="N734" s="63" t="e">
        <f t="shared" si="69"/>
        <v>#VALUE!</v>
      </c>
      <c r="O734" s="86"/>
      <c r="P734" s="223"/>
      <c r="Q734" s="224"/>
      <c r="R734" s="135"/>
      <c r="S734" s="139" cm="1">
        <f t="array" ref="S734">IF(P734="",0,IF(OR(O734=";",P734="EQU",P734="ORG"),0,HlpGetInstructionSize(P734,Q734,R734,$AC$12)))</f>
        <v>0</v>
      </c>
      <c r="V734" s="42" t="str">
        <f t="shared" si="68"/>
        <v/>
      </c>
      <c r="W734" s="16"/>
      <c r="X734" s="28"/>
      <c r="Y734" s="29"/>
      <c r="AA734" s="66"/>
      <c r="AB734" s="11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28"/>
      <c r="AD734" s="129"/>
      <c r="AE734" s="129"/>
      <c r="AF734" s="129"/>
      <c r="AG734" s="129"/>
      <c r="AH734" s="129"/>
      <c r="AI734" s="129"/>
      <c r="AJ734" s="130"/>
    </row>
    <row r="735" spans="11:36">
      <c r="K735" s="76"/>
      <c r="L735" s="48" t="e">
        <f t="shared" si="67"/>
        <v>#VALUE!</v>
      </c>
      <c r="M735" s="32" t="str">
        <f t="shared" si="70"/>
        <v/>
      </c>
      <c r="N735" s="63" t="e">
        <f t="shared" si="69"/>
        <v>#VALUE!</v>
      </c>
      <c r="O735" s="86"/>
      <c r="P735" s="223"/>
      <c r="Q735" s="224"/>
      <c r="R735" s="135"/>
      <c r="S735" s="139" cm="1">
        <f t="array" ref="S735">IF(P735="",0,IF(OR(O735=";",P735="EQU",P735="ORG"),0,HlpGetInstructionSize(P735,Q735,R735,$AC$12)))</f>
        <v>0</v>
      </c>
      <c r="V735" s="42" t="str">
        <f t="shared" si="68"/>
        <v/>
      </c>
      <c r="W735" s="16"/>
      <c r="X735" s="28"/>
      <c r="Y735" s="29"/>
      <c r="AA735" s="66"/>
      <c r="AB735" s="11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28"/>
      <c r="AD735" s="129"/>
      <c r="AE735" s="129"/>
      <c r="AF735" s="129"/>
      <c r="AG735" s="129"/>
      <c r="AH735" s="129"/>
      <c r="AI735" s="129"/>
      <c r="AJ735" s="130"/>
    </row>
    <row r="736" spans="11:36">
      <c r="K736" s="76"/>
      <c r="L736" s="48" t="e">
        <f t="shared" si="67"/>
        <v>#VALUE!</v>
      </c>
      <c r="M736" s="32" t="str">
        <f t="shared" si="70"/>
        <v/>
      </c>
      <c r="N736" s="63" t="e">
        <f t="shared" si="69"/>
        <v>#VALUE!</v>
      </c>
      <c r="O736" s="86"/>
      <c r="P736" s="223"/>
      <c r="Q736" s="224"/>
      <c r="R736" s="135"/>
      <c r="S736" s="139" cm="1">
        <f t="array" ref="S736">IF(P736="",0,IF(OR(O736=";",P736="EQU",P736="ORG"),0,HlpGetInstructionSize(P736,Q736,R736,$AC$12)))</f>
        <v>0</v>
      </c>
      <c r="V736" s="42" t="str">
        <f t="shared" si="68"/>
        <v/>
      </c>
      <c r="W736" s="16"/>
      <c r="X736" s="28"/>
      <c r="Y736" s="29"/>
      <c r="AA736" s="66"/>
      <c r="AB736" s="11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28"/>
      <c r="AD736" s="129"/>
      <c r="AE736" s="129"/>
      <c r="AF736" s="129"/>
      <c r="AG736" s="129"/>
      <c r="AH736" s="129"/>
      <c r="AI736" s="129"/>
      <c r="AJ736" s="130"/>
    </row>
    <row r="737" spans="11:36">
      <c r="K737" s="76"/>
      <c r="L737" s="48" t="e">
        <f t="shared" si="67"/>
        <v>#VALUE!</v>
      </c>
      <c r="M737" s="32" t="str">
        <f t="shared" si="70"/>
        <v/>
      </c>
      <c r="N737" s="63" t="e">
        <f t="shared" si="69"/>
        <v>#VALUE!</v>
      </c>
      <c r="O737" s="86"/>
      <c r="P737" s="223"/>
      <c r="Q737" s="224"/>
      <c r="R737" s="135"/>
      <c r="S737" s="139" cm="1">
        <f t="array" ref="S737">IF(P737="",0,IF(OR(O737=";",P737="EQU",P737="ORG"),0,HlpGetInstructionSize(P737,Q737,R737,$AC$12)))</f>
        <v>0</v>
      </c>
      <c r="V737" s="42" t="str">
        <f t="shared" si="68"/>
        <v/>
      </c>
      <c r="W737" s="16"/>
      <c r="X737" s="28"/>
      <c r="Y737" s="29"/>
      <c r="AA737" s="66"/>
      <c r="AB737" s="11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28"/>
      <c r="AD737" s="129"/>
      <c r="AE737" s="129"/>
      <c r="AF737" s="129"/>
      <c r="AG737" s="129"/>
      <c r="AH737" s="129"/>
      <c r="AI737" s="129"/>
      <c r="AJ737" s="130"/>
    </row>
    <row r="738" spans="11:36">
      <c r="K738" s="76"/>
      <c r="L738" s="48" t="e">
        <f t="shared" si="67"/>
        <v>#VALUE!</v>
      </c>
      <c r="M738" s="32" t="str">
        <f t="shared" si="70"/>
        <v/>
      </c>
      <c r="N738" s="63" t="e">
        <f t="shared" si="69"/>
        <v>#VALUE!</v>
      </c>
      <c r="O738" s="86"/>
      <c r="P738" s="223"/>
      <c r="Q738" s="224"/>
      <c r="R738" s="135"/>
      <c r="S738" s="139" cm="1">
        <f t="array" ref="S738">IF(P738="",0,IF(OR(O738=";",P738="EQU",P738="ORG"),0,HlpGetInstructionSize(P738,Q738,R738,$AC$12)))</f>
        <v>0</v>
      </c>
      <c r="V738" s="42" t="str">
        <f t="shared" si="68"/>
        <v/>
      </c>
      <c r="W738" s="16"/>
      <c r="X738" s="28"/>
      <c r="Y738" s="29"/>
      <c r="AA738" s="66"/>
      <c r="AB738" s="11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28"/>
      <c r="AD738" s="129"/>
      <c r="AE738" s="129"/>
      <c r="AF738" s="129"/>
      <c r="AG738" s="129"/>
      <c r="AH738" s="129"/>
      <c r="AI738" s="129"/>
      <c r="AJ738" s="130"/>
    </row>
    <row r="739" spans="11:36">
      <c r="K739" s="76"/>
      <c r="L739" s="48" t="e">
        <f t="shared" si="67"/>
        <v>#VALUE!</v>
      </c>
      <c r="M739" s="32" t="str">
        <f t="shared" si="70"/>
        <v/>
      </c>
      <c r="N739" s="63" t="e">
        <f t="shared" si="69"/>
        <v>#VALUE!</v>
      </c>
      <c r="O739" s="86"/>
      <c r="P739" s="223"/>
      <c r="Q739" s="224"/>
      <c r="R739" s="135"/>
      <c r="S739" s="139" cm="1">
        <f t="array" ref="S739">IF(P739="",0,IF(OR(O739=";",P739="EQU",P739="ORG"),0,HlpGetInstructionSize(P739,Q739,R739,$AC$12)))</f>
        <v>0</v>
      </c>
      <c r="V739" s="42" t="str">
        <f t="shared" si="68"/>
        <v/>
      </c>
      <c r="W739" s="16"/>
      <c r="X739" s="28"/>
      <c r="Y739" s="29"/>
      <c r="AA739" s="66"/>
      <c r="AB739" s="11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28"/>
      <c r="AD739" s="129"/>
      <c r="AE739" s="129"/>
      <c r="AF739" s="129"/>
      <c r="AG739" s="129"/>
      <c r="AH739" s="129"/>
      <c r="AI739" s="129"/>
      <c r="AJ739" s="130"/>
    </row>
    <row r="740" spans="11:36">
      <c r="K740" s="76"/>
      <c r="L740" s="48" t="e">
        <f t="shared" si="67"/>
        <v>#VALUE!</v>
      </c>
      <c r="M740" s="32" t="str">
        <f t="shared" si="70"/>
        <v/>
      </c>
      <c r="N740" s="63" t="e">
        <f t="shared" si="69"/>
        <v>#VALUE!</v>
      </c>
      <c r="O740" s="86"/>
      <c r="P740" s="223"/>
      <c r="Q740" s="224"/>
      <c r="R740" s="135"/>
      <c r="S740" s="139" cm="1">
        <f t="array" ref="S740">IF(P740="",0,IF(OR(O740=";",P740="EQU",P740="ORG"),0,HlpGetInstructionSize(P740,Q740,R740,$AC$12)))</f>
        <v>0</v>
      </c>
      <c r="V740" s="42" t="str">
        <f t="shared" si="68"/>
        <v/>
      </c>
      <c r="W740" s="16"/>
      <c r="X740" s="28"/>
      <c r="Y740" s="29"/>
      <c r="AA740" s="66"/>
      <c r="AB740" s="11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28"/>
      <c r="AD740" s="129"/>
      <c r="AE740" s="129"/>
      <c r="AF740" s="129"/>
      <c r="AG740" s="129"/>
      <c r="AH740" s="129"/>
      <c r="AI740" s="129"/>
      <c r="AJ740" s="130"/>
    </row>
    <row r="741" spans="11:36">
      <c r="K741" s="76"/>
      <c r="L741" s="48" t="e">
        <f t="shared" si="67"/>
        <v>#VALUE!</v>
      </c>
      <c r="M741" s="32" t="str">
        <f t="shared" si="70"/>
        <v/>
      </c>
      <c r="N741" s="63" t="e">
        <f t="shared" si="69"/>
        <v>#VALUE!</v>
      </c>
      <c r="O741" s="86"/>
      <c r="P741" s="223"/>
      <c r="Q741" s="224"/>
      <c r="R741" s="135"/>
      <c r="S741" s="139" cm="1">
        <f t="array" ref="S741">IF(P741="",0,IF(OR(O741=";",P741="EQU",P741="ORG"),0,HlpGetInstructionSize(P741,Q741,R741,$AC$12)))</f>
        <v>0</v>
      </c>
      <c r="V741" s="42" t="str">
        <f t="shared" si="68"/>
        <v/>
      </c>
      <c r="W741" s="16"/>
      <c r="X741" s="28"/>
      <c r="Y741" s="29"/>
      <c r="AA741" s="66"/>
      <c r="AB741" s="11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28"/>
      <c r="AD741" s="129"/>
      <c r="AE741" s="129"/>
      <c r="AF741" s="129"/>
      <c r="AG741" s="129"/>
      <c r="AH741" s="129"/>
      <c r="AI741" s="129"/>
      <c r="AJ741" s="130"/>
    </row>
    <row r="742" spans="11:36">
      <c r="K742" s="76"/>
      <c r="L742" s="48" t="e">
        <f t="shared" si="67"/>
        <v>#VALUE!</v>
      </c>
      <c r="M742" s="32" t="str">
        <f t="shared" si="70"/>
        <v/>
      </c>
      <c r="N742" s="63" t="e">
        <f t="shared" si="69"/>
        <v>#VALUE!</v>
      </c>
      <c r="O742" s="86"/>
      <c r="P742" s="223"/>
      <c r="Q742" s="224"/>
      <c r="R742" s="135"/>
      <c r="S742" s="139" cm="1">
        <f t="array" ref="S742">IF(P742="",0,IF(OR(O742=";",P742="EQU",P742="ORG"),0,HlpGetInstructionSize(P742,Q742,R742,$AC$12)))</f>
        <v>0</v>
      </c>
      <c r="V742" s="42" t="str">
        <f t="shared" si="68"/>
        <v/>
      </c>
      <c r="W742" s="16"/>
      <c r="X742" s="28"/>
      <c r="Y742" s="29"/>
      <c r="AA742" s="66"/>
      <c r="AB742" s="11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28"/>
      <c r="AD742" s="129"/>
      <c r="AE742" s="129"/>
      <c r="AF742" s="129"/>
      <c r="AG742" s="129"/>
      <c r="AH742" s="129"/>
      <c r="AI742" s="129"/>
      <c r="AJ742" s="130"/>
    </row>
    <row r="743" spans="11:36">
      <c r="K743" s="76"/>
      <c r="L743" s="48" t="e">
        <f t="shared" si="67"/>
        <v>#VALUE!</v>
      </c>
      <c r="M743" s="32" t="str">
        <f t="shared" si="70"/>
        <v/>
      </c>
      <c r="N743" s="63" t="e">
        <f t="shared" si="69"/>
        <v>#VALUE!</v>
      </c>
      <c r="O743" s="86"/>
      <c r="P743" s="223"/>
      <c r="Q743" s="224"/>
      <c r="R743" s="135"/>
      <c r="S743" s="139" cm="1">
        <f t="array" ref="S743">IF(P743="",0,IF(OR(O743=";",P743="EQU",P743="ORG"),0,HlpGetInstructionSize(P743,Q743,R743,$AC$12)))</f>
        <v>0</v>
      </c>
      <c r="V743" s="42" t="str">
        <f t="shared" si="68"/>
        <v/>
      </c>
      <c r="W743" s="16"/>
      <c r="X743" s="28"/>
      <c r="Y743" s="29"/>
      <c r="AA743" s="66"/>
      <c r="AB743" s="11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28"/>
      <c r="AD743" s="129"/>
      <c r="AE743" s="129"/>
      <c r="AF743" s="129"/>
      <c r="AG743" s="129"/>
      <c r="AH743" s="129"/>
      <c r="AI743" s="129"/>
      <c r="AJ743" s="130"/>
    </row>
    <row r="744" spans="11:36">
      <c r="K744" s="76"/>
      <c r="L744" s="48" t="e">
        <f t="shared" si="67"/>
        <v>#VALUE!</v>
      </c>
      <c r="M744" s="32" t="str">
        <f t="shared" si="70"/>
        <v/>
      </c>
      <c r="N744" s="63" t="e">
        <f t="shared" si="69"/>
        <v>#VALUE!</v>
      </c>
      <c r="O744" s="86"/>
      <c r="P744" s="223"/>
      <c r="Q744" s="224"/>
      <c r="R744" s="135"/>
      <c r="S744" s="139" cm="1">
        <f t="array" ref="S744">IF(P744="",0,IF(OR(O744=";",P744="EQU",P744="ORG"),0,HlpGetInstructionSize(P744,Q744,R744,$AC$12)))</f>
        <v>0</v>
      </c>
      <c r="V744" s="42" t="str">
        <f t="shared" si="68"/>
        <v/>
      </c>
      <c r="W744" s="16"/>
      <c r="X744" s="28"/>
      <c r="Y744" s="29"/>
      <c r="AA744" s="66"/>
      <c r="AB744" s="11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28"/>
      <c r="AD744" s="129"/>
      <c r="AE744" s="129"/>
      <c r="AF744" s="129"/>
      <c r="AG744" s="129"/>
      <c r="AH744" s="129"/>
      <c r="AI744" s="129"/>
      <c r="AJ744" s="130"/>
    </row>
    <row r="745" spans="11:36">
      <c r="K745" s="76"/>
      <c r="L745" s="48" t="e">
        <f t="shared" si="67"/>
        <v>#VALUE!</v>
      </c>
      <c r="M745" s="32" t="str">
        <f t="shared" si="70"/>
        <v/>
      </c>
      <c r="N745" s="63" t="e">
        <f t="shared" si="69"/>
        <v>#VALUE!</v>
      </c>
      <c r="O745" s="86"/>
      <c r="P745" s="223"/>
      <c r="Q745" s="224"/>
      <c r="R745" s="135"/>
      <c r="S745" s="139" cm="1">
        <f t="array" ref="S745">IF(P745="",0,IF(OR(O745=";",P745="EQU",P745="ORG"),0,HlpGetInstructionSize(P745,Q745,R745,$AC$12)))</f>
        <v>0</v>
      </c>
      <c r="V745" s="42" t="str">
        <f t="shared" si="68"/>
        <v/>
      </c>
      <c r="W745" s="16"/>
      <c r="X745" s="28"/>
      <c r="Y745" s="29"/>
      <c r="AA745" s="66"/>
      <c r="AB745" s="11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28"/>
      <c r="AD745" s="129"/>
      <c r="AE745" s="129"/>
      <c r="AF745" s="129"/>
      <c r="AG745" s="129"/>
      <c r="AH745" s="129"/>
      <c r="AI745" s="129"/>
      <c r="AJ745" s="130"/>
    </row>
    <row r="746" spans="11:36">
      <c r="K746" s="76"/>
      <c r="L746" s="48" t="e">
        <f t="shared" si="67"/>
        <v>#VALUE!</v>
      </c>
      <c r="M746" s="32" t="str">
        <f t="shared" si="70"/>
        <v/>
      </c>
      <c r="N746" s="63" t="e">
        <f t="shared" si="69"/>
        <v>#VALUE!</v>
      </c>
      <c r="O746" s="86"/>
      <c r="P746" s="223"/>
      <c r="Q746" s="224"/>
      <c r="R746" s="135"/>
      <c r="S746" s="139" cm="1">
        <f t="array" ref="S746">IF(P746="",0,IF(OR(O746=";",P746="EQU",P746="ORG"),0,HlpGetInstructionSize(P746,Q746,R746,$AC$12)))</f>
        <v>0</v>
      </c>
      <c r="V746" s="42" t="str">
        <f t="shared" si="68"/>
        <v/>
      </c>
      <c r="W746" s="16"/>
      <c r="X746" s="28"/>
      <c r="Y746" s="29"/>
      <c r="AA746" s="66"/>
      <c r="AB746" s="11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28"/>
      <c r="AD746" s="129"/>
      <c r="AE746" s="129"/>
      <c r="AF746" s="129"/>
      <c r="AG746" s="129"/>
      <c r="AH746" s="129"/>
      <c r="AI746" s="129"/>
      <c r="AJ746" s="130"/>
    </row>
    <row r="747" spans="11:36">
      <c r="K747" s="76"/>
      <c r="L747" s="48" t="e">
        <f t="shared" si="67"/>
        <v>#VALUE!</v>
      </c>
      <c r="M747" s="32" t="str">
        <f t="shared" si="70"/>
        <v/>
      </c>
      <c r="N747" s="63" t="e">
        <f t="shared" si="69"/>
        <v>#VALUE!</v>
      </c>
      <c r="O747" s="86"/>
      <c r="P747" s="223"/>
      <c r="Q747" s="224"/>
      <c r="R747" s="135"/>
      <c r="S747" s="139" cm="1">
        <f t="array" ref="S747">IF(P747="",0,IF(OR(O747=";",P747="EQU",P747="ORG"),0,HlpGetInstructionSize(P747,Q747,R747,$AC$12)))</f>
        <v>0</v>
      </c>
      <c r="V747" s="42" t="str">
        <f t="shared" si="68"/>
        <v/>
      </c>
      <c r="W747" s="16"/>
      <c r="X747" s="28"/>
      <c r="Y747" s="29"/>
      <c r="AA747" s="66"/>
      <c r="AB747" s="11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28"/>
      <c r="AD747" s="129"/>
      <c r="AE747" s="129"/>
      <c r="AF747" s="129"/>
      <c r="AG747" s="129"/>
      <c r="AH747" s="129"/>
      <c r="AI747" s="129"/>
      <c r="AJ747" s="130"/>
    </row>
    <row r="748" spans="11:36">
      <c r="K748" s="76"/>
      <c r="L748" s="48" t="e">
        <f t="shared" si="67"/>
        <v>#VALUE!</v>
      </c>
      <c r="M748" s="32" t="str">
        <f t="shared" si="70"/>
        <v/>
      </c>
      <c r="N748" s="63" t="e">
        <f t="shared" si="69"/>
        <v>#VALUE!</v>
      </c>
      <c r="O748" s="86"/>
      <c r="P748" s="223"/>
      <c r="Q748" s="224"/>
      <c r="R748" s="135"/>
      <c r="S748" s="139" cm="1">
        <f t="array" ref="S748">IF(P748="",0,IF(OR(O748=";",P748="EQU",P748="ORG"),0,HlpGetInstructionSize(P748,Q748,R748,$AC$12)))</f>
        <v>0</v>
      </c>
      <c r="V748" s="42" t="str">
        <f t="shared" si="68"/>
        <v/>
      </c>
      <c r="W748" s="16"/>
      <c r="X748" s="28"/>
      <c r="Y748" s="29"/>
      <c r="AA748" s="66"/>
      <c r="AB748" s="11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28"/>
      <c r="AD748" s="129"/>
      <c r="AE748" s="129"/>
      <c r="AF748" s="129"/>
      <c r="AG748" s="129"/>
      <c r="AH748" s="129"/>
      <c r="AI748" s="129"/>
      <c r="AJ748" s="130"/>
    </row>
    <row r="749" spans="11:36">
      <c r="K749" s="76"/>
      <c r="L749" s="48" t="e">
        <f t="shared" si="67"/>
        <v>#VALUE!</v>
      </c>
      <c r="M749" s="32" t="str">
        <f t="shared" si="70"/>
        <v/>
      </c>
      <c r="N749" s="63" t="e">
        <f t="shared" si="69"/>
        <v>#VALUE!</v>
      </c>
      <c r="O749" s="86"/>
      <c r="P749" s="223"/>
      <c r="Q749" s="224"/>
      <c r="R749" s="135"/>
      <c r="S749" s="139" cm="1">
        <f t="array" ref="S749">IF(P749="",0,IF(OR(O749=";",P749="EQU",P749="ORG"),0,HlpGetInstructionSize(P749,Q749,R749,$AC$12)))</f>
        <v>0</v>
      </c>
      <c r="V749" s="42" t="str">
        <f t="shared" si="68"/>
        <v/>
      </c>
      <c r="W749" s="16"/>
      <c r="X749" s="28"/>
      <c r="Y749" s="29"/>
      <c r="AA749" s="66"/>
      <c r="AB749" s="11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28"/>
      <c r="AD749" s="129"/>
      <c r="AE749" s="129"/>
      <c r="AF749" s="129"/>
      <c r="AG749" s="129"/>
      <c r="AH749" s="129"/>
      <c r="AI749" s="129"/>
      <c r="AJ749" s="130"/>
    </row>
    <row r="750" spans="11:36">
      <c r="K750" s="76"/>
      <c r="L750" s="48" t="e">
        <f t="shared" si="67"/>
        <v>#VALUE!</v>
      </c>
      <c r="M750" s="32" t="str">
        <f t="shared" si="70"/>
        <v/>
      </c>
      <c r="N750" s="63" t="e">
        <f t="shared" si="69"/>
        <v>#VALUE!</v>
      </c>
      <c r="O750" s="86"/>
      <c r="P750" s="223"/>
      <c r="Q750" s="224"/>
      <c r="R750" s="135"/>
      <c r="S750" s="139" cm="1">
        <f t="array" ref="S750">IF(P750="",0,IF(OR(O750=";",P750="EQU",P750="ORG"),0,HlpGetInstructionSize(P750,Q750,R750,$AC$12)))</f>
        <v>0</v>
      </c>
      <c r="V750" s="42" t="str">
        <f t="shared" si="68"/>
        <v/>
      </c>
      <c r="W750" s="16"/>
      <c r="X750" s="28"/>
      <c r="Y750" s="29"/>
      <c r="AA750" s="66"/>
      <c r="AB750" s="11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28"/>
      <c r="AD750" s="129"/>
      <c r="AE750" s="129"/>
      <c r="AF750" s="129"/>
      <c r="AG750" s="129"/>
      <c r="AH750" s="129"/>
      <c r="AI750" s="129"/>
      <c r="AJ750" s="130"/>
    </row>
    <row r="751" spans="11:36">
      <c r="K751" s="76"/>
      <c r="L751" s="48" t="e">
        <f t="shared" si="67"/>
        <v>#VALUE!</v>
      </c>
      <c r="M751" s="32" t="str">
        <f t="shared" si="70"/>
        <v/>
      </c>
      <c r="N751" s="63" t="e">
        <f t="shared" si="69"/>
        <v>#VALUE!</v>
      </c>
      <c r="O751" s="86"/>
      <c r="P751" s="223"/>
      <c r="Q751" s="224"/>
      <c r="R751" s="135"/>
      <c r="S751" s="139" cm="1">
        <f t="array" ref="S751">IF(P751="",0,IF(OR(O751=";",P751="EQU",P751="ORG"),0,HlpGetInstructionSize(P751,Q751,R751,$AC$12)))</f>
        <v>0</v>
      </c>
      <c r="V751" s="42" t="str">
        <f t="shared" si="68"/>
        <v/>
      </c>
      <c r="W751" s="16"/>
      <c r="X751" s="28"/>
      <c r="Y751" s="29"/>
      <c r="AA751" s="66"/>
      <c r="AB751" s="11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28"/>
      <c r="AD751" s="129"/>
      <c r="AE751" s="129"/>
      <c r="AF751" s="129"/>
      <c r="AG751" s="129"/>
      <c r="AH751" s="129"/>
      <c r="AI751" s="129"/>
      <c r="AJ751" s="130"/>
    </row>
    <row r="752" spans="11:36">
      <c r="K752" s="76"/>
      <c r="L752" s="48" t="e">
        <f t="shared" si="67"/>
        <v>#VALUE!</v>
      </c>
      <c r="M752" s="32" t="str">
        <f t="shared" si="70"/>
        <v/>
      </c>
      <c r="N752" s="63" t="e">
        <f t="shared" si="69"/>
        <v>#VALUE!</v>
      </c>
      <c r="O752" s="86"/>
      <c r="P752" s="223"/>
      <c r="Q752" s="224"/>
      <c r="R752" s="135"/>
      <c r="S752" s="139" cm="1">
        <f t="array" ref="S752">IF(P752="",0,IF(OR(O752=";",P752="EQU",P752="ORG"),0,HlpGetInstructionSize(P752,Q752,R752,$AC$12)))</f>
        <v>0</v>
      </c>
      <c r="V752" s="42" t="str">
        <f t="shared" si="68"/>
        <v/>
      </c>
      <c r="W752" s="16"/>
      <c r="X752" s="28"/>
      <c r="Y752" s="29"/>
      <c r="AA752" s="66"/>
      <c r="AB752" s="11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28"/>
      <c r="AD752" s="129"/>
      <c r="AE752" s="129"/>
      <c r="AF752" s="129"/>
      <c r="AG752" s="129"/>
      <c r="AH752" s="129"/>
      <c r="AI752" s="129"/>
      <c r="AJ752" s="130"/>
    </row>
    <row r="753" spans="11:36">
      <c r="K753" s="76"/>
      <c r="L753" s="48" t="e">
        <f t="shared" si="67"/>
        <v>#VALUE!</v>
      </c>
      <c r="M753" s="32" t="str">
        <f t="shared" si="70"/>
        <v/>
      </c>
      <c r="N753" s="63" t="e">
        <f t="shared" si="69"/>
        <v>#VALUE!</v>
      </c>
      <c r="O753" s="86"/>
      <c r="P753" s="223"/>
      <c r="Q753" s="224"/>
      <c r="R753" s="135"/>
      <c r="S753" s="139" cm="1">
        <f t="array" ref="S753">IF(P753="",0,IF(OR(O753=";",P753="EQU",P753="ORG"),0,HlpGetInstructionSize(P753,Q753,R753,$AC$12)))</f>
        <v>0</v>
      </c>
      <c r="V753" s="42" t="str">
        <f t="shared" si="68"/>
        <v/>
      </c>
      <c r="W753" s="16"/>
      <c r="X753" s="28"/>
      <c r="Y753" s="29"/>
      <c r="AA753" s="66"/>
      <c r="AB753" s="11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28"/>
      <c r="AD753" s="129"/>
      <c r="AE753" s="129"/>
      <c r="AF753" s="129"/>
      <c r="AG753" s="129"/>
      <c r="AH753" s="129"/>
      <c r="AI753" s="129"/>
      <c r="AJ753" s="130"/>
    </row>
    <row r="754" spans="11:36">
      <c r="K754" s="76"/>
      <c r="L754" s="48" t="e">
        <f t="shared" si="67"/>
        <v>#VALUE!</v>
      </c>
      <c r="M754" s="32" t="str">
        <f t="shared" si="70"/>
        <v/>
      </c>
      <c r="N754" s="63" t="e">
        <f t="shared" si="69"/>
        <v>#VALUE!</v>
      </c>
      <c r="O754" s="86"/>
      <c r="P754" s="223"/>
      <c r="Q754" s="224"/>
      <c r="R754" s="135"/>
      <c r="S754" s="139" cm="1">
        <f t="array" ref="S754">IF(P754="",0,IF(OR(O754=";",P754="EQU",P754="ORG"),0,HlpGetInstructionSize(P754,Q754,R754,$AC$12)))</f>
        <v>0</v>
      </c>
      <c r="V754" s="42" t="str">
        <f t="shared" si="68"/>
        <v/>
      </c>
      <c r="W754" s="16"/>
      <c r="X754" s="28"/>
      <c r="Y754" s="29"/>
      <c r="AA754" s="66"/>
      <c r="AB754" s="11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28"/>
      <c r="AD754" s="129"/>
      <c r="AE754" s="129"/>
      <c r="AF754" s="129"/>
      <c r="AG754" s="129"/>
      <c r="AH754" s="129"/>
      <c r="AI754" s="129"/>
      <c r="AJ754" s="130"/>
    </row>
    <row r="755" spans="11:36">
      <c r="K755" s="76"/>
      <c r="L755" s="48" t="e">
        <f t="shared" si="67"/>
        <v>#VALUE!</v>
      </c>
      <c r="M755" s="32" t="str">
        <f t="shared" si="70"/>
        <v/>
      </c>
      <c r="N755" s="63" t="e">
        <f t="shared" si="69"/>
        <v>#VALUE!</v>
      </c>
      <c r="O755" s="86"/>
      <c r="P755" s="223"/>
      <c r="Q755" s="224"/>
      <c r="R755" s="135"/>
      <c r="S755" s="139" cm="1">
        <f t="array" ref="S755">IF(P755="",0,IF(OR(O755=";",P755="EQU",P755="ORG"),0,HlpGetInstructionSize(P755,Q755,R755,$AC$12)))</f>
        <v>0</v>
      </c>
      <c r="V755" s="42" t="str">
        <f t="shared" si="68"/>
        <v/>
      </c>
      <c r="W755" s="16"/>
      <c r="X755" s="28"/>
      <c r="Y755" s="29"/>
      <c r="AA755" s="66"/>
      <c r="AB755" s="11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28"/>
      <c r="AD755" s="129"/>
      <c r="AE755" s="129"/>
      <c r="AF755" s="129"/>
      <c r="AG755" s="129"/>
      <c r="AH755" s="129"/>
      <c r="AI755" s="129"/>
      <c r="AJ755" s="130"/>
    </row>
    <row r="756" spans="11:36">
      <c r="K756" s="76"/>
      <c r="L756" s="48" t="e">
        <f t="shared" si="67"/>
        <v>#VALUE!</v>
      </c>
      <c r="M756" s="32" t="str">
        <f t="shared" si="70"/>
        <v/>
      </c>
      <c r="N756" s="63" t="e">
        <f t="shared" si="69"/>
        <v>#VALUE!</v>
      </c>
      <c r="O756" s="86"/>
      <c r="P756" s="223"/>
      <c r="Q756" s="224"/>
      <c r="R756" s="135"/>
      <c r="S756" s="139" cm="1">
        <f t="array" ref="S756">IF(P756="",0,IF(OR(O756=";",P756="EQU",P756="ORG"),0,HlpGetInstructionSize(P756,Q756,R756,$AC$12)))</f>
        <v>0</v>
      </c>
      <c r="V756" s="42" t="str">
        <f t="shared" si="68"/>
        <v/>
      </c>
      <c r="W756" s="16"/>
      <c r="X756" s="28"/>
      <c r="Y756" s="29"/>
      <c r="AA756" s="66"/>
      <c r="AB756" s="11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28"/>
      <c r="AD756" s="129"/>
      <c r="AE756" s="129"/>
      <c r="AF756" s="129"/>
      <c r="AG756" s="129"/>
      <c r="AH756" s="129"/>
      <c r="AI756" s="129"/>
      <c r="AJ756" s="130"/>
    </row>
    <row r="757" spans="11:36">
      <c r="K757" s="76"/>
      <c r="L757" s="48" t="e">
        <f t="shared" si="67"/>
        <v>#VALUE!</v>
      </c>
      <c r="M757" s="32" t="str">
        <f t="shared" si="70"/>
        <v/>
      </c>
      <c r="N757" s="63" t="e">
        <f t="shared" si="69"/>
        <v>#VALUE!</v>
      </c>
      <c r="O757" s="86"/>
      <c r="P757" s="223"/>
      <c r="Q757" s="224"/>
      <c r="R757" s="135"/>
      <c r="S757" s="139" cm="1">
        <f t="array" ref="S757">IF(P757="",0,IF(OR(O757=";",P757="EQU",P757="ORG"),0,HlpGetInstructionSize(P757,Q757,R757,$AC$12)))</f>
        <v>0</v>
      </c>
      <c r="V757" s="42" t="str">
        <f t="shared" si="68"/>
        <v/>
      </c>
      <c r="W757" s="16"/>
      <c r="X757" s="28"/>
      <c r="Y757" s="29"/>
      <c r="AA757" s="66"/>
      <c r="AB757" s="11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28"/>
      <c r="AD757" s="129"/>
      <c r="AE757" s="129"/>
      <c r="AF757" s="129"/>
      <c r="AG757" s="129"/>
      <c r="AH757" s="129"/>
      <c r="AI757" s="129"/>
      <c r="AJ757" s="130"/>
    </row>
    <row r="758" spans="11:36">
      <c r="K758" s="76"/>
      <c r="L758" s="48" t="e">
        <f t="shared" si="67"/>
        <v>#VALUE!</v>
      </c>
      <c r="M758" s="32" t="str">
        <f t="shared" si="70"/>
        <v/>
      </c>
      <c r="N758" s="63" t="e">
        <f t="shared" si="69"/>
        <v>#VALUE!</v>
      </c>
      <c r="O758" s="86"/>
      <c r="P758" s="223"/>
      <c r="Q758" s="224"/>
      <c r="R758" s="135"/>
      <c r="S758" s="139" cm="1">
        <f t="array" ref="S758">IF(P758="",0,IF(OR(O758=";",P758="EQU",P758="ORG"),0,HlpGetInstructionSize(P758,Q758,R758,$AC$12)))</f>
        <v>0</v>
      </c>
      <c r="V758" s="42" t="str">
        <f t="shared" si="68"/>
        <v/>
      </c>
      <c r="W758" s="16"/>
      <c r="X758" s="28"/>
      <c r="Y758" s="29"/>
      <c r="AA758" s="66"/>
      <c r="AB758" s="11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28"/>
      <c r="AD758" s="129"/>
      <c r="AE758" s="129"/>
      <c r="AF758" s="129"/>
      <c r="AG758" s="129"/>
      <c r="AH758" s="129"/>
      <c r="AI758" s="129"/>
      <c r="AJ758" s="130"/>
    </row>
    <row r="759" spans="11:36">
      <c r="K759" s="76"/>
      <c r="L759" s="48" t="e">
        <f t="shared" si="67"/>
        <v>#VALUE!</v>
      </c>
      <c r="M759" s="32" t="str">
        <f t="shared" si="70"/>
        <v/>
      </c>
      <c r="N759" s="63" t="e">
        <f t="shared" si="69"/>
        <v>#VALUE!</v>
      </c>
      <c r="O759" s="86"/>
      <c r="P759" s="223"/>
      <c r="Q759" s="224"/>
      <c r="R759" s="135"/>
      <c r="S759" s="139" cm="1">
        <f t="array" ref="S759">IF(P759="",0,IF(OR(O759=";",P759="EQU",P759="ORG"),0,HlpGetInstructionSize(P759,Q759,R759,$AC$12)))</f>
        <v>0</v>
      </c>
      <c r="V759" s="42" t="str">
        <f t="shared" si="68"/>
        <v/>
      </c>
      <c r="W759" s="16"/>
      <c r="X759" s="28"/>
      <c r="Y759" s="29"/>
      <c r="AA759" s="66"/>
      <c r="AB759" s="11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28"/>
      <c r="AD759" s="129"/>
      <c r="AE759" s="129"/>
      <c r="AF759" s="129"/>
      <c r="AG759" s="129"/>
      <c r="AH759" s="129"/>
      <c r="AI759" s="129"/>
      <c r="AJ759" s="130"/>
    </row>
    <row r="760" spans="11:36">
      <c r="K760" s="76"/>
      <c r="L760" s="48" t="e">
        <f t="shared" si="67"/>
        <v>#VALUE!</v>
      </c>
      <c r="M760" s="32" t="str">
        <f t="shared" si="70"/>
        <v/>
      </c>
      <c r="N760" s="63" t="e">
        <f t="shared" si="69"/>
        <v>#VALUE!</v>
      </c>
      <c r="O760" s="86"/>
      <c r="P760" s="223"/>
      <c r="Q760" s="224"/>
      <c r="R760" s="135"/>
      <c r="S760" s="139" cm="1">
        <f t="array" ref="S760">IF(P760="",0,IF(OR(O760=";",P760="EQU",P760="ORG"),0,HlpGetInstructionSize(P760,Q760,R760,$AC$12)))</f>
        <v>0</v>
      </c>
      <c r="V760" s="42" t="str">
        <f t="shared" si="68"/>
        <v/>
      </c>
      <c r="W760" s="16"/>
      <c r="X760" s="28"/>
      <c r="Y760" s="29"/>
      <c r="AA760" s="66"/>
      <c r="AB760" s="11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28"/>
      <c r="AD760" s="129"/>
      <c r="AE760" s="129"/>
      <c r="AF760" s="129"/>
      <c r="AG760" s="129"/>
      <c r="AH760" s="129"/>
      <c r="AI760" s="129"/>
      <c r="AJ760" s="130"/>
    </row>
    <row r="761" spans="11:36">
      <c r="K761" s="76"/>
      <c r="L761" s="48" t="e">
        <f t="shared" si="67"/>
        <v>#VALUE!</v>
      </c>
      <c r="M761" s="32" t="str">
        <f t="shared" si="70"/>
        <v/>
      </c>
      <c r="N761" s="63" t="e">
        <f t="shared" si="69"/>
        <v>#VALUE!</v>
      </c>
      <c r="O761" s="86"/>
      <c r="P761" s="223"/>
      <c r="Q761" s="224"/>
      <c r="R761" s="135"/>
      <c r="S761" s="139" cm="1">
        <f t="array" ref="S761">IF(P761="",0,IF(OR(O761=";",P761="EQU",P761="ORG"),0,HlpGetInstructionSize(P761,Q761,R761,$AC$12)))</f>
        <v>0</v>
      </c>
      <c r="V761" s="42" t="str">
        <f t="shared" si="68"/>
        <v/>
      </c>
      <c r="W761" s="16"/>
      <c r="X761" s="28"/>
      <c r="Y761" s="29"/>
      <c r="AA761" s="66"/>
      <c r="AB761" s="11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28"/>
      <c r="AD761" s="129"/>
      <c r="AE761" s="129"/>
      <c r="AF761" s="129"/>
      <c r="AG761" s="129"/>
      <c r="AH761" s="129"/>
      <c r="AI761" s="129"/>
      <c r="AJ761" s="130"/>
    </row>
    <row r="762" spans="11:36">
      <c r="K762" s="76"/>
      <c r="L762" s="48" t="e">
        <f t="shared" si="67"/>
        <v>#VALUE!</v>
      </c>
      <c r="M762" s="32" t="str">
        <f t="shared" si="70"/>
        <v/>
      </c>
      <c r="N762" s="63" t="e">
        <f t="shared" si="69"/>
        <v>#VALUE!</v>
      </c>
      <c r="O762" s="86"/>
      <c r="P762" s="223"/>
      <c r="Q762" s="224"/>
      <c r="R762" s="135"/>
      <c r="S762" s="139" cm="1">
        <f t="array" ref="S762">IF(P762="",0,IF(OR(O762=";",P762="EQU",P762="ORG"),0,HlpGetInstructionSize(P762,Q762,R762,$AC$12)))</f>
        <v>0</v>
      </c>
      <c r="V762" s="42" t="str">
        <f t="shared" si="68"/>
        <v/>
      </c>
      <c r="W762" s="16"/>
      <c r="X762" s="28"/>
      <c r="Y762" s="29"/>
      <c r="AA762" s="66"/>
      <c r="AB762" s="11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28"/>
      <c r="AD762" s="129"/>
      <c r="AE762" s="129"/>
      <c r="AF762" s="129"/>
      <c r="AG762" s="129"/>
      <c r="AH762" s="129"/>
      <c r="AI762" s="129"/>
      <c r="AJ762" s="130"/>
    </row>
    <row r="763" spans="11:36">
      <c r="K763" s="76"/>
      <c r="L763" s="48" t="e">
        <f t="shared" si="67"/>
        <v>#VALUE!</v>
      </c>
      <c r="M763" s="32" t="str">
        <f t="shared" si="70"/>
        <v/>
      </c>
      <c r="N763" s="63" t="e">
        <f t="shared" si="69"/>
        <v>#VALUE!</v>
      </c>
      <c r="O763" s="86"/>
      <c r="P763" s="223"/>
      <c r="Q763" s="224"/>
      <c r="R763" s="135"/>
      <c r="S763" s="139" cm="1">
        <f t="array" ref="S763">IF(P763="",0,IF(OR(O763=";",P763="EQU",P763="ORG"),0,HlpGetInstructionSize(P763,Q763,R763,$AC$12)))</f>
        <v>0</v>
      </c>
      <c r="V763" s="42" t="str">
        <f t="shared" si="68"/>
        <v/>
      </c>
      <c r="W763" s="16"/>
      <c r="X763" s="28"/>
      <c r="Y763" s="29"/>
      <c r="AA763" s="66"/>
      <c r="AB763" s="11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28"/>
      <c r="AD763" s="129"/>
      <c r="AE763" s="129"/>
      <c r="AF763" s="129"/>
      <c r="AG763" s="129"/>
      <c r="AH763" s="129"/>
      <c r="AI763" s="129"/>
      <c r="AJ763" s="130"/>
    </row>
    <row r="764" spans="11:36">
      <c r="K764" s="76"/>
      <c r="L764" s="48" t="e">
        <f t="shared" si="67"/>
        <v>#VALUE!</v>
      </c>
      <c r="M764" s="32" t="str">
        <f t="shared" si="70"/>
        <v/>
      </c>
      <c r="N764" s="63" t="e">
        <f t="shared" si="69"/>
        <v>#VALUE!</v>
      </c>
      <c r="O764" s="86"/>
      <c r="P764" s="223"/>
      <c r="Q764" s="224"/>
      <c r="R764" s="135"/>
      <c r="S764" s="139" cm="1">
        <f t="array" ref="S764">IF(P764="",0,IF(OR(O764=";",P764="EQU",P764="ORG"),0,HlpGetInstructionSize(P764,Q764,R764,$AC$12)))</f>
        <v>0</v>
      </c>
      <c r="V764" s="42" t="str">
        <f t="shared" si="68"/>
        <v/>
      </c>
      <c r="W764" s="16"/>
      <c r="X764" s="28"/>
      <c r="Y764" s="29"/>
      <c r="AA764" s="66"/>
      <c r="AB764" s="11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28"/>
      <c r="AD764" s="129"/>
      <c r="AE764" s="129"/>
      <c r="AF764" s="129"/>
      <c r="AG764" s="129"/>
      <c r="AH764" s="129"/>
      <c r="AI764" s="129"/>
      <c r="AJ764" s="130"/>
    </row>
    <row r="765" spans="11:36">
      <c r="K765" s="76"/>
      <c r="L765" s="48" t="e">
        <f t="shared" si="67"/>
        <v>#VALUE!</v>
      </c>
      <c r="M765" s="32" t="str">
        <f t="shared" si="70"/>
        <v/>
      </c>
      <c r="N765" s="63" t="e">
        <f t="shared" si="69"/>
        <v>#VALUE!</v>
      </c>
      <c r="O765" s="86"/>
      <c r="P765" s="223"/>
      <c r="Q765" s="224"/>
      <c r="R765" s="135"/>
      <c r="S765" s="139" cm="1">
        <f t="array" ref="S765">IF(P765="",0,IF(OR(O765=";",P765="EQU",P765="ORG"),0,HlpGetInstructionSize(P765,Q765,R765,$AC$12)))</f>
        <v>0</v>
      </c>
      <c r="V765" s="42" t="str">
        <f t="shared" si="68"/>
        <v/>
      </c>
      <c r="W765" s="16"/>
      <c r="X765" s="28"/>
      <c r="Y765" s="29"/>
      <c r="AA765" s="66"/>
      <c r="AB765" s="11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28"/>
      <c r="AD765" s="129"/>
      <c r="AE765" s="129"/>
      <c r="AF765" s="129"/>
      <c r="AG765" s="129"/>
      <c r="AH765" s="129"/>
      <c r="AI765" s="129"/>
      <c r="AJ765" s="130"/>
    </row>
    <row r="766" spans="11:36">
      <c r="K766" s="76"/>
      <c r="L766" s="48" t="e">
        <f t="shared" si="67"/>
        <v>#VALUE!</v>
      </c>
      <c r="M766" s="32" t="str">
        <f t="shared" si="70"/>
        <v/>
      </c>
      <c r="N766" s="63" t="e">
        <f t="shared" si="69"/>
        <v>#VALUE!</v>
      </c>
      <c r="O766" s="86"/>
      <c r="P766" s="223"/>
      <c r="Q766" s="224"/>
      <c r="R766" s="135"/>
      <c r="S766" s="139" cm="1">
        <f t="array" ref="S766">IF(P766="",0,IF(OR(O766=";",P766="EQU",P766="ORG"),0,HlpGetInstructionSize(P766,Q766,R766,$AC$12)))</f>
        <v>0</v>
      </c>
      <c r="V766" s="42" t="str">
        <f t="shared" si="68"/>
        <v/>
      </c>
      <c r="W766" s="16"/>
      <c r="X766" s="28"/>
      <c r="Y766" s="29"/>
      <c r="AA766" s="66"/>
      <c r="AB766" s="11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28"/>
      <c r="AD766" s="129"/>
      <c r="AE766" s="129"/>
      <c r="AF766" s="129"/>
      <c r="AG766" s="129"/>
      <c r="AH766" s="129"/>
      <c r="AI766" s="129"/>
      <c r="AJ766" s="130"/>
    </row>
    <row r="767" spans="11:36">
      <c r="K767" s="76"/>
      <c r="L767" s="48" t="e">
        <f t="shared" si="67"/>
        <v>#VALUE!</v>
      </c>
      <c r="M767" s="32" t="str">
        <f t="shared" si="70"/>
        <v/>
      </c>
      <c r="N767" s="63" t="e">
        <f t="shared" si="69"/>
        <v>#VALUE!</v>
      </c>
      <c r="O767" s="86"/>
      <c r="P767" s="223"/>
      <c r="Q767" s="224"/>
      <c r="R767" s="135"/>
      <c r="S767" s="139" cm="1">
        <f t="array" ref="S767">IF(P767="",0,IF(OR(O767=";",P767="EQU",P767="ORG"),0,HlpGetInstructionSize(P767,Q767,R767,$AC$12)))</f>
        <v>0</v>
      </c>
      <c r="V767" s="42" t="str">
        <f t="shared" si="68"/>
        <v/>
      </c>
      <c r="W767" s="16"/>
      <c r="X767" s="28"/>
      <c r="Y767" s="29"/>
      <c r="AA767" s="66"/>
      <c r="AB767" s="11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28"/>
      <c r="AD767" s="129"/>
      <c r="AE767" s="129"/>
      <c r="AF767" s="129"/>
      <c r="AG767" s="129"/>
      <c r="AH767" s="129"/>
      <c r="AI767" s="129"/>
      <c r="AJ767" s="130"/>
    </row>
    <row r="768" spans="11:36">
      <c r="K768" s="76"/>
      <c r="L768" s="48" t="e">
        <f t="shared" si="67"/>
        <v>#VALUE!</v>
      </c>
      <c r="M768" s="32" t="str">
        <f t="shared" si="70"/>
        <v/>
      </c>
      <c r="N768" s="63" t="e">
        <f t="shared" si="69"/>
        <v>#VALUE!</v>
      </c>
      <c r="O768" s="86"/>
      <c r="P768" s="223"/>
      <c r="Q768" s="224"/>
      <c r="R768" s="135"/>
      <c r="S768" s="139" cm="1">
        <f t="array" ref="S768">IF(P768="",0,IF(OR(O768=";",P768="EQU",P768="ORG"),0,HlpGetInstructionSize(P768,Q768,R768,$AC$12)))</f>
        <v>0</v>
      </c>
      <c r="V768" s="42" t="str">
        <f t="shared" si="68"/>
        <v/>
      </c>
      <c r="W768" s="16"/>
      <c r="X768" s="28"/>
      <c r="Y768" s="29"/>
      <c r="AA768" s="66"/>
      <c r="AB768" s="11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28"/>
      <c r="AD768" s="129"/>
      <c r="AE768" s="129"/>
      <c r="AF768" s="129"/>
      <c r="AG768" s="129"/>
      <c r="AH768" s="129"/>
      <c r="AI768" s="129"/>
      <c r="AJ768" s="130"/>
    </row>
    <row r="769" spans="11:36">
      <c r="K769" s="76"/>
      <c r="L769" s="48" t="e">
        <f t="shared" si="67"/>
        <v>#VALUE!</v>
      </c>
      <c r="M769" s="32" t="str">
        <f t="shared" si="70"/>
        <v/>
      </c>
      <c r="N769" s="63" t="e">
        <f t="shared" si="69"/>
        <v>#VALUE!</v>
      </c>
      <c r="O769" s="86"/>
      <c r="P769" s="223"/>
      <c r="Q769" s="224"/>
      <c r="R769" s="135"/>
      <c r="S769" s="139" cm="1">
        <f t="array" ref="S769">IF(P769="",0,IF(OR(O769=";",P769="EQU",P769="ORG"),0,HlpGetInstructionSize(P769,Q769,R769,$AC$12)))</f>
        <v>0</v>
      </c>
      <c r="V769" s="42" t="str">
        <f t="shared" si="68"/>
        <v/>
      </c>
      <c r="W769" s="16"/>
      <c r="X769" s="28"/>
      <c r="Y769" s="29"/>
      <c r="AA769" s="66"/>
      <c r="AB769" s="11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28"/>
      <c r="AD769" s="129"/>
      <c r="AE769" s="129"/>
      <c r="AF769" s="129"/>
      <c r="AG769" s="129"/>
      <c r="AH769" s="129"/>
      <c r="AI769" s="129"/>
      <c r="AJ769" s="130"/>
    </row>
    <row r="770" spans="11:36">
      <c r="K770" s="76"/>
      <c r="L770" s="48" t="e">
        <f t="shared" si="67"/>
        <v>#VALUE!</v>
      </c>
      <c r="M770" s="32" t="str">
        <f t="shared" si="70"/>
        <v/>
      </c>
      <c r="N770" s="63" t="e">
        <f t="shared" si="69"/>
        <v>#VALUE!</v>
      </c>
      <c r="O770" s="86"/>
      <c r="P770" s="223"/>
      <c r="Q770" s="224"/>
      <c r="R770" s="135"/>
      <c r="S770" s="139" cm="1">
        <f t="array" ref="S770">IF(P770="",0,IF(OR(O770=";",P770="EQU",P770="ORG"),0,HlpGetInstructionSize(P770,Q770,R770,$AC$12)))</f>
        <v>0</v>
      </c>
      <c r="V770" s="42" t="str">
        <f t="shared" si="68"/>
        <v/>
      </c>
      <c r="W770" s="16"/>
      <c r="X770" s="28"/>
      <c r="Y770" s="29"/>
      <c r="AA770" s="66"/>
      <c r="AB770" s="11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28"/>
      <c r="AD770" s="129"/>
      <c r="AE770" s="129"/>
      <c r="AF770" s="129"/>
      <c r="AG770" s="129"/>
      <c r="AH770" s="129"/>
      <c r="AI770" s="129"/>
      <c r="AJ770" s="130"/>
    </row>
    <row r="771" spans="11:36">
      <c r="K771" s="76"/>
      <c r="L771" s="48" t="e">
        <f t="shared" si="67"/>
        <v>#VALUE!</v>
      </c>
      <c r="M771" s="32" t="str">
        <f t="shared" si="70"/>
        <v/>
      </c>
      <c r="N771" s="63" t="e">
        <f t="shared" si="69"/>
        <v>#VALUE!</v>
      </c>
      <c r="O771" s="86"/>
      <c r="P771" s="223"/>
      <c r="Q771" s="224"/>
      <c r="R771" s="135"/>
      <c r="S771" s="139" cm="1">
        <f t="array" ref="S771">IF(P771="",0,IF(OR(O771=";",P771="EQU",P771="ORG"),0,HlpGetInstructionSize(P771,Q771,R771,$AC$12)))</f>
        <v>0</v>
      </c>
      <c r="V771" s="42" t="str">
        <f t="shared" si="68"/>
        <v/>
      </c>
      <c r="W771" s="16"/>
      <c r="X771" s="28"/>
      <c r="Y771" s="29"/>
      <c r="AA771" s="66"/>
      <c r="AB771" s="11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28"/>
      <c r="AD771" s="129"/>
      <c r="AE771" s="129"/>
      <c r="AF771" s="129"/>
      <c r="AG771" s="129"/>
      <c r="AH771" s="129"/>
      <c r="AI771" s="129"/>
      <c r="AJ771" s="130"/>
    </row>
    <row r="772" spans="11:36">
      <c r="K772" s="76"/>
      <c r="L772" s="48" t="e">
        <f t="shared" si="67"/>
        <v>#VALUE!</v>
      </c>
      <c r="M772" s="32" t="str">
        <f t="shared" si="70"/>
        <v/>
      </c>
      <c r="N772" s="63" t="e">
        <f t="shared" si="69"/>
        <v>#VALUE!</v>
      </c>
      <c r="O772" s="86"/>
      <c r="P772" s="223"/>
      <c r="Q772" s="224"/>
      <c r="R772" s="135"/>
      <c r="S772" s="139" cm="1">
        <f t="array" ref="S772">IF(P772="",0,IF(OR(O772=";",P772="EQU",P772="ORG"),0,HlpGetInstructionSize(P772,Q772,R772,$AC$12)))</f>
        <v>0</v>
      </c>
      <c r="V772" s="42" t="str">
        <f t="shared" si="68"/>
        <v/>
      </c>
      <c r="W772" s="16"/>
      <c r="X772" s="28"/>
      <c r="Y772" s="29"/>
      <c r="AA772" s="66"/>
      <c r="AB772" s="11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28"/>
      <c r="AD772" s="129"/>
      <c r="AE772" s="129"/>
      <c r="AF772" s="129"/>
      <c r="AG772" s="129"/>
      <c r="AH772" s="129"/>
      <c r="AI772" s="129"/>
      <c r="AJ772" s="130"/>
    </row>
    <row r="773" spans="11:36">
      <c r="K773" s="76"/>
      <c r="L773" s="48" t="e">
        <f t="shared" si="67"/>
        <v>#VALUE!</v>
      </c>
      <c r="M773" s="32" t="str">
        <f t="shared" si="70"/>
        <v/>
      </c>
      <c r="N773" s="63" t="e">
        <f t="shared" si="69"/>
        <v>#VALUE!</v>
      </c>
      <c r="O773" s="86"/>
      <c r="P773" s="223"/>
      <c r="Q773" s="224"/>
      <c r="R773" s="135"/>
      <c r="S773" s="139" cm="1">
        <f t="array" ref="S773">IF(P773="",0,IF(OR(O773=";",P773="EQU",P773="ORG"),0,HlpGetInstructionSize(P773,Q773,R773,$AC$12)))</f>
        <v>0</v>
      </c>
      <c r="V773" s="42" t="str">
        <f t="shared" si="68"/>
        <v/>
      </c>
      <c r="W773" s="16"/>
      <c r="X773" s="28"/>
      <c r="Y773" s="29"/>
      <c r="AA773" s="66"/>
      <c r="AB773" s="11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28"/>
      <c r="AD773" s="129"/>
      <c r="AE773" s="129"/>
      <c r="AF773" s="129"/>
      <c r="AG773" s="129"/>
      <c r="AH773" s="129"/>
      <c r="AI773" s="129"/>
      <c r="AJ773" s="130"/>
    </row>
    <row r="774" spans="11:36">
      <c r="K774" s="76"/>
      <c r="L774" s="48" t="e">
        <f t="shared" si="67"/>
        <v>#VALUE!</v>
      </c>
      <c r="M774" s="32" t="str">
        <f t="shared" si="70"/>
        <v/>
      </c>
      <c r="N774" s="63" t="e">
        <f t="shared" si="69"/>
        <v>#VALUE!</v>
      </c>
      <c r="O774" s="86"/>
      <c r="P774" s="223"/>
      <c r="Q774" s="224"/>
      <c r="R774" s="135"/>
      <c r="S774" s="139" cm="1">
        <f t="array" ref="S774">IF(P774="",0,IF(OR(O774=";",P774="EQU",P774="ORG"),0,HlpGetInstructionSize(P774,Q774,R774,$AC$12)))</f>
        <v>0</v>
      </c>
      <c r="V774" s="42" t="str">
        <f t="shared" si="68"/>
        <v/>
      </c>
      <c r="W774" s="16"/>
      <c r="X774" s="28"/>
      <c r="Y774" s="29"/>
      <c r="AA774" s="66"/>
      <c r="AB774" s="11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28"/>
      <c r="AD774" s="129"/>
      <c r="AE774" s="129"/>
      <c r="AF774" s="129"/>
      <c r="AG774" s="129"/>
      <c r="AH774" s="129"/>
      <c r="AI774" s="129"/>
      <c r="AJ774" s="130"/>
    </row>
    <row r="775" spans="11:36">
      <c r="K775" s="76"/>
      <c r="L775" s="48" t="e">
        <f t="shared" si="67"/>
        <v>#VALUE!</v>
      </c>
      <c r="M775" s="32" t="str">
        <f t="shared" si="70"/>
        <v/>
      </c>
      <c r="N775" s="63" t="e">
        <f t="shared" si="69"/>
        <v>#VALUE!</v>
      </c>
      <c r="O775" s="86"/>
      <c r="P775" s="223"/>
      <c r="Q775" s="224"/>
      <c r="R775" s="135"/>
      <c r="S775" s="139" cm="1">
        <f t="array" ref="S775">IF(P775="",0,IF(OR(O775=";",P775="EQU",P775="ORG"),0,HlpGetInstructionSize(P775,Q775,R775,$AC$12)))</f>
        <v>0</v>
      </c>
      <c r="V775" s="42" t="str">
        <f t="shared" si="68"/>
        <v/>
      </c>
      <c r="W775" s="16"/>
      <c r="X775" s="28"/>
      <c r="Y775" s="29"/>
      <c r="AA775" s="66"/>
      <c r="AB775" s="11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28"/>
      <c r="AD775" s="129"/>
      <c r="AE775" s="129"/>
      <c r="AF775" s="129"/>
      <c r="AG775" s="129"/>
      <c r="AH775" s="129"/>
      <c r="AI775" s="129"/>
      <c r="AJ775" s="130"/>
    </row>
    <row r="776" spans="11:36">
      <c r="K776" s="76"/>
      <c r="L776" s="48" t="e">
        <f t="shared" si="67"/>
        <v>#VALUE!</v>
      </c>
      <c r="M776" s="32" t="str">
        <f t="shared" si="70"/>
        <v/>
      </c>
      <c r="N776" s="63" t="e">
        <f t="shared" si="69"/>
        <v>#VALUE!</v>
      </c>
      <c r="O776" s="86"/>
      <c r="P776" s="223"/>
      <c r="Q776" s="224"/>
      <c r="R776" s="135"/>
      <c r="S776" s="139" cm="1">
        <f t="array" ref="S776">IF(P776="",0,IF(OR(O776=";",P776="EQU",P776="ORG"),0,HlpGetInstructionSize(P776,Q776,R776,$AC$12)))</f>
        <v>0</v>
      </c>
      <c r="V776" s="42" t="str">
        <f t="shared" si="68"/>
        <v/>
      </c>
      <c r="W776" s="16"/>
      <c r="X776" s="28"/>
      <c r="Y776" s="29"/>
      <c r="AA776" s="66"/>
      <c r="AB776" s="11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28"/>
      <c r="AD776" s="129"/>
      <c r="AE776" s="129"/>
      <c r="AF776" s="129"/>
      <c r="AG776" s="129"/>
      <c r="AH776" s="129"/>
      <c r="AI776" s="129"/>
      <c r="AJ776" s="130"/>
    </row>
    <row r="777" spans="11:36">
      <c r="K777" s="76"/>
      <c r="L777" s="48" t="e">
        <f t="shared" ref="L777:L840" si="71">IF(UPPER(P777)="EQU","E",IF(P777="DB","D",IF(O777&lt;&gt;"","L",IF(N777="","F",""))))</f>
        <v>#VALUE!</v>
      </c>
      <c r="M777" s="32" t="str">
        <f t="shared" si="70"/>
        <v/>
      </c>
      <c r="N777" s="63" t="e">
        <f t="shared" si="69"/>
        <v>#VALUE!</v>
      </c>
      <c r="O777" s="86"/>
      <c r="P777" s="223"/>
      <c r="Q777" s="224"/>
      <c r="R777" s="135"/>
      <c r="S777" s="139" cm="1">
        <f t="array" ref="S777">IF(P777="",0,IF(OR(O777=";",P777="EQU",P777="ORG"),0,HlpGetInstructionSize(P777,Q777,R777,$AC$12)))</f>
        <v>0</v>
      </c>
      <c r="V777" s="42" t="str">
        <f t="shared" ref="V777:V840" si="72">IF(W777&gt;0,RIGHT("0000"&amp;DEC2HEX(W777),4),"")</f>
        <v/>
      </c>
      <c r="W777" s="16"/>
      <c r="X777" s="28"/>
      <c r="Y777" s="29"/>
      <c r="AA777" s="66"/>
      <c r="AB777" s="11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28"/>
      <c r="AD777" s="129"/>
      <c r="AE777" s="129"/>
      <c r="AF777" s="129"/>
      <c r="AG777" s="129"/>
      <c r="AH777" s="129"/>
      <c r="AI777" s="129"/>
      <c r="AJ777" s="130"/>
    </row>
    <row r="778" spans="11:36">
      <c r="K778" s="76"/>
      <c r="L778" s="48" t="e">
        <f t="shared" si="71"/>
        <v>#VALUE!</v>
      </c>
      <c r="M778" s="32" t="str">
        <f t="shared" si="70"/>
        <v/>
      </c>
      <c r="N778" s="63" t="e">
        <f t="shared" ref="N778:N841" si="73">N777+S777</f>
        <v>#VALUE!</v>
      </c>
      <c r="O778" s="86"/>
      <c r="P778" s="223"/>
      <c r="Q778" s="224"/>
      <c r="R778" s="135"/>
      <c r="S778" s="139" cm="1">
        <f t="array" ref="S778">IF(P778="",0,IF(OR(O778=";",P778="EQU",P778="ORG"),0,HlpGetInstructionSize(P778,Q778,R778,$AC$12)))</f>
        <v>0</v>
      </c>
      <c r="V778" s="42" t="str">
        <f t="shared" si="72"/>
        <v/>
      </c>
      <c r="W778" s="16"/>
      <c r="X778" s="28"/>
      <c r="Y778" s="29"/>
      <c r="AA778" s="66"/>
      <c r="AB778" s="11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28"/>
      <c r="AD778" s="129"/>
      <c r="AE778" s="129"/>
      <c r="AF778" s="129"/>
      <c r="AG778" s="129"/>
      <c r="AH778" s="129"/>
      <c r="AI778" s="129"/>
      <c r="AJ778" s="130"/>
    </row>
    <row r="779" spans="11:36">
      <c r="K779" s="76"/>
      <c r="L779" s="48" t="e">
        <f t="shared" si="71"/>
        <v>#VALUE!</v>
      </c>
      <c r="M779" s="32" t="str">
        <f t="shared" si="70"/>
        <v/>
      </c>
      <c r="N779" s="63" t="e">
        <f t="shared" si="73"/>
        <v>#VALUE!</v>
      </c>
      <c r="O779" s="86"/>
      <c r="P779" s="223"/>
      <c r="Q779" s="224"/>
      <c r="R779" s="135"/>
      <c r="S779" s="139" cm="1">
        <f t="array" ref="S779">IF(P779="",0,IF(OR(O779=";",P779="EQU",P779="ORG"),0,HlpGetInstructionSize(P779,Q779,R779,$AC$12)))</f>
        <v>0</v>
      </c>
      <c r="V779" s="42" t="str">
        <f t="shared" si="72"/>
        <v/>
      </c>
      <c r="W779" s="16"/>
      <c r="X779" s="28"/>
      <c r="Y779" s="29"/>
      <c r="AA779" s="66"/>
      <c r="AB779" s="11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28"/>
      <c r="AD779" s="129"/>
      <c r="AE779" s="129"/>
      <c r="AF779" s="129"/>
      <c r="AG779" s="129"/>
      <c r="AH779" s="129"/>
      <c r="AI779" s="129"/>
      <c r="AJ779" s="130"/>
    </row>
    <row r="780" spans="11:36">
      <c r="K780" s="76"/>
      <c r="L780" s="48" t="e">
        <f t="shared" si="71"/>
        <v>#VALUE!</v>
      </c>
      <c r="M780" s="32" t="str">
        <f t="shared" si="70"/>
        <v/>
      </c>
      <c r="N780" s="63" t="e">
        <f t="shared" si="73"/>
        <v>#VALUE!</v>
      </c>
      <c r="O780" s="86"/>
      <c r="P780" s="223"/>
      <c r="Q780" s="224"/>
      <c r="R780" s="135"/>
      <c r="S780" s="139" cm="1">
        <f t="array" ref="S780">IF(P780="",0,IF(OR(O780=";",P780="EQU",P780="ORG"),0,HlpGetInstructionSize(P780,Q780,R780,$AC$12)))</f>
        <v>0</v>
      </c>
      <c r="V780" s="42" t="str">
        <f t="shared" si="72"/>
        <v/>
      </c>
      <c r="W780" s="16"/>
      <c r="X780" s="28"/>
      <c r="Y780" s="29"/>
      <c r="AA780" s="66"/>
      <c r="AB780" s="11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28"/>
      <c r="AD780" s="129"/>
      <c r="AE780" s="129"/>
      <c r="AF780" s="129"/>
      <c r="AG780" s="129"/>
      <c r="AH780" s="129"/>
      <c r="AI780" s="129"/>
      <c r="AJ780" s="130"/>
    </row>
    <row r="781" spans="11:36">
      <c r="K781" s="76"/>
      <c r="L781" s="48" t="e">
        <f t="shared" si="71"/>
        <v>#VALUE!</v>
      </c>
      <c r="M781" s="32" t="str">
        <f t="shared" si="70"/>
        <v/>
      </c>
      <c r="N781" s="63" t="e">
        <f t="shared" si="73"/>
        <v>#VALUE!</v>
      </c>
      <c r="O781" s="86"/>
      <c r="P781" s="223"/>
      <c r="Q781" s="224"/>
      <c r="R781" s="135"/>
      <c r="S781" s="139" cm="1">
        <f t="array" ref="S781">IF(P781="",0,IF(OR(O781=";",P781="EQU",P781="ORG"),0,HlpGetInstructionSize(P781,Q781,R781,$AC$12)))</f>
        <v>0</v>
      </c>
      <c r="V781" s="42" t="str">
        <f t="shared" si="72"/>
        <v/>
      </c>
      <c r="W781" s="16"/>
      <c r="X781" s="28"/>
      <c r="Y781" s="29"/>
      <c r="AA781" s="66"/>
      <c r="AB781" s="11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28"/>
      <c r="AD781" s="129"/>
      <c r="AE781" s="129"/>
      <c r="AF781" s="129"/>
      <c r="AG781" s="129"/>
      <c r="AH781" s="129"/>
      <c r="AI781" s="129"/>
      <c r="AJ781" s="130"/>
    </row>
    <row r="782" spans="11:36">
      <c r="K782" s="76"/>
      <c r="L782" s="48" t="e">
        <f t="shared" si="71"/>
        <v>#VALUE!</v>
      </c>
      <c r="M782" s="32" t="str">
        <f t="shared" si="70"/>
        <v/>
      </c>
      <c r="N782" s="63" t="e">
        <f t="shared" si="73"/>
        <v>#VALUE!</v>
      </c>
      <c r="O782" s="86"/>
      <c r="P782" s="223"/>
      <c r="Q782" s="224"/>
      <c r="R782" s="135"/>
      <c r="S782" s="139" cm="1">
        <f t="array" ref="S782">IF(P782="",0,IF(OR(O782=";",P782="EQU",P782="ORG"),0,HlpGetInstructionSize(P782,Q782,R782,$AC$12)))</f>
        <v>0</v>
      </c>
      <c r="V782" s="42" t="str">
        <f t="shared" si="72"/>
        <v/>
      </c>
      <c r="W782" s="16"/>
      <c r="X782" s="28"/>
      <c r="Y782" s="29"/>
      <c r="AA782" s="66"/>
      <c r="AB782" s="11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28"/>
      <c r="AD782" s="129"/>
      <c r="AE782" s="129"/>
      <c r="AF782" s="129"/>
      <c r="AG782" s="129"/>
      <c r="AH782" s="129"/>
      <c r="AI782" s="129"/>
      <c r="AJ782" s="130"/>
    </row>
    <row r="783" spans="11:36">
      <c r="K783" s="76"/>
      <c r="L783" s="48" t="e">
        <f t="shared" si="71"/>
        <v>#VALUE!</v>
      </c>
      <c r="M783" s="32" t="str">
        <f t="shared" si="70"/>
        <v/>
      </c>
      <c r="N783" s="63" t="e">
        <f t="shared" si="73"/>
        <v>#VALUE!</v>
      </c>
      <c r="O783" s="86"/>
      <c r="P783" s="223"/>
      <c r="Q783" s="224"/>
      <c r="R783" s="135"/>
      <c r="S783" s="139" cm="1">
        <f t="array" ref="S783">IF(P783="",0,IF(OR(O783=";",P783="EQU",P783="ORG"),0,HlpGetInstructionSize(P783,Q783,R783,$AC$12)))</f>
        <v>0</v>
      </c>
      <c r="V783" s="42" t="str">
        <f t="shared" si="72"/>
        <v/>
      </c>
      <c r="W783" s="16"/>
      <c r="X783" s="28"/>
      <c r="Y783" s="29"/>
      <c r="AA783" s="66"/>
      <c r="AB783" s="11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28"/>
      <c r="AD783" s="129"/>
      <c r="AE783" s="129"/>
      <c r="AF783" s="129"/>
      <c r="AG783" s="129"/>
      <c r="AH783" s="129"/>
      <c r="AI783" s="129"/>
      <c r="AJ783" s="130"/>
    </row>
    <row r="784" spans="11:36">
      <c r="K784" s="76"/>
      <c r="L784" s="48" t="e">
        <f t="shared" si="71"/>
        <v>#VALUE!</v>
      </c>
      <c r="M784" s="32" t="str">
        <f t="shared" si="70"/>
        <v/>
      </c>
      <c r="N784" s="63" t="e">
        <f t="shared" si="73"/>
        <v>#VALUE!</v>
      </c>
      <c r="O784" s="86"/>
      <c r="P784" s="223"/>
      <c r="Q784" s="224"/>
      <c r="R784" s="135"/>
      <c r="S784" s="139" cm="1">
        <f t="array" ref="S784">IF(P784="",0,IF(OR(O784=";",P784="EQU",P784="ORG"),0,HlpGetInstructionSize(P784,Q784,R784,$AC$12)))</f>
        <v>0</v>
      </c>
      <c r="V784" s="42" t="str">
        <f t="shared" si="72"/>
        <v/>
      </c>
      <c r="W784" s="16"/>
      <c r="X784" s="28"/>
      <c r="Y784" s="29"/>
      <c r="AA784" s="66"/>
      <c r="AB784" s="11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28"/>
      <c r="AD784" s="129"/>
      <c r="AE784" s="129"/>
      <c r="AF784" s="129"/>
      <c r="AG784" s="129"/>
      <c r="AH784" s="129"/>
      <c r="AI784" s="129"/>
      <c r="AJ784" s="130"/>
    </row>
    <row r="785" spans="11:36">
      <c r="K785" s="76"/>
      <c r="L785" s="48" t="e">
        <f t="shared" si="71"/>
        <v>#VALUE!</v>
      </c>
      <c r="M785" s="32" t="str">
        <f t="shared" si="70"/>
        <v/>
      </c>
      <c r="N785" s="63" t="e">
        <f t="shared" si="73"/>
        <v>#VALUE!</v>
      </c>
      <c r="O785" s="86"/>
      <c r="P785" s="223"/>
      <c r="Q785" s="224"/>
      <c r="R785" s="135"/>
      <c r="S785" s="139" cm="1">
        <f t="array" ref="S785">IF(P785="",0,IF(OR(O785=";",P785="EQU",P785="ORG"),0,HlpGetInstructionSize(P785,Q785,R785,$AC$12)))</f>
        <v>0</v>
      </c>
      <c r="V785" s="42" t="str">
        <f t="shared" si="72"/>
        <v/>
      </c>
      <c r="W785" s="16"/>
      <c r="X785" s="28"/>
      <c r="Y785" s="29"/>
      <c r="AA785" s="66"/>
      <c r="AB785" s="11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28"/>
      <c r="AD785" s="129"/>
      <c r="AE785" s="129"/>
      <c r="AF785" s="129"/>
      <c r="AG785" s="129"/>
      <c r="AH785" s="129"/>
      <c r="AI785" s="129"/>
      <c r="AJ785" s="130"/>
    </row>
    <row r="786" spans="11:36">
      <c r="K786" s="76"/>
      <c r="L786" s="48" t="e">
        <f t="shared" si="71"/>
        <v>#VALUE!</v>
      </c>
      <c r="M786" s="32" t="str">
        <f t="shared" si="70"/>
        <v/>
      </c>
      <c r="N786" s="63" t="e">
        <f t="shared" si="73"/>
        <v>#VALUE!</v>
      </c>
      <c r="O786" s="86"/>
      <c r="P786" s="223"/>
      <c r="Q786" s="224"/>
      <c r="R786" s="135"/>
      <c r="S786" s="139" cm="1">
        <f t="array" ref="S786">IF(P786="",0,IF(OR(O786=";",P786="EQU",P786="ORG"),0,HlpGetInstructionSize(P786,Q786,R786,$AC$12)))</f>
        <v>0</v>
      </c>
      <c r="V786" s="42" t="str">
        <f t="shared" si="72"/>
        <v/>
      </c>
      <c r="W786" s="16"/>
      <c r="X786" s="28"/>
      <c r="Y786" s="29"/>
      <c r="AA786" s="66"/>
      <c r="AB786" s="11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28"/>
      <c r="AD786" s="129"/>
      <c r="AE786" s="129"/>
      <c r="AF786" s="129"/>
      <c r="AG786" s="129"/>
      <c r="AH786" s="129"/>
      <c r="AI786" s="129"/>
      <c r="AJ786" s="130"/>
    </row>
    <row r="787" spans="11:36">
      <c r="K787" s="76"/>
      <c r="L787" s="48" t="e">
        <f t="shared" si="71"/>
        <v>#VALUE!</v>
      </c>
      <c r="M787" s="32" t="str">
        <f t="shared" si="70"/>
        <v/>
      </c>
      <c r="N787" s="63" t="e">
        <f t="shared" si="73"/>
        <v>#VALUE!</v>
      </c>
      <c r="O787" s="86"/>
      <c r="P787" s="223"/>
      <c r="Q787" s="224"/>
      <c r="R787" s="135"/>
      <c r="S787" s="139" cm="1">
        <f t="array" ref="S787">IF(P787="",0,IF(OR(O787=";",P787="EQU",P787="ORG"),0,HlpGetInstructionSize(P787,Q787,R787,$AC$12)))</f>
        <v>0</v>
      </c>
      <c r="V787" s="42" t="str">
        <f t="shared" si="72"/>
        <v/>
      </c>
      <c r="W787" s="16"/>
      <c r="X787" s="28"/>
      <c r="Y787" s="29"/>
      <c r="AA787" s="66"/>
      <c r="AB787" s="11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28"/>
      <c r="AD787" s="129"/>
      <c r="AE787" s="129"/>
      <c r="AF787" s="129"/>
      <c r="AG787" s="129"/>
      <c r="AH787" s="129"/>
      <c r="AI787" s="129"/>
      <c r="AJ787" s="130"/>
    </row>
    <row r="788" spans="11:36">
      <c r="K788" s="76"/>
      <c r="L788" s="48" t="e">
        <f t="shared" si="71"/>
        <v>#VALUE!</v>
      </c>
      <c r="M788" s="32" t="str">
        <f t="shared" si="70"/>
        <v/>
      </c>
      <c r="N788" s="63" t="e">
        <f t="shared" si="73"/>
        <v>#VALUE!</v>
      </c>
      <c r="O788" s="86"/>
      <c r="P788" s="223"/>
      <c r="Q788" s="224"/>
      <c r="R788" s="135"/>
      <c r="S788" s="139" cm="1">
        <f t="array" ref="S788">IF(P788="",0,IF(OR(O788=";",P788="EQU",P788="ORG"),0,HlpGetInstructionSize(P788,Q788,R788,$AC$12)))</f>
        <v>0</v>
      </c>
      <c r="V788" s="42" t="str">
        <f t="shared" si="72"/>
        <v/>
      </c>
      <c r="W788" s="16"/>
      <c r="X788" s="28"/>
      <c r="Y788" s="29"/>
      <c r="AA788" s="66"/>
      <c r="AB788" s="11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28"/>
      <c r="AD788" s="129"/>
      <c r="AE788" s="129"/>
      <c r="AF788" s="129"/>
      <c r="AG788" s="129"/>
      <c r="AH788" s="129"/>
      <c r="AI788" s="129"/>
      <c r="AJ788" s="130"/>
    </row>
    <row r="789" spans="11:36">
      <c r="K789" s="76"/>
      <c r="L789" s="48" t="e">
        <f t="shared" si="71"/>
        <v>#VALUE!</v>
      </c>
      <c r="M789" s="32" t="str">
        <f t="shared" si="70"/>
        <v/>
      </c>
      <c r="N789" s="63" t="e">
        <f t="shared" si="73"/>
        <v>#VALUE!</v>
      </c>
      <c r="O789" s="86"/>
      <c r="P789" s="223"/>
      <c r="Q789" s="224"/>
      <c r="R789" s="135"/>
      <c r="S789" s="139" cm="1">
        <f t="array" ref="S789">IF(P789="",0,IF(OR(O789=";",P789="EQU",P789="ORG"),0,HlpGetInstructionSize(P789,Q789,R789,$AC$12)))</f>
        <v>0</v>
      </c>
      <c r="V789" s="42" t="str">
        <f t="shared" si="72"/>
        <v/>
      </c>
      <c r="W789" s="16"/>
      <c r="X789" s="28"/>
      <c r="Y789" s="29"/>
      <c r="AA789" s="66"/>
      <c r="AB789" s="11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28"/>
      <c r="AD789" s="129"/>
      <c r="AE789" s="129"/>
      <c r="AF789" s="129"/>
      <c r="AG789" s="129"/>
      <c r="AH789" s="129"/>
      <c r="AI789" s="129"/>
      <c r="AJ789" s="130"/>
    </row>
    <row r="790" spans="11:36">
      <c r="K790" s="76"/>
      <c r="L790" s="48" t="e">
        <f t="shared" si="71"/>
        <v>#VALUE!</v>
      </c>
      <c r="M790" s="32" t="str">
        <f t="shared" si="70"/>
        <v/>
      </c>
      <c r="N790" s="63" t="e">
        <f t="shared" si="73"/>
        <v>#VALUE!</v>
      </c>
      <c r="O790" s="86"/>
      <c r="P790" s="223"/>
      <c r="Q790" s="224"/>
      <c r="R790" s="135"/>
      <c r="S790" s="139" cm="1">
        <f t="array" ref="S790">IF(P790="",0,IF(OR(O790=";",P790="EQU",P790="ORG"),0,HlpGetInstructionSize(P790,Q790,R790,$AC$12)))</f>
        <v>0</v>
      </c>
      <c r="V790" s="42" t="str">
        <f t="shared" si="72"/>
        <v/>
      </c>
      <c r="W790" s="16"/>
      <c r="X790" s="28"/>
      <c r="Y790" s="29"/>
      <c r="AA790" s="66"/>
      <c r="AB790" s="11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28"/>
      <c r="AD790" s="129"/>
      <c r="AE790" s="129"/>
      <c r="AF790" s="129"/>
      <c r="AG790" s="129"/>
      <c r="AH790" s="129"/>
      <c r="AI790" s="129"/>
      <c r="AJ790" s="130"/>
    </row>
    <row r="791" spans="11:36">
      <c r="K791" s="76"/>
      <c r="L791" s="48" t="e">
        <f t="shared" si="71"/>
        <v>#VALUE!</v>
      </c>
      <c r="M791" s="32" t="str">
        <f t="shared" si="70"/>
        <v/>
      </c>
      <c r="N791" s="63" t="e">
        <f t="shared" si="73"/>
        <v>#VALUE!</v>
      </c>
      <c r="O791" s="86"/>
      <c r="P791" s="223"/>
      <c r="Q791" s="224"/>
      <c r="R791" s="135"/>
      <c r="S791" s="139" cm="1">
        <f t="array" ref="S791">IF(P791="",0,IF(OR(O791=";",P791="EQU",P791="ORG"),0,HlpGetInstructionSize(P791,Q791,R791,$AC$12)))</f>
        <v>0</v>
      </c>
      <c r="V791" s="42" t="str">
        <f t="shared" si="72"/>
        <v/>
      </c>
      <c r="W791" s="16"/>
      <c r="X791" s="28"/>
      <c r="Y791" s="29"/>
      <c r="AA791" s="66"/>
      <c r="AB791" s="11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28"/>
      <c r="AD791" s="129"/>
      <c r="AE791" s="129"/>
      <c r="AF791" s="129"/>
      <c r="AG791" s="129"/>
      <c r="AH791" s="129"/>
      <c r="AI791" s="129"/>
      <c r="AJ791" s="130"/>
    </row>
    <row r="792" spans="11:36">
      <c r="K792" s="76"/>
      <c r="L792" s="48" t="e">
        <f t="shared" si="71"/>
        <v>#VALUE!</v>
      </c>
      <c r="M792" s="32" t="str">
        <f t="shared" si="70"/>
        <v/>
      </c>
      <c r="N792" s="63" t="e">
        <f t="shared" si="73"/>
        <v>#VALUE!</v>
      </c>
      <c r="O792" s="86"/>
      <c r="P792" s="223"/>
      <c r="Q792" s="224"/>
      <c r="R792" s="135"/>
      <c r="S792" s="139" cm="1">
        <f t="array" ref="S792">IF(P792="",0,IF(OR(O792=";",P792="EQU",P792="ORG"),0,HlpGetInstructionSize(P792,Q792,R792,$AC$12)))</f>
        <v>0</v>
      </c>
      <c r="V792" s="42" t="str">
        <f t="shared" si="72"/>
        <v/>
      </c>
      <c r="W792" s="16"/>
      <c r="X792" s="28"/>
      <c r="Y792" s="29"/>
      <c r="AA792" s="66"/>
      <c r="AB792" s="11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28"/>
      <c r="AD792" s="129"/>
      <c r="AE792" s="129"/>
      <c r="AF792" s="129"/>
      <c r="AG792" s="129"/>
      <c r="AH792" s="129"/>
      <c r="AI792" s="129"/>
      <c r="AJ792" s="130"/>
    </row>
    <row r="793" spans="11:36">
      <c r="K793" s="76"/>
      <c r="L793" s="48" t="e">
        <f t="shared" si="71"/>
        <v>#VALUE!</v>
      </c>
      <c r="M793" s="32" t="str">
        <f t="shared" si="70"/>
        <v/>
      </c>
      <c r="N793" s="63" t="e">
        <f t="shared" si="73"/>
        <v>#VALUE!</v>
      </c>
      <c r="O793" s="86"/>
      <c r="P793" s="223"/>
      <c r="Q793" s="224"/>
      <c r="R793" s="135"/>
      <c r="S793" s="139" cm="1">
        <f t="array" ref="S793">IF(P793="",0,IF(OR(O793=";",P793="EQU",P793="ORG"),0,HlpGetInstructionSize(P793,Q793,R793,$AC$12)))</f>
        <v>0</v>
      </c>
      <c r="V793" s="42" t="str">
        <f t="shared" si="72"/>
        <v/>
      </c>
      <c r="W793" s="16"/>
      <c r="X793" s="28"/>
      <c r="Y793" s="29"/>
      <c r="AA793" s="66"/>
      <c r="AB793" s="11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28"/>
      <c r="AD793" s="129"/>
      <c r="AE793" s="129"/>
      <c r="AF793" s="129"/>
      <c r="AG793" s="129"/>
      <c r="AH793" s="129"/>
      <c r="AI793" s="129"/>
      <c r="AJ793" s="130"/>
    </row>
    <row r="794" spans="11:36">
      <c r="K794" s="76"/>
      <c r="L794" s="48" t="e">
        <f t="shared" si="71"/>
        <v>#VALUE!</v>
      </c>
      <c r="M794" s="32" t="str">
        <f t="shared" si="70"/>
        <v/>
      </c>
      <c r="N794" s="63" t="e">
        <f t="shared" si="73"/>
        <v>#VALUE!</v>
      </c>
      <c r="O794" s="86"/>
      <c r="P794" s="223"/>
      <c r="Q794" s="224"/>
      <c r="R794" s="135"/>
      <c r="S794" s="139" cm="1">
        <f t="array" ref="S794">IF(P794="",0,IF(OR(O794=";",P794="EQU",P794="ORG"),0,HlpGetInstructionSize(P794,Q794,R794,$AC$12)))</f>
        <v>0</v>
      </c>
      <c r="V794" s="42" t="str">
        <f t="shared" si="72"/>
        <v/>
      </c>
      <c r="W794" s="16"/>
      <c r="X794" s="28"/>
      <c r="Y794" s="29"/>
      <c r="AA794" s="66"/>
      <c r="AB794" s="11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28"/>
      <c r="AD794" s="129"/>
      <c r="AE794" s="129"/>
      <c r="AF794" s="129"/>
      <c r="AG794" s="129"/>
      <c r="AH794" s="129"/>
      <c r="AI794" s="129"/>
      <c r="AJ794" s="130"/>
    </row>
    <row r="795" spans="11:36">
      <c r="K795" s="76"/>
      <c r="L795" s="48" t="e">
        <f t="shared" si="71"/>
        <v>#VALUE!</v>
      </c>
      <c r="M795" s="32" t="str">
        <f t="shared" si="70"/>
        <v/>
      </c>
      <c r="N795" s="63" t="e">
        <f t="shared" si="73"/>
        <v>#VALUE!</v>
      </c>
      <c r="O795" s="86"/>
      <c r="P795" s="223"/>
      <c r="Q795" s="224"/>
      <c r="R795" s="135"/>
      <c r="S795" s="139" cm="1">
        <f t="array" ref="S795">IF(P795="",0,IF(OR(O795=";",P795="EQU",P795="ORG"),0,HlpGetInstructionSize(P795,Q795,R795,$AC$12)))</f>
        <v>0</v>
      </c>
      <c r="V795" s="42" t="str">
        <f t="shared" si="72"/>
        <v/>
      </c>
      <c r="W795" s="16"/>
      <c r="X795" s="28"/>
      <c r="Y795" s="29"/>
      <c r="AA795" s="66"/>
      <c r="AB795" s="11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28"/>
      <c r="AD795" s="129"/>
      <c r="AE795" s="129"/>
      <c r="AF795" s="129"/>
      <c r="AG795" s="129"/>
      <c r="AH795" s="129"/>
      <c r="AI795" s="129"/>
      <c r="AJ795" s="130"/>
    </row>
    <row r="796" spans="11:36">
      <c r="K796" s="76"/>
      <c r="L796" s="48" t="e">
        <f t="shared" si="71"/>
        <v>#VALUE!</v>
      </c>
      <c r="M796" s="32" t="str">
        <f t="shared" si="70"/>
        <v/>
      </c>
      <c r="N796" s="63" t="e">
        <f t="shared" si="73"/>
        <v>#VALUE!</v>
      </c>
      <c r="O796" s="86"/>
      <c r="P796" s="223"/>
      <c r="Q796" s="224"/>
      <c r="R796" s="135"/>
      <c r="S796" s="139" cm="1">
        <f t="array" ref="S796">IF(P796="",0,IF(OR(O796=";",P796="EQU",P796="ORG"),0,HlpGetInstructionSize(P796,Q796,R796,$AC$12)))</f>
        <v>0</v>
      </c>
      <c r="V796" s="42" t="str">
        <f t="shared" si="72"/>
        <v/>
      </c>
      <c r="W796" s="16"/>
      <c r="X796" s="28"/>
      <c r="Y796" s="29"/>
      <c r="AA796" s="66"/>
      <c r="AB796" s="11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28"/>
      <c r="AD796" s="129"/>
      <c r="AE796" s="129"/>
      <c r="AF796" s="129"/>
      <c r="AG796" s="129"/>
      <c r="AH796" s="129"/>
      <c r="AI796" s="129"/>
      <c r="AJ796" s="130"/>
    </row>
    <row r="797" spans="11:36">
      <c r="K797" s="76"/>
      <c r="L797" s="48" t="e">
        <f t="shared" si="71"/>
        <v>#VALUE!</v>
      </c>
      <c r="M797" s="32" t="str">
        <f t="shared" ref="M797:M860" si="74">IFERROR(RIGHT("0000"&amp;DEC2HEX(N797),4),"")</f>
        <v/>
      </c>
      <c r="N797" s="63" t="e">
        <f t="shared" si="73"/>
        <v>#VALUE!</v>
      </c>
      <c r="O797" s="86"/>
      <c r="P797" s="223"/>
      <c r="Q797" s="224"/>
      <c r="R797" s="135"/>
      <c r="S797" s="139" cm="1">
        <f t="array" ref="S797">IF(P797="",0,IF(OR(O797=";",P797="EQU",P797="ORG"),0,HlpGetInstructionSize(P797,Q797,R797,$AC$12)))</f>
        <v>0</v>
      </c>
      <c r="V797" s="42" t="str">
        <f t="shared" si="72"/>
        <v/>
      </c>
      <c r="W797" s="16"/>
      <c r="X797" s="28"/>
      <c r="Y797" s="29"/>
      <c r="AA797" s="66"/>
      <c r="AB797" s="11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28"/>
      <c r="AD797" s="129"/>
      <c r="AE797" s="129"/>
      <c r="AF797" s="129"/>
      <c r="AG797" s="129"/>
      <c r="AH797" s="129"/>
      <c r="AI797" s="129"/>
      <c r="AJ797" s="130"/>
    </row>
    <row r="798" spans="11:36">
      <c r="K798" s="76"/>
      <c r="L798" s="48" t="e">
        <f t="shared" si="71"/>
        <v>#VALUE!</v>
      </c>
      <c r="M798" s="32" t="str">
        <f t="shared" si="74"/>
        <v/>
      </c>
      <c r="N798" s="63" t="e">
        <f t="shared" si="73"/>
        <v>#VALUE!</v>
      </c>
      <c r="O798" s="86"/>
      <c r="P798" s="223"/>
      <c r="Q798" s="224"/>
      <c r="R798" s="135"/>
      <c r="S798" s="139" cm="1">
        <f t="array" ref="S798">IF(P798="",0,IF(OR(O798=";",P798="EQU",P798="ORG"),0,HlpGetInstructionSize(P798,Q798,R798,$AC$12)))</f>
        <v>0</v>
      </c>
      <c r="V798" s="42" t="str">
        <f t="shared" si="72"/>
        <v/>
      </c>
      <c r="W798" s="16"/>
      <c r="X798" s="28"/>
      <c r="Y798" s="29"/>
      <c r="AA798" s="66"/>
      <c r="AB798" s="11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28"/>
      <c r="AD798" s="129"/>
      <c r="AE798" s="129"/>
      <c r="AF798" s="129"/>
      <c r="AG798" s="129"/>
      <c r="AH798" s="129"/>
      <c r="AI798" s="129"/>
      <c r="AJ798" s="130"/>
    </row>
    <row r="799" spans="11:36">
      <c r="K799" s="76"/>
      <c r="L799" s="48" t="e">
        <f t="shared" si="71"/>
        <v>#VALUE!</v>
      </c>
      <c r="M799" s="32" t="str">
        <f t="shared" si="74"/>
        <v/>
      </c>
      <c r="N799" s="63" t="e">
        <f t="shared" si="73"/>
        <v>#VALUE!</v>
      </c>
      <c r="O799" s="86"/>
      <c r="P799" s="223"/>
      <c r="Q799" s="224"/>
      <c r="R799" s="135"/>
      <c r="S799" s="139" cm="1">
        <f t="array" ref="S799">IF(P799="",0,IF(OR(O799=";",P799="EQU",P799="ORG"),0,HlpGetInstructionSize(P799,Q799,R799,$AC$12)))</f>
        <v>0</v>
      </c>
      <c r="V799" s="42" t="str">
        <f t="shared" si="72"/>
        <v/>
      </c>
      <c r="W799" s="16"/>
      <c r="X799" s="28"/>
      <c r="Y799" s="29"/>
      <c r="AA799" s="66"/>
      <c r="AB799" s="11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28"/>
      <c r="AD799" s="129"/>
      <c r="AE799" s="129"/>
      <c r="AF799" s="129"/>
      <c r="AG799" s="129"/>
      <c r="AH799" s="129"/>
      <c r="AI799" s="129"/>
      <c r="AJ799" s="130"/>
    </row>
    <row r="800" spans="11:36">
      <c r="K800" s="76"/>
      <c r="L800" s="48" t="e">
        <f t="shared" si="71"/>
        <v>#VALUE!</v>
      </c>
      <c r="M800" s="32" t="str">
        <f t="shared" si="74"/>
        <v/>
      </c>
      <c r="N800" s="63" t="e">
        <f t="shared" si="73"/>
        <v>#VALUE!</v>
      </c>
      <c r="O800" s="86"/>
      <c r="P800" s="223"/>
      <c r="Q800" s="224"/>
      <c r="R800" s="135"/>
      <c r="S800" s="139" cm="1">
        <f t="array" ref="S800">IF(P800="",0,IF(OR(O800=";",P800="EQU",P800="ORG"),0,HlpGetInstructionSize(P800,Q800,R800,$AC$12)))</f>
        <v>0</v>
      </c>
      <c r="V800" s="42" t="str">
        <f t="shared" si="72"/>
        <v/>
      </c>
      <c r="W800" s="16"/>
      <c r="X800" s="28"/>
      <c r="Y800" s="29"/>
      <c r="AA800" s="66"/>
      <c r="AB800" s="11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28"/>
      <c r="AD800" s="129"/>
      <c r="AE800" s="129"/>
      <c r="AF800" s="129"/>
      <c r="AG800" s="129"/>
      <c r="AH800" s="129"/>
      <c r="AI800" s="129"/>
      <c r="AJ800" s="130"/>
    </row>
    <row r="801" spans="11:36">
      <c r="K801" s="76"/>
      <c r="L801" s="48" t="e">
        <f t="shared" si="71"/>
        <v>#VALUE!</v>
      </c>
      <c r="M801" s="32" t="str">
        <f t="shared" si="74"/>
        <v/>
      </c>
      <c r="N801" s="63" t="e">
        <f t="shared" si="73"/>
        <v>#VALUE!</v>
      </c>
      <c r="O801" s="86"/>
      <c r="P801" s="223"/>
      <c r="Q801" s="224"/>
      <c r="R801" s="135"/>
      <c r="S801" s="139" cm="1">
        <f t="array" ref="S801">IF(P801="",0,IF(OR(O801=";",P801="EQU",P801="ORG"),0,HlpGetInstructionSize(P801,Q801,R801,$AC$12)))</f>
        <v>0</v>
      </c>
      <c r="V801" s="42" t="str">
        <f t="shared" si="72"/>
        <v/>
      </c>
      <c r="W801" s="16"/>
      <c r="X801" s="28"/>
      <c r="Y801" s="29"/>
      <c r="AA801" s="66"/>
      <c r="AB801" s="11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28"/>
      <c r="AD801" s="129"/>
      <c r="AE801" s="129"/>
      <c r="AF801" s="129"/>
      <c r="AG801" s="129"/>
      <c r="AH801" s="129"/>
      <c r="AI801" s="129"/>
      <c r="AJ801" s="130"/>
    </row>
    <row r="802" spans="11:36">
      <c r="K802" s="76"/>
      <c r="L802" s="48" t="e">
        <f t="shared" si="71"/>
        <v>#VALUE!</v>
      </c>
      <c r="M802" s="32" t="str">
        <f t="shared" si="74"/>
        <v/>
      </c>
      <c r="N802" s="63" t="e">
        <f t="shared" si="73"/>
        <v>#VALUE!</v>
      </c>
      <c r="O802" s="86"/>
      <c r="P802" s="223"/>
      <c r="Q802" s="224"/>
      <c r="R802" s="135"/>
      <c r="S802" s="139" cm="1">
        <f t="array" ref="S802">IF(P802="",0,IF(OR(O802=";",P802="EQU",P802="ORG"),0,HlpGetInstructionSize(P802,Q802,R802,$AC$12)))</f>
        <v>0</v>
      </c>
      <c r="V802" s="42" t="str">
        <f t="shared" si="72"/>
        <v/>
      </c>
      <c r="W802" s="16"/>
      <c r="X802" s="28"/>
      <c r="Y802" s="29"/>
      <c r="AA802" s="66"/>
      <c r="AB802" s="11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28"/>
      <c r="AD802" s="129"/>
      <c r="AE802" s="129"/>
      <c r="AF802" s="129"/>
      <c r="AG802" s="129"/>
      <c r="AH802" s="129"/>
      <c r="AI802" s="129"/>
      <c r="AJ802" s="130"/>
    </row>
    <row r="803" spans="11:36">
      <c r="K803" s="76"/>
      <c r="L803" s="48" t="e">
        <f t="shared" si="71"/>
        <v>#VALUE!</v>
      </c>
      <c r="M803" s="32" t="str">
        <f t="shared" si="74"/>
        <v/>
      </c>
      <c r="N803" s="63" t="e">
        <f t="shared" si="73"/>
        <v>#VALUE!</v>
      </c>
      <c r="O803" s="86"/>
      <c r="P803" s="223"/>
      <c r="Q803" s="224"/>
      <c r="R803" s="135"/>
      <c r="S803" s="139" cm="1">
        <f t="array" ref="S803">IF(P803="",0,IF(OR(O803=";",P803="EQU",P803="ORG"),0,HlpGetInstructionSize(P803,Q803,R803,$AC$12)))</f>
        <v>0</v>
      </c>
      <c r="V803" s="42" t="str">
        <f t="shared" si="72"/>
        <v/>
      </c>
      <c r="W803" s="16"/>
      <c r="X803" s="28"/>
      <c r="Y803" s="29"/>
      <c r="AA803" s="66"/>
      <c r="AB803" s="11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28"/>
      <c r="AD803" s="129"/>
      <c r="AE803" s="129"/>
      <c r="AF803" s="129"/>
      <c r="AG803" s="129"/>
      <c r="AH803" s="129"/>
      <c r="AI803" s="129"/>
      <c r="AJ803" s="130"/>
    </row>
    <row r="804" spans="11:36">
      <c r="K804" s="76"/>
      <c r="L804" s="48" t="e">
        <f t="shared" si="71"/>
        <v>#VALUE!</v>
      </c>
      <c r="M804" s="32" t="str">
        <f t="shared" si="74"/>
        <v/>
      </c>
      <c r="N804" s="63" t="e">
        <f t="shared" si="73"/>
        <v>#VALUE!</v>
      </c>
      <c r="O804" s="86"/>
      <c r="P804" s="223"/>
      <c r="Q804" s="224"/>
      <c r="R804" s="135"/>
      <c r="S804" s="139" cm="1">
        <f t="array" ref="S804">IF(P804="",0,IF(OR(O804=";",P804="EQU",P804="ORG"),0,HlpGetInstructionSize(P804,Q804,R804,$AC$12)))</f>
        <v>0</v>
      </c>
      <c r="V804" s="42" t="str">
        <f t="shared" si="72"/>
        <v/>
      </c>
      <c r="W804" s="16"/>
      <c r="X804" s="28"/>
      <c r="Y804" s="29"/>
      <c r="AA804" s="66"/>
      <c r="AB804" s="11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28"/>
      <c r="AD804" s="129"/>
      <c r="AE804" s="129"/>
      <c r="AF804" s="129"/>
      <c r="AG804" s="129"/>
      <c r="AH804" s="129"/>
      <c r="AI804" s="129"/>
      <c r="AJ804" s="130"/>
    </row>
    <row r="805" spans="11:36">
      <c r="K805" s="76"/>
      <c r="L805" s="48" t="e">
        <f t="shared" si="71"/>
        <v>#VALUE!</v>
      </c>
      <c r="M805" s="32" t="str">
        <f t="shared" si="74"/>
        <v/>
      </c>
      <c r="N805" s="63" t="e">
        <f t="shared" si="73"/>
        <v>#VALUE!</v>
      </c>
      <c r="O805" s="86"/>
      <c r="P805" s="223"/>
      <c r="Q805" s="224"/>
      <c r="R805" s="135"/>
      <c r="S805" s="139" cm="1">
        <f t="array" ref="S805">IF(P805="",0,IF(OR(O805=";",P805="EQU",P805="ORG"),0,HlpGetInstructionSize(P805,Q805,R805,$AC$12)))</f>
        <v>0</v>
      </c>
      <c r="V805" s="42" t="str">
        <f t="shared" si="72"/>
        <v/>
      </c>
      <c r="W805" s="16"/>
      <c r="X805" s="28"/>
      <c r="Y805" s="29"/>
      <c r="AA805" s="66"/>
      <c r="AB805" s="11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28"/>
      <c r="AD805" s="129"/>
      <c r="AE805" s="129"/>
      <c r="AF805" s="129"/>
      <c r="AG805" s="129"/>
      <c r="AH805" s="129"/>
      <c r="AI805" s="129"/>
      <c r="AJ805" s="130"/>
    </row>
    <row r="806" spans="11:36">
      <c r="K806" s="76"/>
      <c r="L806" s="48" t="e">
        <f t="shared" si="71"/>
        <v>#VALUE!</v>
      </c>
      <c r="M806" s="32" t="str">
        <f t="shared" si="74"/>
        <v/>
      </c>
      <c r="N806" s="63" t="e">
        <f t="shared" si="73"/>
        <v>#VALUE!</v>
      </c>
      <c r="O806" s="86"/>
      <c r="P806" s="223"/>
      <c r="Q806" s="224"/>
      <c r="R806" s="135"/>
      <c r="S806" s="139" cm="1">
        <f t="array" ref="S806">IF(P806="",0,IF(OR(O806=";",P806="EQU",P806="ORG"),0,HlpGetInstructionSize(P806,Q806,R806,$AC$12)))</f>
        <v>0</v>
      </c>
      <c r="V806" s="42" t="str">
        <f t="shared" si="72"/>
        <v/>
      </c>
      <c r="W806" s="16"/>
      <c r="X806" s="28"/>
      <c r="Y806" s="29"/>
      <c r="AA806" s="66"/>
      <c r="AB806" s="11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28"/>
      <c r="AD806" s="129"/>
      <c r="AE806" s="129"/>
      <c r="AF806" s="129"/>
      <c r="AG806" s="129"/>
      <c r="AH806" s="129"/>
      <c r="AI806" s="129"/>
      <c r="AJ806" s="130"/>
    </row>
    <row r="807" spans="11:36">
      <c r="K807" s="76"/>
      <c r="L807" s="48" t="e">
        <f t="shared" si="71"/>
        <v>#VALUE!</v>
      </c>
      <c r="M807" s="32" t="str">
        <f t="shared" si="74"/>
        <v/>
      </c>
      <c r="N807" s="63" t="e">
        <f t="shared" si="73"/>
        <v>#VALUE!</v>
      </c>
      <c r="O807" s="86"/>
      <c r="P807" s="223"/>
      <c r="Q807" s="224"/>
      <c r="R807" s="135"/>
      <c r="S807" s="139" cm="1">
        <f t="array" ref="S807">IF(P807="",0,IF(OR(O807=";",P807="EQU",P807="ORG"),0,HlpGetInstructionSize(P807,Q807,R807,$AC$12)))</f>
        <v>0</v>
      </c>
      <c r="V807" s="42" t="str">
        <f t="shared" si="72"/>
        <v/>
      </c>
      <c r="W807" s="16"/>
      <c r="X807" s="28"/>
      <c r="Y807" s="29"/>
      <c r="AA807" s="66"/>
      <c r="AB807" s="11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28"/>
      <c r="AD807" s="129"/>
      <c r="AE807" s="129"/>
      <c r="AF807" s="129"/>
      <c r="AG807" s="129"/>
      <c r="AH807" s="129"/>
      <c r="AI807" s="129"/>
      <c r="AJ807" s="130"/>
    </row>
    <row r="808" spans="11:36">
      <c r="K808" s="76"/>
      <c r="L808" s="48" t="e">
        <f t="shared" si="71"/>
        <v>#VALUE!</v>
      </c>
      <c r="M808" s="32" t="str">
        <f t="shared" si="74"/>
        <v/>
      </c>
      <c r="N808" s="63" t="e">
        <f t="shared" si="73"/>
        <v>#VALUE!</v>
      </c>
      <c r="O808" s="86"/>
      <c r="P808" s="223"/>
      <c r="Q808" s="224"/>
      <c r="R808" s="135"/>
      <c r="S808" s="139" cm="1">
        <f t="array" ref="S808">IF(P808="",0,IF(OR(O808=";",P808="EQU",P808="ORG"),0,HlpGetInstructionSize(P808,Q808,R808,$AC$12)))</f>
        <v>0</v>
      </c>
      <c r="V808" s="42" t="str">
        <f t="shared" si="72"/>
        <v/>
      </c>
      <c r="W808" s="16"/>
      <c r="X808" s="28"/>
      <c r="Y808" s="29"/>
      <c r="AA808" s="66"/>
      <c r="AB808" s="11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28"/>
      <c r="AD808" s="129"/>
      <c r="AE808" s="129"/>
      <c r="AF808" s="129"/>
      <c r="AG808" s="129"/>
      <c r="AH808" s="129"/>
      <c r="AI808" s="129"/>
      <c r="AJ808" s="130"/>
    </row>
    <row r="809" spans="11:36">
      <c r="K809" s="76"/>
      <c r="L809" s="48" t="e">
        <f t="shared" si="71"/>
        <v>#VALUE!</v>
      </c>
      <c r="M809" s="32" t="str">
        <f t="shared" si="74"/>
        <v/>
      </c>
      <c r="N809" s="63" t="e">
        <f t="shared" si="73"/>
        <v>#VALUE!</v>
      </c>
      <c r="O809" s="86"/>
      <c r="P809" s="223"/>
      <c r="Q809" s="224"/>
      <c r="R809" s="135"/>
      <c r="S809" s="139" cm="1">
        <f t="array" ref="S809">IF(P809="",0,IF(OR(O809=";",P809="EQU",P809="ORG"),0,HlpGetInstructionSize(P809,Q809,R809,$AC$12)))</f>
        <v>0</v>
      </c>
      <c r="V809" s="42" t="str">
        <f t="shared" si="72"/>
        <v/>
      </c>
      <c r="W809" s="16"/>
      <c r="X809" s="28"/>
      <c r="Y809" s="29"/>
      <c r="AA809" s="66"/>
      <c r="AB809" s="11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28"/>
      <c r="AD809" s="129"/>
      <c r="AE809" s="129"/>
      <c r="AF809" s="129"/>
      <c r="AG809" s="129"/>
      <c r="AH809" s="129"/>
      <c r="AI809" s="129"/>
      <c r="AJ809" s="130"/>
    </row>
    <row r="810" spans="11:36">
      <c r="K810" s="76"/>
      <c r="L810" s="48" t="e">
        <f t="shared" si="71"/>
        <v>#VALUE!</v>
      </c>
      <c r="M810" s="32" t="str">
        <f t="shared" si="74"/>
        <v/>
      </c>
      <c r="N810" s="63" t="e">
        <f t="shared" si="73"/>
        <v>#VALUE!</v>
      </c>
      <c r="O810" s="86"/>
      <c r="P810" s="223"/>
      <c r="Q810" s="224"/>
      <c r="R810" s="135"/>
      <c r="S810" s="139" cm="1">
        <f t="array" ref="S810">IF(P810="",0,IF(OR(O810=";",P810="EQU",P810="ORG"),0,HlpGetInstructionSize(P810,Q810,R810,$AC$12)))</f>
        <v>0</v>
      </c>
      <c r="V810" s="42" t="str">
        <f t="shared" si="72"/>
        <v/>
      </c>
      <c r="W810" s="16"/>
      <c r="X810" s="28"/>
      <c r="Y810" s="29"/>
      <c r="AA810" s="66"/>
      <c r="AB810" s="11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28"/>
      <c r="AD810" s="129"/>
      <c r="AE810" s="129"/>
      <c r="AF810" s="129"/>
      <c r="AG810" s="129"/>
      <c r="AH810" s="129"/>
      <c r="AI810" s="129"/>
      <c r="AJ810" s="130"/>
    </row>
    <row r="811" spans="11:36">
      <c r="K811" s="76"/>
      <c r="L811" s="48" t="e">
        <f t="shared" si="71"/>
        <v>#VALUE!</v>
      </c>
      <c r="M811" s="32" t="str">
        <f t="shared" si="74"/>
        <v/>
      </c>
      <c r="N811" s="63" t="e">
        <f t="shared" si="73"/>
        <v>#VALUE!</v>
      </c>
      <c r="O811" s="86"/>
      <c r="P811" s="223"/>
      <c r="Q811" s="224"/>
      <c r="R811" s="135"/>
      <c r="S811" s="139" cm="1">
        <f t="array" ref="S811">IF(P811="",0,IF(OR(O811=";",P811="EQU",P811="ORG"),0,HlpGetInstructionSize(P811,Q811,R811,$AC$12)))</f>
        <v>0</v>
      </c>
      <c r="V811" s="42" t="str">
        <f t="shared" si="72"/>
        <v/>
      </c>
      <c r="W811" s="16"/>
      <c r="X811" s="28"/>
      <c r="Y811" s="29"/>
      <c r="AA811" s="66"/>
      <c r="AB811" s="11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28"/>
      <c r="AD811" s="129"/>
      <c r="AE811" s="129"/>
      <c r="AF811" s="129"/>
      <c r="AG811" s="129"/>
      <c r="AH811" s="129"/>
      <c r="AI811" s="129"/>
      <c r="AJ811" s="130"/>
    </row>
    <row r="812" spans="11:36">
      <c r="K812" s="76"/>
      <c r="L812" s="48" t="e">
        <f t="shared" si="71"/>
        <v>#VALUE!</v>
      </c>
      <c r="M812" s="32" t="str">
        <f t="shared" si="74"/>
        <v/>
      </c>
      <c r="N812" s="63" t="e">
        <f t="shared" si="73"/>
        <v>#VALUE!</v>
      </c>
      <c r="O812" s="86"/>
      <c r="P812" s="223"/>
      <c r="Q812" s="224"/>
      <c r="R812" s="135"/>
      <c r="S812" s="139" cm="1">
        <f t="array" ref="S812">IF(P812="",0,IF(OR(O812=";",P812="EQU",P812="ORG"),0,HlpGetInstructionSize(P812,Q812,R812,$AC$12)))</f>
        <v>0</v>
      </c>
      <c r="V812" s="42" t="str">
        <f t="shared" si="72"/>
        <v/>
      </c>
      <c r="W812" s="16"/>
      <c r="X812" s="28"/>
      <c r="Y812" s="29"/>
      <c r="AA812" s="66"/>
      <c r="AB812" s="11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28"/>
      <c r="AD812" s="129"/>
      <c r="AE812" s="129"/>
      <c r="AF812" s="129"/>
      <c r="AG812" s="129"/>
      <c r="AH812" s="129"/>
      <c r="AI812" s="129"/>
      <c r="AJ812" s="130"/>
    </row>
    <row r="813" spans="11:36">
      <c r="K813" s="76"/>
      <c r="L813" s="48" t="e">
        <f t="shared" si="71"/>
        <v>#VALUE!</v>
      </c>
      <c r="M813" s="32" t="str">
        <f t="shared" si="74"/>
        <v/>
      </c>
      <c r="N813" s="63" t="e">
        <f t="shared" si="73"/>
        <v>#VALUE!</v>
      </c>
      <c r="O813" s="86"/>
      <c r="P813" s="223"/>
      <c r="Q813" s="224"/>
      <c r="R813" s="135"/>
      <c r="S813" s="139" cm="1">
        <f t="array" ref="S813">IF(P813="",0,IF(OR(O813=";",P813="EQU",P813="ORG"),0,HlpGetInstructionSize(P813,Q813,R813,$AC$12)))</f>
        <v>0</v>
      </c>
      <c r="V813" s="42" t="str">
        <f t="shared" si="72"/>
        <v/>
      </c>
      <c r="W813" s="16"/>
      <c r="X813" s="28"/>
      <c r="Y813" s="29"/>
      <c r="AA813" s="66"/>
      <c r="AB813" s="11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28"/>
      <c r="AD813" s="129"/>
      <c r="AE813" s="129"/>
      <c r="AF813" s="129"/>
      <c r="AG813" s="129"/>
      <c r="AH813" s="129"/>
      <c r="AI813" s="129"/>
      <c r="AJ813" s="130"/>
    </row>
    <row r="814" spans="11:36">
      <c r="K814" s="76"/>
      <c r="L814" s="48" t="e">
        <f t="shared" si="71"/>
        <v>#VALUE!</v>
      </c>
      <c r="M814" s="32" t="str">
        <f t="shared" si="74"/>
        <v/>
      </c>
      <c r="N814" s="63" t="e">
        <f t="shared" si="73"/>
        <v>#VALUE!</v>
      </c>
      <c r="O814" s="86"/>
      <c r="P814" s="223"/>
      <c r="Q814" s="224"/>
      <c r="R814" s="135"/>
      <c r="S814" s="139" cm="1">
        <f t="array" ref="S814">IF(P814="",0,IF(OR(O814=";",P814="EQU",P814="ORG"),0,HlpGetInstructionSize(P814,Q814,R814,$AC$12)))</f>
        <v>0</v>
      </c>
      <c r="V814" s="42" t="str">
        <f t="shared" si="72"/>
        <v/>
      </c>
      <c r="W814" s="16"/>
      <c r="X814" s="28"/>
      <c r="Y814" s="29"/>
      <c r="AA814" s="66"/>
      <c r="AB814" s="11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28"/>
      <c r="AD814" s="129"/>
      <c r="AE814" s="129"/>
      <c r="AF814" s="129"/>
      <c r="AG814" s="129"/>
      <c r="AH814" s="129"/>
      <c r="AI814" s="129"/>
      <c r="AJ814" s="130"/>
    </row>
    <row r="815" spans="11:36">
      <c r="K815" s="76"/>
      <c r="L815" s="48" t="e">
        <f t="shared" si="71"/>
        <v>#VALUE!</v>
      </c>
      <c r="M815" s="32" t="str">
        <f t="shared" si="74"/>
        <v/>
      </c>
      <c r="N815" s="63" t="e">
        <f t="shared" si="73"/>
        <v>#VALUE!</v>
      </c>
      <c r="O815" s="86"/>
      <c r="P815" s="223"/>
      <c r="Q815" s="224"/>
      <c r="R815" s="135"/>
      <c r="S815" s="139" cm="1">
        <f t="array" ref="S815">IF(P815="",0,IF(OR(O815=";",P815="EQU",P815="ORG"),0,HlpGetInstructionSize(P815,Q815,R815,$AC$12)))</f>
        <v>0</v>
      </c>
      <c r="V815" s="42" t="str">
        <f t="shared" si="72"/>
        <v/>
      </c>
      <c r="W815" s="16"/>
      <c r="X815" s="28"/>
      <c r="Y815" s="29"/>
      <c r="AA815" s="66"/>
      <c r="AB815" s="11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28"/>
      <c r="AD815" s="129"/>
      <c r="AE815" s="129"/>
      <c r="AF815" s="129"/>
      <c r="AG815" s="129"/>
      <c r="AH815" s="129"/>
      <c r="AI815" s="129"/>
      <c r="AJ815" s="130"/>
    </row>
    <row r="816" spans="11:36">
      <c r="K816" s="76"/>
      <c r="L816" s="48" t="e">
        <f t="shared" si="71"/>
        <v>#VALUE!</v>
      </c>
      <c r="M816" s="32" t="str">
        <f t="shared" si="74"/>
        <v/>
      </c>
      <c r="N816" s="63" t="e">
        <f t="shared" si="73"/>
        <v>#VALUE!</v>
      </c>
      <c r="O816" s="86"/>
      <c r="P816" s="223"/>
      <c r="Q816" s="224"/>
      <c r="R816" s="135"/>
      <c r="S816" s="139" cm="1">
        <f t="array" ref="S816">IF(P816="",0,IF(OR(O816=";",P816="EQU",P816="ORG"),0,HlpGetInstructionSize(P816,Q816,R816,$AC$12)))</f>
        <v>0</v>
      </c>
      <c r="V816" s="42" t="str">
        <f t="shared" si="72"/>
        <v/>
      </c>
      <c r="W816" s="16"/>
      <c r="X816" s="28"/>
      <c r="Y816" s="29"/>
      <c r="AA816" s="66"/>
      <c r="AB816" s="11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28"/>
      <c r="AD816" s="129"/>
      <c r="AE816" s="129"/>
      <c r="AF816" s="129"/>
      <c r="AG816" s="129"/>
      <c r="AH816" s="129"/>
      <c r="AI816" s="129"/>
      <c r="AJ816" s="130"/>
    </row>
    <row r="817" spans="11:36">
      <c r="K817" s="76"/>
      <c r="L817" s="48" t="e">
        <f t="shared" si="71"/>
        <v>#VALUE!</v>
      </c>
      <c r="M817" s="32" t="str">
        <f t="shared" si="74"/>
        <v/>
      </c>
      <c r="N817" s="63" t="e">
        <f t="shared" si="73"/>
        <v>#VALUE!</v>
      </c>
      <c r="O817" s="86"/>
      <c r="P817" s="223"/>
      <c r="Q817" s="224"/>
      <c r="R817" s="135"/>
      <c r="S817" s="139" cm="1">
        <f t="array" ref="S817">IF(P817="",0,IF(OR(O817=";",P817="EQU",P817="ORG"),0,HlpGetInstructionSize(P817,Q817,R817,$AC$12)))</f>
        <v>0</v>
      </c>
      <c r="V817" s="42" t="str">
        <f t="shared" si="72"/>
        <v/>
      </c>
      <c r="W817" s="16"/>
      <c r="X817" s="28"/>
      <c r="Y817" s="29"/>
      <c r="AA817" s="66"/>
      <c r="AB817" s="11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28"/>
      <c r="AD817" s="129"/>
      <c r="AE817" s="129"/>
      <c r="AF817" s="129"/>
      <c r="AG817" s="129"/>
      <c r="AH817" s="129"/>
      <c r="AI817" s="129"/>
      <c r="AJ817" s="130"/>
    </row>
    <row r="818" spans="11:36">
      <c r="K818" s="76"/>
      <c r="L818" s="48" t="e">
        <f t="shared" si="71"/>
        <v>#VALUE!</v>
      </c>
      <c r="M818" s="32" t="str">
        <f t="shared" si="74"/>
        <v/>
      </c>
      <c r="N818" s="63" t="e">
        <f t="shared" si="73"/>
        <v>#VALUE!</v>
      </c>
      <c r="O818" s="86"/>
      <c r="P818" s="223"/>
      <c r="Q818" s="224"/>
      <c r="R818" s="135"/>
      <c r="S818" s="139" cm="1">
        <f t="array" ref="S818">IF(P818="",0,IF(OR(O818=";",P818="EQU",P818="ORG"),0,HlpGetInstructionSize(P818,Q818,R818,$AC$12)))</f>
        <v>0</v>
      </c>
      <c r="V818" s="42" t="str">
        <f t="shared" si="72"/>
        <v/>
      </c>
      <c r="W818" s="16"/>
      <c r="X818" s="28"/>
      <c r="Y818" s="29"/>
      <c r="AA818" s="66"/>
      <c r="AB818" s="11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28"/>
      <c r="AD818" s="129"/>
      <c r="AE818" s="129"/>
      <c r="AF818" s="129"/>
      <c r="AG818" s="129"/>
      <c r="AH818" s="129"/>
      <c r="AI818" s="129"/>
      <c r="AJ818" s="130"/>
    </row>
    <row r="819" spans="11:36">
      <c r="K819" s="76"/>
      <c r="L819" s="48" t="e">
        <f t="shared" si="71"/>
        <v>#VALUE!</v>
      </c>
      <c r="M819" s="32" t="str">
        <f t="shared" si="74"/>
        <v/>
      </c>
      <c r="N819" s="63" t="e">
        <f t="shared" si="73"/>
        <v>#VALUE!</v>
      </c>
      <c r="O819" s="86"/>
      <c r="P819" s="223"/>
      <c r="Q819" s="224"/>
      <c r="R819" s="135"/>
      <c r="S819" s="139" cm="1">
        <f t="array" ref="S819">IF(P819="",0,IF(OR(O819=";",P819="EQU",P819="ORG"),0,HlpGetInstructionSize(P819,Q819,R819,$AC$12)))</f>
        <v>0</v>
      </c>
      <c r="V819" s="42" t="str">
        <f t="shared" si="72"/>
        <v/>
      </c>
      <c r="W819" s="16"/>
      <c r="X819" s="28"/>
      <c r="Y819" s="29"/>
      <c r="AA819" s="66"/>
      <c r="AB819" s="11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28"/>
      <c r="AD819" s="129"/>
      <c r="AE819" s="129"/>
      <c r="AF819" s="129"/>
      <c r="AG819" s="129"/>
      <c r="AH819" s="129"/>
      <c r="AI819" s="129"/>
      <c r="AJ819" s="130"/>
    </row>
    <row r="820" spans="11:36">
      <c r="K820" s="76"/>
      <c r="L820" s="48" t="e">
        <f t="shared" si="71"/>
        <v>#VALUE!</v>
      </c>
      <c r="M820" s="32" t="str">
        <f t="shared" si="74"/>
        <v/>
      </c>
      <c r="N820" s="63" t="e">
        <f t="shared" si="73"/>
        <v>#VALUE!</v>
      </c>
      <c r="O820" s="86"/>
      <c r="P820" s="223"/>
      <c r="Q820" s="224"/>
      <c r="R820" s="135"/>
      <c r="S820" s="139" cm="1">
        <f t="array" ref="S820">IF(P820="",0,IF(OR(O820=";",P820="EQU",P820="ORG"),0,HlpGetInstructionSize(P820,Q820,R820,$AC$12)))</f>
        <v>0</v>
      </c>
      <c r="V820" s="42" t="str">
        <f t="shared" si="72"/>
        <v/>
      </c>
      <c r="W820" s="16"/>
      <c r="X820" s="28"/>
      <c r="Y820" s="29"/>
      <c r="AA820" s="66"/>
      <c r="AB820" s="11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28"/>
      <c r="AD820" s="129"/>
      <c r="AE820" s="129"/>
      <c r="AF820" s="129"/>
      <c r="AG820" s="129"/>
      <c r="AH820" s="129"/>
      <c r="AI820" s="129"/>
      <c r="AJ820" s="130"/>
    </row>
    <row r="821" spans="11:36">
      <c r="K821" s="76"/>
      <c r="L821" s="48" t="e">
        <f t="shared" si="71"/>
        <v>#VALUE!</v>
      </c>
      <c r="M821" s="32" t="str">
        <f t="shared" si="74"/>
        <v/>
      </c>
      <c r="N821" s="63" t="e">
        <f t="shared" si="73"/>
        <v>#VALUE!</v>
      </c>
      <c r="O821" s="86"/>
      <c r="P821" s="223"/>
      <c r="Q821" s="224"/>
      <c r="R821" s="135"/>
      <c r="S821" s="139" cm="1">
        <f t="array" ref="S821">IF(P821="",0,IF(OR(O821=";",P821="EQU",P821="ORG"),0,HlpGetInstructionSize(P821,Q821,R821,$AC$12)))</f>
        <v>0</v>
      </c>
      <c r="V821" s="42" t="str">
        <f t="shared" si="72"/>
        <v/>
      </c>
      <c r="W821" s="16"/>
      <c r="X821" s="28"/>
      <c r="Y821" s="29"/>
      <c r="AA821" s="66"/>
      <c r="AB821" s="11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28"/>
      <c r="AD821" s="129"/>
      <c r="AE821" s="129"/>
      <c r="AF821" s="129"/>
      <c r="AG821" s="129"/>
      <c r="AH821" s="129"/>
      <c r="AI821" s="129"/>
      <c r="AJ821" s="130"/>
    </row>
    <row r="822" spans="11:36">
      <c r="K822" s="76"/>
      <c r="L822" s="48" t="e">
        <f t="shared" si="71"/>
        <v>#VALUE!</v>
      </c>
      <c r="M822" s="32" t="str">
        <f t="shared" si="74"/>
        <v/>
      </c>
      <c r="N822" s="63" t="e">
        <f t="shared" si="73"/>
        <v>#VALUE!</v>
      </c>
      <c r="O822" s="86"/>
      <c r="P822" s="223"/>
      <c r="Q822" s="224"/>
      <c r="R822" s="135"/>
      <c r="S822" s="139" cm="1">
        <f t="array" ref="S822">IF(P822="",0,IF(OR(O822=";",P822="EQU",P822="ORG"),0,HlpGetInstructionSize(P822,Q822,R822,$AC$12)))</f>
        <v>0</v>
      </c>
      <c r="V822" s="42" t="str">
        <f t="shared" si="72"/>
        <v/>
      </c>
      <c r="W822" s="16"/>
      <c r="X822" s="28"/>
      <c r="Y822" s="29"/>
      <c r="AA822" s="66"/>
      <c r="AB822" s="11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28"/>
      <c r="AD822" s="129"/>
      <c r="AE822" s="129"/>
      <c r="AF822" s="129"/>
      <c r="AG822" s="129"/>
      <c r="AH822" s="129"/>
      <c r="AI822" s="129"/>
      <c r="AJ822" s="130"/>
    </row>
    <row r="823" spans="11:36">
      <c r="K823" s="76"/>
      <c r="L823" s="48" t="e">
        <f t="shared" si="71"/>
        <v>#VALUE!</v>
      </c>
      <c r="M823" s="32" t="str">
        <f t="shared" si="74"/>
        <v/>
      </c>
      <c r="N823" s="63" t="e">
        <f t="shared" si="73"/>
        <v>#VALUE!</v>
      </c>
      <c r="O823" s="86"/>
      <c r="P823" s="223"/>
      <c r="Q823" s="224"/>
      <c r="R823" s="135"/>
      <c r="S823" s="139" cm="1">
        <f t="array" ref="S823">IF(P823="",0,IF(OR(O823=";",P823="EQU",P823="ORG"),0,HlpGetInstructionSize(P823,Q823,R823,$AC$12)))</f>
        <v>0</v>
      </c>
      <c r="V823" s="42" t="str">
        <f t="shared" si="72"/>
        <v/>
      </c>
      <c r="W823" s="16"/>
      <c r="X823" s="28"/>
      <c r="Y823" s="29"/>
      <c r="AA823" s="66"/>
      <c r="AB823" s="11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28"/>
      <c r="AD823" s="129"/>
      <c r="AE823" s="129"/>
      <c r="AF823" s="129"/>
      <c r="AG823" s="129"/>
      <c r="AH823" s="129"/>
      <c r="AI823" s="129"/>
      <c r="AJ823" s="130"/>
    </row>
    <row r="824" spans="11:36">
      <c r="K824" s="76"/>
      <c r="L824" s="48" t="e">
        <f t="shared" si="71"/>
        <v>#VALUE!</v>
      </c>
      <c r="M824" s="32" t="str">
        <f t="shared" si="74"/>
        <v/>
      </c>
      <c r="N824" s="63" t="e">
        <f t="shared" si="73"/>
        <v>#VALUE!</v>
      </c>
      <c r="O824" s="86"/>
      <c r="P824" s="223"/>
      <c r="Q824" s="224"/>
      <c r="R824" s="135"/>
      <c r="S824" s="139" cm="1">
        <f t="array" ref="S824">IF(P824="",0,IF(OR(O824=";",P824="EQU",P824="ORG"),0,HlpGetInstructionSize(P824,Q824,R824,$AC$12)))</f>
        <v>0</v>
      </c>
      <c r="V824" s="42" t="str">
        <f t="shared" si="72"/>
        <v/>
      </c>
      <c r="W824" s="16"/>
      <c r="X824" s="28"/>
      <c r="Y824" s="29"/>
      <c r="AA824" s="66"/>
      <c r="AB824" s="11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28"/>
      <c r="AD824" s="129"/>
      <c r="AE824" s="129"/>
      <c r="AF824" s="129"/>
      <c r="AG824" s="129"/>
      <c r="AH824" s="129"/>
      <c r="AI824" s="129"/>
      <c r="AJ824" s="130"/>
    </row>
    <row r="825" spans="11:36">
      <c r="K825" s="76"/>
      <c r="L825" s="48" t="e">
        <f t="shared" si="71"/>
        <v>#VALUE!</v>
      </c>
      <c r="M825" s="32" t="str">
        <f t="shared" si="74"/>
        <v/>
      </c>
      <c r="N825" s="63" t="e">
        <f t="shared" si="73"/>
        <v>#VALUE!</v>
      </c>
      <c r="O825" s="86"/>
      <c r="P825" s="223"/>
      <c r="Q825" s="224"/>
      <c r="R825" s="135"/>
      <c r="S825" s="139" cm="1">
        <f t="array" ref="S825">IF(P825="",0,IF(OR(O825=";",P825="EQU",P825="ORG"),0,HlpGetInstructionSize(P825,Q825,R825,$AC$12)))</f>
        <v>0</v>
      </c>
      <c r="V825" s="42" t="str">
        <f t="shared" si="72"/>
        <v/>
      </c>
      <c r="W825" s="16"/>
      <c r="X825" s="28"/>
      <c r="Y825" s="29"/>
      <c r="AA825" s="66"/>
      <c r="AB825" s="11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28"/>
      <c r="AD825" s="129"/>
      <c r="AE825" s="129"/>
      <c r="AF825" s="129"/>
      <c r="AG825" s="129"/>
      <c r="AH825" s="129"/>
      <c r="AI825" s="129"/>
      <c r="AJ825" s="130"/>
    </row>
    <row r="826" spans="11:36">
      <c r="K826" s="76"/>
      <c r="L826" s="48" t="e">
        <f t="shared" si="71"/>
        <v>#VALUE!</v>
      </c>
      <c r="M826" s="32" t="str">
        <f t="shared" si="74"/>
        <v/>
      </c>
      <c r="N826" s="63" t="e">
        <f t="shared" si="73"/>
        <v>#VALUE!</v>
      </c>
      <c r="O826" s="86"/>
      <c r="P826" s="223"/>
      <c r="Q826" s="224"/>
      <c r="R826" s="135"/>
      <c r="S826" s="139" cm="1">
        <f t="array" ref="S826">IF(P826="",0,IF(OR(O826=";",P826="EQU",P826="ORG"),0,HlpGetInstructionSize(P826,Q826,R826,$AC$12)))</f>
        <v>0</v>
      </c>
      <c r="V826" s="42" t="str">
        <f t="shared" si="72"/>
        <v/>
      </c>
      <c r="W826" s="16"/>
      <c r="X826" s="28"/>
      <c r="Y826" s="29"/>
      <c r="AA826" s="66"/>
      <c r="AB826" s="11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28"/>
      <c r="AD826" s="129"/>
      <c r="AE826" s="129"/>
      <c r="AF826" s="129"/>
      <c r="AG826" s="129"/>
      <c r="AH826" s="129"/>
      <c r="AI826" s="129"/>
      <c r="AJ826" s="130"/>
    </row>
    <row r="827" spans="11:36">
      <c r="K827" s="76"/>
      <c r="L827" s="48" t="e">
        <f t="shared" si="71"/>
        <v>#VALUE!</v>
      </c>
      <c r="M827" s="32" t="str">
        <f t="shared" si="74"/>
        <v/>
      </c>
      <c r="N827" s="63" t="e">
        <f t="shared" si="73"/>
        <v>#VALUE!</v>
      </c>
      <c r="O827" s="86"/>
      <c r="P827" s="223"/>
      <c r="Q827" s="224"/>
      <c r="R827" s="135"/>
      <c r="S827" s="139" cm="1">
        <f t="array" ref="S827">IF(P827="",0,IF(OR(O827=";",P827="EQU",P827="ORG"),0,HlpGetInstructionSize(P827,Q827,R827,$AC$12)))</f>
        <v>0</v>
      </c>
      <c r="V827" s="42" t="str">
        <f t="shared" si="72"/>
        <v/>
      </c>
      <c r="W827" s="16"/>
      <c r="X827" s="28"/>
      <c r="Y827" s="29"/>
      <c r="AA827" s="66"/>
      <c r="AB827" s="11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28"/>
      <c r="AD827" s="129"/>
      <c r="AE827" s="129"/>
      <c r="AF827" s="129"/>
      <c r="AG827" s="129"/>
      <c r="AH827" s="129"/>
      <c r="AI827" s="129"/>
      <c r="AJ827" s="130"/>
    </row>
    <row r="828" spans="11:36">
      <c r="K828" s="76"/>
      <c r="L828" s="48" t="e">
        <f t="shared" si="71"/>
        <v>#VALUE!</v>
      </c>
      <c r="M828" s="32" t="str">
        <f t="shared" si="74"/>
        <v/>
      </c>
      <c r="N828" s="63" t="e">
        <f t="shared" si="73"/>
        <v>#VALUE!</v>
      </c>
      <c r="O828" s="86"/>
      <c r="P828" s="223"/>
      <c r="Q828" s="224"/>
      <c r="R828" s="135"/>
      <c r="S828" s="139" cm="1">
        <f t="array" ref="S828">IF(P828="",0,IF(OR(O828=";",P828="EQU",P828="ORG"),0,HlpGetInstructionSize(P828,Q828,R828,$AC$12)))</f>
        <v>0</v>
      </c>
      <c r="V828" s="42" t="str">
        <f t="shared" si="72"/>
        <v/>
      </c>
      <c r="W828" s="16"/>
      <c r="X828" s="28"/>
      <c r="Y828" s="29"/>
      <c r="AA828" s="66"/>
      <c r="AB828" s="11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28"/>
      <c r="AD828" s="129"/>
      <c r="AE828" s="129"/>
      <c r="AF828" s="129"/>
      <c r="AG828" s="129"/>
      <c r="AH828" s="129"/>
      <c r="AI828" s="129"/>
      <c r="AJ828" s="130"/>
    </row>
    <row r="829" spans="11:36">
      <c r="K829" s="76"/>
      <c r="L829" s="48" t="e">
        <f t="shared" si="71"/>
        <v>#VALUE!</v>
      </c>
      <c r="M829" s="32" t="str">
        <f t="shared" si="74"/>
        <v/>
      </c>
      <c r="N829" s="63" t="e">
        <f t="shared" si="73"/>
        <v>#VALUE!</v>
      </c>
      <c r="O829" s="86"/>
      <c r="P829" s="223"/>
      <c r="Q829" s="224"/>
      <c r="R829" s="135"/>
      <c r="S829" s="139" cm="1">
        <f t="array" ref="S829">IF(P829="",0,IF(OR(O829=";",P829="EQU",P829="ORG"),0,HlpGetInstructionSize(P829,Q829,R829,$AC$12)))</f>
        <v>0</v>
      </c>
      <c r="V829" s="42" t="str">
        <f t="shared" si="72"/>
        <v/>
      </c>
      <c r="W829" s="16"/>
      <c r="X829" s="28"/>
      <c r="Y829" s="29"/>
      <c r="AA829" s="66"/>
      <c r="AB829" s="11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28"/>
      <c r="AD829" s="129"/>
      <c r="AE829" s="129"/>
      <c r="AF829" s="129"/>
      <c r="AG829" s="129"/>
      <c r="AH829" s="129"/>
      <c r="AI829" s="129"/>
      <c r="AJ829" s="130"/>
    </row>
    <row r="830" spans="11:36">
      <c r="K830" s="76"/>
      <c r="L830" s="48" t="e">
        <f t="shared" si="71"/>
        <v>#VALUE!</v>
      </c>
      <c r="M830" s="32" t="str">
        <f t="shared" si="74"/>
        <v/>
      </c>
      <c r="N830" s="63" t="e">
        <f t="shared" si="73"/>
        <v>#VALUE!</v>
      </c>
      <c r="O830" s="86"/>
      <c r="P830" s="223"/>
      <c r="Q830" s="224"/>
      <c r="R830" s="135"/>
      <c r="S830" s="139" cm="1">
        <f t="array" ref="S830">IF(P830="",0,IF(OR(O830=";",P830="EQU",P830="ORG"),0,HlpGetInstructionSize(P830,Q830,R830,$AC$12)))</f>
        <v>0</v>
      </c>
      <c r="V830" s="42" t="str">
        <f t="shared" si="72"/>
        <v/>
      </c>
      <c r="W830" s="16"/>
      <c r="X830" s="28"/>
      <c r="Y830" s="29"/>
      <c r="AA830" s="66"/>
      <c r="AB830" s="11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28"/>
      <c r="AD830" s="129"/>
      <c r="AE830" s="129"/>
      <c r="AF830" s="129"/>
      <c r="AG830" s="129"/>
      <c r="AH830" s="129"/>
      <c r="AI830" s="129"/>
      <c r="AJ830" s="130"/>
    </row>
    <row r="831" spans="11:36">
      <c r="K831" s="76"/>
      <c r="L831" s="48" t="e">
        <f t="shared" si="71"/>
        <v>#VALUE!</v>
      </c>
      <c r="M831" s="32" t="str">
        <f t="shared" si="74"/>
        <v/>
      </c>
      <c r="N831" s="63" t="e">
        <f t="shared" si="73"/>
        <v>#VALUE!</v>
      </c>
      <c r="O831" s="86"/>
      <c r="P831" s="223"/>
      <c r="Q831" s="224"/>
      <c r="R831" s="135"/>
      <c r="S831" s="139" cm="1">
        <f t="array" ref="S831">IF(P831="",0,IF(OR(O831=";",P831="EQU",P831="ORG"),0,HlpGetInstructionSize(P831,Q831,R831,$AC$12)))</f>
        <v>0</v>
      </c>
      <c r="V831" s="42" t="str">
        <f t="shared" si="72"/>
        <v/>
      </c>
      <c r="W831" s="16"/>
      <c r="X831" s="28"/>
      <c r="Y831" s="29"/>
      <c r="AA831" s="66"/>
      <c r="AB831" s="11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28"/>
      <c r="AD831" s="129"/>
      <c r="AE831" s="129"/>
      <c r="AF831" s="129"/>
      <c r="AG831" s="129"/>
      <c r="AH831" s="129"/>
      <c r="AI831" s="129"/>
      <c r="AJ831" s="130"/>
    </row>
    <row r="832" spans="11:36">
      <c r="K832" s="76"/>
      <c r="L832" s="48" t="e">
        <f t="shared" si="71"/>
        <v>#VALUE!</v>
      </c>
      <c r="M832" s="32" t="str">
        <f t="shared" si="74"/>
        <v/>
      </c>
      <c r="N832" s="63" t="e">
        <f t="shared" si="73"/>
        <v>#VALUE!</v>
      </c>
      <c r="O832" s="86"/>
      <c r="P832" s="223"/>
      <c r="Q832" s="224"/>
      <c r="R832" s="135"/>
      <c r="S832" s="139" cm="1">
        <f t="array" ref="S832">IF(P832="",0,IF(OR(O832=";",P832="EQU",P832="ORG"),0,HlpGetInstructionSize(P832,Q832,R832,$AC$12)))</f>
        <v>0</v>
      </c>
      <c r="V832" s="42" t="str">
        <f t="shared" si="72"/>
        <v/>
      </c>
      <c r="W832" s="16"/>
      <c r="X832" s="28"/>
      <c r="Y832" s="29"/>
      <c r="AA832" s="66"/>
      <c r="AB832" s="11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28"/>
      <c r="AD832" s="129"/>
      <c r="AE832" s="129"/>
      <c r="AF832" s="129"/>
      <c r="AG832" s="129"/>
      <c r="AH832" s="129"/>
      <c r="AI832" s="129"/>
      <c r="AJ832" s="130"/>
    </row>
    <row r="833" spans="11:36">
      <c r="K833" s="76"/>
      <c r="L833" s="48" t="e">
        <f t="shared" si="71"/>
        <v>#VALUE!</v>
      </c>
      <c r="M833" s="32" t="str">
        <f t="shared" si="74"/>
        <v/>
      </c>
      <c r="N833" s="63" t="e">
        <f t="shared" si="73"/>
        <v>#VALUE!</v>
      </c>
      <c r="O833" s="86"/>
      <c r="P833" s="223"/>
      <c r="Q833" s="224"/>
      <c r="R833" s="135"/>
      <c r="S833" s="139" cm="1">
        <f t="array" ref="S833">IF(P833="",0,IF(OR(O833=";",P833="EQU",P833="ORG"),0,HlpGetInstructionSize(P833,Q833,R833,$AC$12)))</f>
        <v>0</v>
      </c>
      <c r="V833" s="42" t="str">
        <f t="shared" si="72"/>
        <v/>
      </c>
      <c r="W833" s="16"/>
      <c r="X833" s="28"/>
      <c r="Y833" s="29"/>
      <c r="AA833" s="66"/>
      <c r="AB833" s="11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28"/>
      <c r="AD833" s="129"/>
      <c r="AE833" s="129"/>
      <c r="AF833" s="129"/>
      <c r="AG833" s="129"/>
      <c r="AH833" s="129"/>
      <c r="AI833" s="129"/>
      <c r="AJ833" s="130"/>
    </row>
    <row r="834" spans="11:36">
      <c r="K834" s="76"/>
      <c r="L834" s="48" t="e">
        <f t="shared" si="71"/>
        <v>#VALUE!</v>
      </c>
      <c r="M834" s="32" t="str">
        <f t="shared" si="74"/>
        <v/>
      </c>
      <c r="N834" s="63" t="e">
        <f t="shared" si="73"/>
        <v>#VALUE!</v>
      </c>
      <c r="O834" s="86"/>
      <c r="P834" s="223"/>
      <c r="Q834" s="224"/>
      <c r="R834" s="135"/>
      <c r="S834" s="139" cm="1">
        <f t="array" ref="S834">IF(P834="",0,IF(OR(O834=";",P834="EQU",P834="ORG"),0,HlpGetInstructionSize(P834,Q834,R834,$AC$12)))</f>
        <v>0</v>
      </c>
      <c r="V834" s="42" t="str">
        <f t="shared" si="72"/>
        <v/>
      </c>
      <c r="W834" s="16"/>
      <c r="X834" s="28"/>
      <c r="Y834" s="29"/>
      <c r="AA834" s="66"/>
      <c r="AB834" s="11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28"/>
      <c r="AD834" s="129"/>
      <c r="AE834" s="129"/>
      <c r="AF834" s="129"/>
      <c r="AG834" s="129"/>
      <c r="AH834" s="129"/>
      <c r="AI834" s="129"/>
      <c r="AJ834" s="130"/>
    </row>
    <row r="835" spans="11:36">
      <c r="K835" s="76"/>
      <c r="L835" s="48" t="e">
        <f t="shared" si="71"/>
        <v>#VALUE!</v>
      </c>
      <c r="M835" s="32" t="str">
        <f t="shared" si="74"/>
        <v/>
      </c>
      <c r="N835" s="63" t="e">
        <f t="shared" si="73"/>
        <v>#VALUE!</v>
      </c>
      <c r="O835" s="86"/>
      <c r="P835" s="223"/>
      <c r="Q835" s="224"/>
      <c r="R835" s="135"/>
      <c r="S835" s="139" cm="1">
        <f t="array" ref="S835">IF(P835="",0,IF(OR(O835=";",P835="EQU",P835="ORG"),0,HlpGetInstructionSize(P835,Q835,R835,$AC$12)))</f>
        <v>0</v>
      </c>
      <c r="V835" s="42" t="str">
        <f t="shared" si="72"/>
        <v/>
      </c>
      <c r="W835" s="16"/>
      <c r="X835" s="28"/>
      <c r="Y835" s="29"/>
      <c r="AA835" s="66"/>
      <c r="AB835" s="11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28"/>
      <c r="AD835" s="129"/>
      <c r="AE835" s="129"/>
      <c r="AF835" s="129"/>
      <c r="AG835" s="129"/>
      <c r="AH835" s="129"/>
      <c r="AI835" s="129"/>
      <c r="AJ835" s="130"/>
    </row>
    <row r="836" spans="11:36">
      <c r="K836" s="76"/>
      <c r="L836" s="48" t="e">
        <f t="shared" si="71"/>
        <v>#VALUE!</v>
      </c>
      <c r="M836" s="32" t="str">
        <f t="shared" si="74"/>
        <v/>
      </c>
      <c r="N836" s="63" t="e">
        <f t="shared" si="73"/>
        <v>#VALUE!</v>
      </c>
      <c r="O836" s="86"/>
      <c r="P836" s="223"/>
      <c r="Q836" s="224"/>
      <c r="R836" s="135"/>
      <c r="S836" s="139" cm="1">
        <f t="array" ref="S836">IF(P836="",0,IF(OR(O836=";",P836="EQU",P836="ORG"),0,HlpGetInstructionSize(P836,Q836,R836,$AC$12)))</f>
        <v>0</v>
      </c>
      <c r="V836" s="42" t="str">
        <f t="shared" si="72"/>
        <v/>
      </c>
      <c r="W836" s="16"/>
      <c r="X836" s="28"/>
      <c r="Y836" s="29"/>
      <c r="AA836" s="66"/>
      <c r="AB836" s="11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28"/>
      <c r="AD836" s="129"/>
      <c r="AE836" s="129"/>
      <c r="AF836" s="129"/>
      <c r="AG836" s="129"/>
      <c r="AH836" s="129"/>
      <c r="AI836" s="129"/>
      <c r="AJ836" s="130"/>
    </row>
    <row r="837" spans="11:36">
      <c r="K837" s="76"/>
      <c r="L837" s="48" t="e">
        <f t="shared" si="71"/>
        <v>#VALUE!</v>
      </c>
      <c r="M837" s="32" t="str">
        <f t="shared" si="74"/>
        <v/>
      </c>
      <c r="N837" s="63" t="e">
        <f t="shared" si="73"/>
        <v>#VALUE!</v>
      </c>
      <c r="O837" s="86"/>
      <c r="P837" s="223"/>
      <c r="Q837" s="224"/>
      <c r="R837" s="135"/>
      <c r="S837" s="139" cm="1">
        <f t="array" ref="S837">IF(P837="",0,IF(OR(O837=";",P837="EQU",P837="ORG"),0,HlpGetInstructionSize(P837,Q837,R837,$AC$12)))</f>
        <v>0</v>
      </c>
      <c r="V837" s="42" t="str">
        <f t="shared" si="72"/>
        <v/>
      </c>
      <c r="W837" s="16"/>
      <c r="X837" s="28"/>
      <c r="Y837" s="29"/>
      <c r="AA837" s="66"/>
      <c r="AB837" s="11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28"/>
      <c r="AD837" s="129"/>
      <c r="AE837" s="129"/>
      <c r="AF837" s="129"/>
      <c r="AG837" s="129"/>
      <c r="AH837" s="129"/>
      <c r="AI837" s="129"/>
      <c r="AJ837" s="130"/>
    </row>
    <row r="838" spans="11:36">
      <c r="K838" s="76"/>
      <c r="L838" s="48" t="e">
        <f t="shared" si="71"/>
        <v>#VALUE!</v>
      </c>
      <c r="M838" s="32" t="str">
        <f t="shared" si="74"/>
        <v/>
      </c>
      <c r="N838" s="63" t="e">
        <f t="shared" si="73"/>
        <v>#VALUE!</v>
      </c>
      <c r="O838" s="86"/>
      <c r="P838" s="223"/>
      <c r="Q838" s="224"/>
      <c r="R838" s="135"/>
      <c r="S838" s="139" cm="1">
        <f t="array" ref="S838">IF(P838="",0,IF(OR(O838=";",P838="EQU",P838="ORG"),0,HlpGetInstructionSize(P838,Q838,R838,$AC$12)))</f>
        <v>0</v>
      </c>
      <c r="V838" s="42" t="str">
        <f t="shared" si="72"/>
        <v/>
      </c>
      <c r="W838" s="16"/>
      <c r="X838" s="28"/>
      <c r="Y838" s="29"/>
      <c r="AA838" s="66"/>
      <c r="AB838" s="11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28"/>
      <c r="AD838" s="129"/>
      <c r="AE838" s="129"/>
      <c r="AF838" s="129"/>
      <c r="AG838" s="129"/>
      <c r="AH838" s="129"/>
      <c r="AI838" s="129"/>
      <c r="AJ838" s="130"/>
    </row>
    <row r="839" spans="11:36">
      <c r="K839" s="76"/>
      <c r="L839" s="48" t="e">
        <f t="shared" si="71"/>
        <v>#VALUE!</v>
      </c>
      <c r="M839" s="32" t="str">
        <f t="shared" si="74"/>
        <v/>
      </c>
      <c r="N839" s="63" t="e">
        <f t="shared" si="73"/>
        <v>#VALUE!</v>
      </c>
      <c r="O839" s="86"/>
      <c r="P839" s="223"/>
      <c r="Q839" s="224"/>
      <c r="R839" s="135"/>
      <c r="S839" s="139" cm="1">
        <f t="array" ref="S839">IF(P839="",0,IF(OR(O839=";",P839="EQU",P839="ORG"),0,HlpGetInstructionSize(P839,Q839,R839,$AC$12)))</f>
        <v>0</v>
      </c>
      <c r="V839" s="42" t="str">
        <f t="shared" si="72"/>
        <v/>
      </c>
      <c r="W839" s="16"/>
      <c r="X839" s="28"/>
      <c r="Y839" s="29"/>
      <c r="AA839" s="66"/>
      <c r="AB839" s="11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28"/>
      <c r="AD839" s="129"/>
      <c r="AE839" s="129"/>
      <c r="AF839" s="129"/>
      <c r="AG839" s="129"/>
      <c r="AH839" s="129"/>
      <c r="AI839" s="129"/>
      <c r="AJ839" s="130"/>
    </row>
    <row r="840" spans="11:36">
      <c r="K840" s="76"/>
      <c r="L840" s="48" t="e">
        <f t="shared" si="71"/>
        <v>#VALUE!</v>
      </c>
      <c r="M840" s="32" t="str">
        <f t="shared" si="74"/>
        <v/>
      </c>
      <c r="N840" s="63" t="e">
        <f t="shared" si="73"/>
        <v>#VALUE!</v>
      </c>
      <c r="O840" s="86"/>
      <c r="P840" s="223"/>
      <c r="Q840" s="224"/>
      <c r="R840" s="135"/>
      <c r="S840" s="139" cm="1">
        <f t="array" ref="S840">IF(P840="",0,IF(OR(O840=";",P840="EQU",P840="ORG"),0,HlpGetInstructionSize(P840,Q840,R840,$AC$12)))</f>
        <v>0</v>
      </c>
      <c r="V840" s="42" t="str">
        <f t="shared" si="72"/>
        <v/>
      </c>
      <c r="W840" s="16"/>
      <c r="X840" s="28"/>
      <c r="Y840" s="29"/>
      <c r="AA840" s="66"/>
      <c r="AB840" s="11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28"/>
      <c r="AD840" s="129"/>
      <c r="AE840" s="129"/>
      <c r="AF840" s="129"/>
      <c r="AG840" s="129"/>
      <c r="AH840" s="129"/>
      <c r="AI840" s="129"/>
      <c r="AJ840" s="130"/>
    </row>
    <row r="841" spans="11:36">
      <c r="K841" s="76"/>
      <c r="L841" s="48" t="e">
        <f t="shared" ref="L841:L904" si="75">IF(UPPER(P841)="EQU","E",IF(P841="DB","D",IF(O841&lt;&gt;"","L",IF(N841="","F",""))))</f>
        <v>#VALUE!</v>
      </c>
      <c r="M841" s="32" t="str">
        <f t="shared" si="74"/>
        <v/>
      </c>
      <c r="N841" s="63" t="e">
        <f t="shared" si="73"/>
        <v>#VALUE!</v>
      </c>
      <c r="O841" s="86"/>
      <c r="P841" s="223"/>
      <c r="Q841" s="224"/>
      <c r="R841" s="135"/>
      <c r="S841" s="139" cm="1">
        <f t="array" ref="S841">IF(P841="",0,IF(OR(O841=";",P841="EQU",P841="ORG"),0,HlpGetInstructionSize(P841,Q841,R841,$AC$12)))</f>
        <v>0</v>
      </c>
      <c r="V841" s="42" t="str">
        <f t="shared" ref="V841:V904" si="76">IF(W841&gt;0,RIGHT("0000"&amp;DEC2HEX(W841),4),"")</f>
        <v/>
      </c>
      <c r="W841" s="16"/>
      <c r="X841" s="28"/>
      <c r="Y841" s="29"/>
      <c r="AA841" s="66"/>
      <c r="AB841" s="11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28"/>
      <c r="AD841" s="129"/>
      <c r="AE841" s="129"/>
      <c r="AF841" s="129"/>
      <c r="AG841" s="129"/>
      <c r="AH841" s="129"/>
      <c r="AI841" s="129"/>
      <c r="AJ841" s="130"/>
    </row>
    <row r="842" spans="11:36">
      <c r="K842" s="76"/>
      <c r="L842" s="48" t="e">
        <f t="shared" si="75"/>
        <v>#VALUE!</v>
      </c>
      <c r="M842" s="32" t="str">
        <f t="shared" si="74"/>
        <v/>
      </c>
      <c r="N842" s="63" t="e">
        <f t="shared" ref="N842:N905" si="77">N841+S841</f>
        <v>#VALUE!</v>
      </c>
      <c r="O842" s="86"/>
      <c r="P842" s="223"/>
      <c r="Q842" s="224"/>
      <c r="R842" s="135"/>
      <c r="S842" s="139" cm="1">
        <f t="array" ref="S842">IF(P842="",0,IF(OR(O842=";",P842="EQU",P842="ORG"),0,HlpGetInstructionSize(P842,Q842,R842,$AC$12)))</f>
        <v>0</v>
      </c>
      <c r="V842" s="42" t="str">
        <f t="shared" si="76"/>
        <v/>
      </c>
      <c r="W842" s="16"/>
      <c r="X842" s="28"/>
      <c r="Y842" s="29"/>
      <c r="AA842" s="66"/>
      <c r="AB842" s="11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28"/>
      <c r="AD842" s="129"/>
      <c r="AE842" s="129"/>
      <c r="AF842" s="129"/>
      <c r="AG842" s="129"/>
      <c r="AH842" s="129"/>
      <c r="AI842" s="129"/>
      <c r="AJ842" s="130"/>
    </row>
    <row r="843" spans="11:36">
      <c r="K843" s="76"/>
      <c r="L843" s="48" t="e">
        <f t="shared" si="75"/>
        <v>#VALUE!</v>
      </c>
      <c r="M843" s="32" t="str">
        <f t="shared" si="74"/>
        <v/>
      </c>
      <c r="N843" s="63" t="e">
        <f t="shared" si="77"/>
        <v>#VALUE!</v>
      </c>
      <c r="O843" s="86"/>
      <c r="P843" s="223"/>
      <c r="Q843" s="224"/>
      <c r="R843" s="135"/>
      <c r="S843" s="139" cm="1">
        <f t="array" ref="S843">IF(P843="",0,IF(OR(O843=";",P843="EQU",P843="ORG"),0,HlpGetInstructionSize(P843,Q843,R843,$AC$12)))</f>
        <v>0</v>
      </c>
      <c r="V843" s="42" t="str">
        <f t="shared" si="76"/>
        <v/>
      </c>
      <c r="W843" s="16"/>
      <c r="X843" s="28"/>
      <c r="Y843" s="29"/>
      <c r="AA843" s="66"/>
      <c r="AB843" s="11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28"/>
      <c r="AD843" s="129"/>
      <c r="AE843" s="129"/>
      <c r="AF843" s="129"/>
      <c r="AG843" s="129"/>
      <c r="AH843" s="129"/>
      <c r="AI843" s="129"/>
      <c r="AJ843" s="130"/>
    </row>
    <row r="844" spans="11:36">
      <c r="K844" s="76"/>
      <c r="L844" s="48" t="e">
        <f t="shared" si="75"/>
        <v>#VALUE!</v>
      </c>
      <c r="M844" s="32" t="str">
        <f t="shared" si="74"/>
        <v/>
      </c>
      <c r="N844" s="63" t="e">
        <f t="shared" si="77"/>
        <v>#VALUE!</v>
      </c>
      <c r="O844" s="86"/>
      <c r="P844" s="223"/>
      <c r="Q844" s="224"/>
      <c r="R844" s="135"/>
      <c r="S844" s="139" cm="1">
        <f t="array" ref="S844">IF(P844="",0,IF(OR(O844=";",P844="EQU",P844="ORG"),0,HlpGetInstructionSize(P844,Q844,R844,$AC$12)))</f>
        <v>0</v>
      </c>
      <c r="V844" s="42" t="str">
        <f t="shared" si="76"/>
        <v/>
      </c>
      <c r="W844" s="16"/>
      <c r="X844" s="28"/>
      <c r="Y844" s="29"/>
      <c r="AA844" s="66"/>
      <c r="AB844" s="11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28"/>
      <c r="AD844" s="129"/>
      <c r="AE844" s="129"/>
      <c r="AF844" s="129"/>
      <c r="AG844" s="129"/>
      <c r="AH844" s="129"/>
      <c r="AI844" s="129"/>
      <c r="AJ844" s="130"/>
    </row>
    <row r="845" spans="11:36">
      <c r="K845" s="76"/>
      <c r="L845" s="48" t="e">
        <f t="shared" si="75"/>
        <v>#VALUE!</v>
      </c>
      <c r="M845" s="32" t="str">
        <f t="shared" si="74"/>
        <v/>
      </c>
      <c r="N845" s="63" t="e">
        <f t="shared" si="77"/>
        <v>#VALUE!</v>
      </c>
      <c r="O845" s="86"/>
      <c r="P845" s="223"/>
      <c r="Q845" s="224"/>
      <c r="R845" s="135"/>
      <c r="S845" s="139" cm="1">
        <f t="array" ref="S845">IF(P845="",0,IF(OR(O845=";",P845="EQU",P845="ORG"),0,HlpGetInstructionSize(P845,Q845,R845,$AC$12)))</f>
        <v>0</v>
      </c>
      <c r="V845" s="42" t="str">
        <f t="shared" si="76"/>
        <v/>
      </c>
      <c r="W845" s="16"/>
      <c r="X845" s="28"/>
      <c r="Y845" s="29"/>
      <c r="AA845" s="66"/>
      <c r="AB845" s="11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28"/>
      <c r="AD845" s="129"/>
      <c r="AE845" s="129"/>
      <c r="AF845" s="129"/>
      <c r="AG845" s="129"/>
      <c r="AH845" s="129"/>
      <c r="AI845" s="129"/>
      <c r="AJ845" s="130"/>
    </row>
    <row r="846" spans="11:36">
      <c r="K846" s="76"/>
      <c r="L846" s="48" t="e">
        <f t="shared" si="75"/>
        <v>#VALUE!</v>
      </c>
      <c r="M846" s="32" t="str">
        <f t="shared" si="74"/>
        <v/>
      </c>
      <c r="N846" s="63" t="e">
        <f t="shared" si="77"/>
        <v>#VALUE!</v>
      </c>
      <c r="O846" s="86"/>
      <c r="P846" s="223"/>
      <c r="Q846" s="224"/>
      <c r="R846" s="135"/>
      <c r="S846" s="139" cm="1">
        <f t="array" ref="S846">IF(P846="",0,IF(OR(O846=";",P846="EQU",P846="ORG"),0,HlpGetInstructionSize(P846,Q846,R846,$AC$12)))</f>
        <v>0</v>
      </c>
      <c r="V846" s="42" t="str">
        <f t="shared" si="76"/>
        <v/>
      </c>
      <c r="W846" s="16"/>
      <c r="X846" s="28"/>
      <c r="Y846" s="29"/>
      <c r="AA846" s="66"/>
      <c r="AB846" s="11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28"/>
      <c r="AD846" s="129"/>
      <c r="AE846" s="129"/>
      <c r="AF846" s="129"/>
      <c r="AG846" s="129"/>
      <c r="AH846" s="129"/>
      <c r="AI846" s="129"/>
      <c r="AJ846" s="130"/>
    </row>
    <row r="847" spans="11:36">
      <c r="K847" s="76"/>
      <c r="L847" s="48" t="e">
        <f t="shared" si="75"/>
        <v>#VALUE!</v>
      </c>
      <c r="M847" s="32" t="str">
        <f t="shared" si="74"/>
        <v/>
      </c>
      <c r="N847" s="63" t="e">
        <f t="shared" si="77"/>
        <v>#VALUE!</v>
      </c>
      <c r="O847" s="86"/>
      <c r="P847" s="223"/>
      <c r="Q847" s="224"/>
      <c r="R847" s="135"/>
      <c r="S847" s="139" cm="1">
        <f t="array" ref="S847">IF(P847="",0,IF(OR(O847=";",P847="EQU",P847="ORG"),0,HlpGetInstructionSize(P847,Q847,R847,$AC$12)))</f>
        <v>0</v>
      </c>
      <c r="V847" s="42" t="str">
        <f t="shared" si="76"/>
        <v/>
      </c>
      <c r="W847" s="16"/>
      <c r="X847" s="28"/>
      <c r="Y847" s="29"/>
      <c r="AA847" s="66"/>
      <c r="AB847" s="11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28"/>
      <c r="AD847" s="129"/>
      <c r="AE847" s="129"/>
      <c r="AF847" s="129"/>
      <c r="AG847" s="129"/>
      <c r="AH847" s="129"/>
      <c r="AI847" s="129"/>
      <c r="AJ847" s="130"/>
    </row>
    <row r="848" spans="11:36">
      <c r="K848" s="76"/>
      <c r="L848" s="48" t="e">
        <f t="shared" si="75"/>
        <v>#VALUE!</v>
      </c>
      <c r="M848" s="32" t="str">
        <f t="shared" si="74"/>
        <v/>
      </c>
      <c r="N848" s="63" t="e">
        <f t="shared" si="77"/>
        <v>#VALUE!</v>
      </c>
      <c r="O848" s="86"/>
      <c r="P848" s="223"/>
      <c r="Q848" s="224"/>
      <c r="R848" s="135"/>
      <c r="S848" s="139" cm="1">
        <f t="array" ref="S848">IF(P848="",0,IF(OR(O848=";",P848="EQU",P848="ORG"),0,HlpGetInstructionSize(P848,Q848,R848,$AC$12)))</f>
        <v>0</v>
      </c>
      <c r="V848" s="42" t="str">
        <f t="shared" si="76"/>
        <v/>
      </c>
      <c r="W848" s="16"/>
      <c r="X848" s="28"/>
      <c r="Y848" s="29"/>
      <c r="AA848" s="66"/>
      <c r="AB848" s="11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28"/>
      <c r="AD848" s="129"/>
      <c r="AE848" s="129"/>
      <c r="AF848" s="129"/>
      <c r="AG848" s="129"/>
      <c r="AH848" s="129"/>
      <c r="AI848" s="129"/>
      <c r="AJ848" s="130"/>
    </row>
    <row r="849" spans="11:36">
      <c r="K849" s="76"/>
      <c r="L849" s="48" t="e">
        <f t="shared" si="75"/>
        <v>#VALUE!</v>
      </c>
      <c r="M849" s="32" t="str">
        <f t="shared" si="74"/>
        <v/>
      </c>
      <c r="N849" s="63" t="e">
        <f t="shared" si="77"/>
        <v>#VALUE!</v>
      </c>
      <c r="O849" s="86"/>
      <c r="P849" s="223"/>
      <c r="Q849" s="224"/>
      <c r="R849" s="135"/>
      <c r="S849" s="139" cm="1">
        <f t="array" ref="S849">IF(P849="",0,IF(OR(O849=";",P849="EQU",P849="ORG"),0,HlpGetInstructionSize(P849,Q849,R849,$AC$12)))</f>
        <v>0</v>
      </c>
      <c r="V849" s="42" t="str">
        <f t="shared" si="76"/>
        <v/>
      </c>
      <c r="W849" s="16"/>
      <c r="X849" s="28"/>
      <c r="Y849" s="29"/>
      <c r="AA849" s="66"/>
      <c r="AB849" s="11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28"/>
      <c r="AD849" s="129"/>
      <c r="AE849" s="129"/>
      <c r="AF849" s="129"/>
      <c r="AG849" s="129"/>
      <c r="AH849" s="129"/>
      <c r="AI849" s="129"/>
      <c r="AJ849" s="130"/>
    </row>
    <row r="850" spans="11:36">
      <c r="K850" s="76"/>
      <c r="L850" s="48" t="e">
        <f t="shared" si="75"/>
        <v>#VALUE!</v>
      </c>
      <c r="M850" s="32" t="str">
        <f t="shared" si="74"/>
        <v/>
      </c>
      <c r="N850" s="63" t="e">
        <f t="shared" si="77"/>
        <v>#VALUE!</v>
      </c>
      <c r="O850" s="86"/>
      <c r="P850" s="223"/>
      <c r="Q850" s="224"/>
      <c r="R850" s="135"/>
      <c r="S850" s="139" cm="1">
        <f t="array" ref="S850">IF(P850="",0,IF(OR(O850=";",P850="EQU",P850="ORG"),0,HlpGetInstructionSize(P850,Q850,R850,$AC$12)))</f>
        <v>0</v>
      </c>
      <c r="V850" s="42" t="str">
        <f t="shared" si="76"/>
        <v/>
      </c>
      <c r="W850" s="16"/>
      <c r="X850" s="28"/>
      <c r="Y850" s="29"/>
      <c r="AA850" s="66"/>
      <c r="AB850" s="11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28"/>
      <c r="AD850" s="129"/>
      <c r="AE850" s="129"/>
      <c r="AF850" s="129"/>
      <c r="AG850" s="129"/>
      <c r="AH850" s="129"/>
      <c r="AI850" s="129"/>
      <c r="AJ850" s="130"/>
    </row>
    <row r="851" spans="11:36">
      <c r="K851" s="76"/>
      <c r="L851" s="48" t="e">
        <f t="shared" si="75"/>
        <v>#VALUE!</v>
      </c>
      <c r="M851" s="32" t="str">
        <f t="shared" si="74"/>
        <v/>
      </c>
      <c r="N851" s="63" t="e">
        <f t="shared" si="77"/>
        <v>#VALUE!</v>
      </c>
      <c r="O851" s="86"/>
      <c r="P851" s="223"/>
      <c r="Q851" s="224"/>
      <c r="R851" s="135"/>
      <c r="S851" s="139" cm="1">
        <f t="array" ref="S851">IF(P851="",0,IF(OR(O851=";",P851="EQU",P851="ORG"),0,HlpGetInstructionSize(P851,Q851,R851,$AC$12)))</f>
        <v>0</v>
      </c>
      <c r="V851" s="42" t="str">
        <f t="shared" si="76"/>
        <v/>
      </c>
      <c r="W851" s="16"/>
      <c r="X851" s="28"/>
      <c r="Y851" s="29"/>
      <c r="AA851" s="66"/>
      <c r="AB851" s="11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28"/>
      <c r="AD851" s="129"/>
      <c r="AE851" s="129"/>
      <c r="AF851" s="129"/>
      <c r="AG851" s="129"/>
      <c r="AH851" s="129"/>
      <c r="AI851" s="129"/>
      <c r="AJ851" s="130"/>
    </row>
    <row r="852" spans="11:36">
      <c r="K852" s="76"/>
      <c r="L852" s="48" t="e">
        <f t="shared" si="75"/>
        <v>#VALUE!</v>
      </c>
      <c r="M852" s="32" t="str">
        <f t="shared" si="74"/>
        <v/>
      </c>
      <c r="N852" s="63" t="e">
        <f t="shared" si="77"/>
        <v>#VALUE!</v>
      </c>
      <c r="O852" s="86"/>
      <c r="P852" s="223"/>
      <c r="Q852" s="224"/>
      <c r="R852" s="135"/>
      <c r="S852" s="139" cm="1">
        <f t="array" ref="S852">IF(P852="",0,IF(OR(O852=";",P852="EQU",P852="ORG"),0,HlpGetInstructionSize(P852,Q852,R852,$AC$12)))</f>
        <v>0</v>
      </c>
      <c r="V852" s="42" t="str">
        <f t="shared" si="76"/>
        <v/>
      </c>
      <c r="W852" s="16"/>
      <c r="X852" s="28"/>
      <c r="Y852" s="29"/>
      <c r="AA852" s="66"/>
      <c r="AB852" s="11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28"/>
      <c r="AD852" s="129"/>
      <c r="AE852" s="129"/>
      <c r="AF852" s="129"/>
      <c r="AG852" s="129"/>
      <c r="AH852" s="129"/>
      <c r="AI852" s="129"/>
      <c r="AJ852" s="130"/>
    </row>
    <row r="853" spans="11:36">
      <c r="K853" s="76"/>
      <c r="L853" s="48" t="e">
        <f t="shared" si="75"/>
        <v>#VALUE!</v>
      </c>
      <c r="M853" s="32" t="str">
        <f t="shared" si="74"/>
        <v/>
      </c>
      <c r="N853" s="63" t="e">
        <f t="shared" si="77"/>
        <v>#VALUE!</v>
      </c>
      <c r="O853" s="86"/>
      <c r="P853" s="223"/>
      <c r="Q853" s="224"/>
      <c r="R853" s="135"/>
      <c r="S853" s="139" cm="1">
        <f t="array" ref="S853">IF(P853="",0,IF(OR(O853=";",P853="EQU",P853="ORG"),0,HlpGetInstructionSize(P853,Q853,R853,$AC$12)))</f>
        <v>0</v>
      </c>
      <c r="V853" s="42" t="str">
        <f t="shared" si="76"/>
        <v/>
      </c>
      <c r="W853" s="16"/>
      <c r="X853" s="28"/>
      <c r="Y853" s="29"/>
      <c r="AA853" s="66"/>
      <c r="AB853" s="11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28"/>
      <c r="AD853" s="129"/>
      <c r="AE853" s="129"/>
      <c r="AF853" s="129"/>
      <c r="AG853" s="129"/>
      <c r="AH853" s="129"/>
      <c r="AI853" s="129"/>
      <c r="AJ853" s="130"/>
    </row>
    <row r="854" spans="11:36">
      <c r="K854" s="76"/>
      <c r="L854" s="48" t="e">
        <f t="shared" si="75"/>
        <v>#VALUE!</v>
      </c>
      <c r="M854" s="32" t="str">
        <f t="shared" si="74"/>
        <v/>
      </c>
      <c r="N854" s="63" t="e">
        <f t="shared" si="77"/>
        <v>#VALUE!</v>
      </c>
      <c r="O854" s="86"/>
      <c r="P854" s="223"/>
      <c r="Q854" s="224"/>
      <c r="R854" s="135"/>
      <c r="S854" s="139" cm="1">
        <f t="array" ref="S854">IF(P854="",0,IF(OR(O854=";",P854="EQU",P854="ORG"),0,HlpGetInstructionSize(P854,Q854,R854,$AC$12)))</f>
        <v>0</v>
      </c>
      <c r="V854" s="42" t="str">
        <f t="shared" si="76"/>
        <v/>
      </c>
      <c r="W854" s="16"/>
      <c r="X854" s="28"/>
      <c r="Y854" s="29"/>
      <c r="AA854" s="66"/>
      <c r="AB854" s="11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28"/>
      <c r="AD854" s="129"/>
      <c r="AE854" s="129"/>
      <c r="AF854" s="129"/>
      <c r="AG854" s="129"/>
      <c r="AH854" s="129"/>
      <c r="AI854" s="129"/>
      <c r="AJ854" s="130"/>
    </row>
    <row r="855" spans="11:36">
      <c r="K855" s="76"/>
      <c r="L855" s="48" t="e">
        <f t="shared" si="75"/>
        <v>#VALUE!</v>
      </c>
      <c r="M855" s="32" t="str">
        <f t="shared" si="74"/>
        <v/>
      </c>
      <c r="N855" s="63" t="e">
        <f t="shared" si="77"/>
        <v>#VALUE!</v>
      </c>
      <c r="O855" s="86"/>
      <c r="P855" s="223"/>
      <c r="Q855" s="224"/>
      <c r="R855" s="135"/>
      <c r="S855" s="139" cm="1">
        <f t="array" ref="S855">IF(P855="",0,IF(OR(O855=";",P855="EQU",P855="ORG"),0,HlpGetInstructionSize(P855,Q855,R855,$AC$12)))</f>
        <v>0</v>
      </c>
      <c r="V855" s="42" t="str">
        <f t="shared" si="76"/>
        <v/>
      </c>
      <c r="W855" s="16"/>
      <c r="X855" s="28"/>
      <c r="Y855" s="29"/>
      <c r="AA855" s="66"/>
      <c r="AB855" s="11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28"/>
      <c r="AD855" s="129"/>
      <c r="AE855" s="129"/>
      <c r="AF855" s="129"/>
      <c r="AG855" s="129"/>
      <c r="AH855" s="129"/>
      <c r="AI855" s="129"/>
      <c r="AJ855" s="130"/>
    </row>
    <row r="856" spans="11:36">
      <c r="K856" s="76"/>
      <c r="L856" s="48" t="e">
        <f t="shared" si="75"/>
        <v>#VALUE!</v>
      </c>
      <c r="M856" s="32" t="str">
        <f t="shared" si="74"/>
        <v/>
      </c>
      <c r="N856" s="63" t="e">
        <f t="shared" si="77"/>
        <v>#VALUE!</v>
      </c>
      <c r="O856" s="86"/>
      <c r="P856" s="223"/>
      <c r="Q856" s="224"/>
      <c r="R856" s="135"/>
      <c r="S856" s="139" cm="1">
        <f t="array" ref="S856">IF(P856="",0,IF(OR(O856=";",P856="EQU",P856="ORG"),0,HlpGetInstructionSize(P856,Q856,R856,$AC$12)))</f>
        <v>0</v>
      </c>
      <c r="V856" s="42" t="str">
        <f t="shared" si="76"/>
        <v/>
      </c>
      <c r="W856" s="16"/>
      <c r="X856" s="28"/>
      <c r="Y856" s="29"/>
      <c r="AA856" s="66"/>
      <c r="AB856" s="11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28"/>
      <c r="AD856" s="129"/>
      <c r="AE856" s="129"/>
      <c r="AF856" s="129"/>
      <c r="AG856" s="129"/>
      <c r="AH856" s="129"/>
      <c r="AI856" s="129"/>
      <c r="AJ856" s="130"/>
    </row>
    <row r="857" spans="11:36">
      <c r="K857" s="76"/>
      <c r="L857" s="48" t="e">
        <f t="shared" si="75"/>
        <v>#VALUE!</v>
      </c>
      <c r="M857" s="32" t="str">
        <f t="shared" si="74"/>
        <v/>
      </c>
      <c r="N857" s="63" t="e">
        <f t="shared" si="77"/>
        <v>#VALUE!</v>
      </c>
      <c r="O857" s="86"/>
      <c r="P857" s="223"/>
      <c r="Q857" s="224"/>
      <c r="R857" s="135"/>
      <c r="S857" s="139" cm="1">
        <f t="array" ref="S857">IF(P857="",0,IF(OR(O857=";",P857="EQU",P857="ORG"),0,HlpGetInstructionSize(P857,Q857,R857,$AC$12)))</f>
        <v>0</v>
      </c>
      <c r="V857" s="42" t="str">
        <f t="shared" si="76"/>
        <v/>
      </c>
      <c r="W857" s="16"/>
      <c r="X857" s="28"/>
      <c r="Y857" s="29"/>
      <c r="AA857" s="66"/>
      <c r="AB857" s="11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28"/>
      <c r="AD857" s="129"/>
      <c r="AE857" s="129"/>
      <c r="AF857" s="129"/>
      <c r="AG857" s="129"/>
      <c r="AH857" s="129"/>
      <c r="AI857" s="129"/>
      <c r="AJ857" s="130"/>
    </row>
    <row r="858" spans="11:36">
      <c r="K858" s="76"/>
      <c r="L858" s="48" t="e">
        <f t="shared" si="75"/>
        <v>#VALUE!</v>
      </c>
      <c r="M858" s="32" t="str">
        <f t="shared" si="74"/>
        <v/>
      </c>
      <c r="N858" s="63" t="e">
        <f t="shared" si="77"/>
        <v>#VALUE!</v>
      </c>
      <c r="O858" s="86"/>
      <c r="P858" s="223"/>
      <c r="Q858" s="224"/>
      <c r="R858" s="135"/>
      <c r="S858" s="139" cm="1">
        <f t="array" ref="S858">IF(P858="",0,IF(OR(O858=";",P858="EQU",P858="ORG"),0,HlpGetInstructionSize(P858,Q858,R858,$AC$12)))</f>
        <v>0</v>
      </c>
      <c r="V858" s="42" t="str">
        <f t="shared" si="76"/>
        <v/>
      </c>
      <c r="W858" s="16"/>
      <c r="X858" s="28"/>
      <c r="Y858" s="29"/>
      <c r="AA858" s="66"/>
      <c r="AB858" s="11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28"/>
      <c r="AD858" s="129"/>
      <c r="AE858" s="129"/>
      <c r="AF858" s="129"/>
      <c r="AG858" s="129"/>
      <c r="AH858" s="129"/>
      <c r="AI858" s="129"/>
      <c r="AJ858" s="130"/>
    </row>
    <row r="859" spans="11:36">
      <c r="K859" s="76"/>
      <c r="L859" s="48" t="e">
        <f t="shared" si="75"/>
        <v>#VALUE!</v>
      </c>
      <c r="M859" s="32" t="str">
        <f t="shared" si="74"/>
        <v/>
      </c>
      <c r="N859" s="63" t="e">
        <f t="shared" si="77"/>
        <v>#VALUE!</v>
      </c>
      <c r="O859" s="86"/>
      <c r="P859" s="223"/>
      <c r="Q859" s="224"/>
      <c r="R859" s="135"/>
      <c r="S859" s="139" cm="1">
        <f t="array" ref="S859">IF(P859="",0,IF(OR(O859=";",P859="EQU",P859="ORG"),0,HlpGetInstructionSize(P859,Q859,R859,$AC$12)))</f>
        <v>0</v>
      </c>
      <c r="V859" s="42" t="str">
        <f t="shared" si="76"/>
        <v/>
      </c>
      <c r="W859" s="16"/>
      <c r="X859" s="28"/>
      <c r="Y859" s="29"/>
      <c r="AA859" s="66"/>
      <c r="AB859" s="11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28"/>
      <c r="AD859" s="129"/>
      <c r="AE859" s="129"/>
      <c r="AF859" s="129"/>
      <c r="AG859" s="129"/>
      <c r="AH859" s="129"/>
      <c r="AI859" s="129"/>
      <c r="AJ859" s="130"/>
    </row>
    <row r="860" spans="11:36">
      <c r="K860" s="76"/>
      <c r="L860" s="48" t="e">
        <f t="shared" si="75"/>
        <v>#VALUE!</v>
      </c>
      <c r="M860" s="32" t="str">
        <f t="shared" si="74"/>
        <v/>
      </c>
      <c r="N860" s="63" t="e">
        <f t="shared" si="77"/>
        <v>#VALUE!</v>
      </c>
      <c r="O860" s="86"/>
      <c r="P860" s="223"/>
      <c r="Q860" s="224"/>
      <c r="R860" s="135"/>
      <c r="S860" s="139" cm="1">
        <f t="array" ref="S860">IF(P860="",0,IF(OR(O860=";",P860="EQU",P860="ORG"),0,HlpGetInstructionSize(P860,Q860,R860,$AC$12)))</f>
        <v>0</v>
      </c>
      <c r="V860" s="42" t="str">
        <f t="shared" si="76"/>
        <v/>
      </c>
      <c r="W860" s="16"/>
      <c r="X860" s="28"/>
      <c r="Y860" s="29"/>
      <c r="AA860" s="66"/>
      <c r="AB860" s="11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28"/>
      <c r="AD860" s="129"/>
      <c r="AE860" s="129"/>
      <c r="AF860" s="129"/>
      <c r="AG860" s="129"/>
      <c r="AH860" s="129"/>
      <c r="AI860" s="129"/>
      <c r="AJ860" s="130"/>
    </row>
    <row r="861" spans="11:36">
      <c r="K861" s="76"/>
      <c r="L861" s="48" t="e">
        <f t="shared" si="75"/>
        <v>#VALUE!</v>
      </c>
      <c r="M861" s="32" t="str">
        <f t="shared" ref="M861:M924" si="78">IFERROR(RIGHT("0000"&amp;DEC2HEX(N861),4),"")</f>
        <v/>
      </c>
      <c r="N861" s="63" t="e">
        <f t="shared" si="77"/>
        <v>#VALUE!</v>
      </c>
      <c r="O861" s="86"/>
      <c r="P861" s="223"/>
      <c r="Q861" s="224"/>
      <c r="R861" s="135"/>
      <c r="S861" s="139" cm="1">
        <f t="array" ref="S861">IF(P861="",0,IF(OR(O861=";",P861="EQU",P861="ORG"),0,HlpGetInstructionSize(P861,Q861,R861,$AC$12)))</f>
        <v>0</v>
      </c>
      <c r="V861" s="42" t="str">
        <f t="shared" si="76"/>
        <v/>
      </c>
      <c r="W861" s="16"/>
      <c r="X861" s="28"/>
      <c r="Y861" s="29"/>
      <c r="AA861" s="66"/>
      <c r="AB861" s="11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28"/>
      <c r="AD861" s="129"/>
      <c r="AE861" s="129"/>
      <c r="AF861" s="129"/>
      <c r="AG861" s="129"/>
      <c r="AH861" s="129"/>
      <c r="AI861" s="129"/>
      <c r="AJ861" s="130"/>
    </row>
    <row r="862" spans="11:36">
      <c r="K862" s="76"/>
      <c r="L862" s="48" t="e">
        <f t="shared" si="75"/>
        <v>#VALUE!</v>
      </c>
      <c r="M862" s="32" t="str">
        <f t="shared" si="78"/>
        <v/>
      </c>
      <c r="N862" s="63" t="e">
        <f t="shared" si="77"/>
        <v>#VALUE!</v>
      </c>
      <c r="O862" s="86"/>
      <c r="P862" s="223"/>
      <c r="Q862" s="224"/>
      <c r="R862" s="135"/>
      <c r="S862" s="139" cm="1">
        <f t="array" ref="S862">IF(P862="",0,IF(OR(O862=";",P862="EQU",P862="ORG"),0,HlpGetInstructionSize(P862,Q862,R862,$AC$12)))</f>
        <v>0</v>
      </c>
      <c r="V862" s="42" t="str">
        <f t="shared" si="76"/>
        <v/>
      </c>
      <c r="W862" s="16"/>
      <c r="X862" s="28"/>
      <c r="Y862" s="29"/>
      <c r="AA862" s="66"/>
      <c r="AB862" s="11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28"/>
      <c r="AD862" s="129"/>
      <c r="AE862" s="129"/>
      <c r="AF862" s="129"/>
      <c r="AG862" s="129"/>
      <c r="AH862" s="129"/>
      <c r="AI862" s="129"/>
      <c r="AJ862" s="130"/>
    </row>
    <row r="863" spans="11:36">
      <c r="K863" s="76"/>
      <c r="L863" s="48" t="e">
        <f t="shared" si="75"/>
        <v>#VALUE!</v>
      </c>
      <c r="M863" s="32" t="str">
        <f t="shared" si="78"/>
        <v/>
      </c>
      <c r="N863" s="63" t="e">
        <f t="shared" si="77"/>
        <v>#VALUE!</v>
      </c>
      <c r="O863" s="86"/>
      <c r="P863" s="223"/>
      <c r="Q863" s="224"/>
      <c r="R863" s="135"/>
      <c r="S863" s="139" cm="1">
        <f t="array" ref="S863">IF(P863="",0,IF(OR(O863=";",P863="EQU",P863="ORG"),0,HlpGetInstructionSize(P863,Q863,R863,$AC$12)))</f>
        <v>0</v>
      </c>
      <c r="V863" s="42" t="str">
        <f t="shared" si="76"/>
        <v/>
      </c>
      <c r="W863" s="16"/>
      <c r="X863" s="28"/>
      <c r="Y863" s="29"/>
      <c r="AA863" s="66"/>
      <c r="AB863" s="11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28"/>
      <c r="AD863" s="129"/>
      <c r="AE863" s="129"/>
      <c r="AF863" s="129"/>
      <c r="AG863" s="129"/>
      <c r="AH863" s="129"/>
      <c r="AI863" s="129"/>
      <c r="AJ863" s="130"/>
    </row>
    <row r="864" spans="11:36">
      <c r="K864" s="76"/>
      <c r="L864" s="48" t="e">
        <f t="shared" si="75"/>
        <v>#VALUE!</v>
      </c>
      <c r="M864" s="32" t="str">
        <f t="shared" si="78"/>
        <v/>
      </c>
      <c r="N864" s="63" t="e">
        <f t="shared" si="77"/>
        <v>#VALUE!</v>
      </c>
      <c r="O864" s="86"/>
      <c r="P864" s="223"/>
      <c r="Q864" s="224"/>
      <c r="R864" s="135"/>
      <c r="S864" s="139" cm="1">
        <f t="array" ref="S864">IF(P864="",0,IF(OR(O864=";",P864="EQU",P864="ORG"),0,HlpGetInstructionSize(P864,Q864,R864,$AC$12)))</f>
        <v>0</v>
      </c>
      <c r="V864" s="42" t="str">
        <f t="shared" si="76"/>
        <v/>
      </c>
      <c r="W864" s="16"/>
      <c r="X864" s="28"/>
      <c r="Y864" s="29"/>
      <c r="AA864" s="66"/>
      <c r="AB864" s="11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28"/>
      <c r="AD864" s="129"/>
      <c r="AE864" s="129"/>
      <c r="AF864" s="129"/>
      <c r="AG864" s="129"/>
      <c r="AH864" s="129"/>
      <c r="AI864" s="129"/>
      <c r="AJ864" s="130"/>
    </row>
    <row r="865" spans="11:36">
      <c r="K865" s="76"/>
      <c r="L865" s="48" t="e">
        <f t="shared" si="75"/>
        <v>#VALUE!</v>
      </c>
      <c r="M865" s="32" t="str">
        <f t="shared" si="78"/>
        <v/>
      </c>
      <c r="N865" s="63" t="e">
        <f t="shared" si="77"/>
        <v>#VALUE!</v>
      </c>
      <c r="O865" s="86"/>
      <c r="P865" s="223"/>
      <c r="Q865" s="224"/>
      <c r="R865" s="135"/>
      <c r="S865" s="139" cm="1">
        <f t="array" ref="S865">IF(P865="",0,IF(OR(O865=";",P865="EQU",P865="ORG"),0,HlpGetInstructionSize(P865,Q865,R865,$AC$12)))</f>
        <v>0</v>
      </c>
      <c r="V865" s="42" t="str">
        <f t="shared" si="76"/>
        <v/>
      </c>
      <c r="W865" s="16"/>
      <c r="X865" s="28"/>
      <c r="Y865" s="29"/>
      <c r="AA865" s="66"/>
      <c r="AB865" s="11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28"/>
      <c r="AD865" s="129"/>
      <c r="AE865" s="129"/>
      <c r="AF865" s="129"/>
      <c r="AG865" s="129"/>
      <c r="AH865" s="129"/>
      <c r="AI865" s="129"/>
      <c r="AJ865" s="130"/>
    </row>
    <row r="866" spans="11:36">
      <c r="K866" s="76"/>
      <c r="L866" s="48" t="e">
        <f t="shared" si="75"/>
        <v>#VALUE!</v>
      </c>
      <c r="M866" s="32" t="str">
        <f t="shared" si="78"/>
        <v/>
      </c>
      <c r="N866" s="63" t="e">
        <f t="shared" si="77"/>
        <v>#VALUE!</v>
      </c>
      <c r="O866" s="86"/>
      <c r="P866" s="223"/>
      <c r="Q866" s="224"/>
      <c r="R866" s="135"/>
      <c r="S866" s="139" cm="1">
        <f t="array" ref="S866">IF(P866="",0,IF(OR(O866=";",P866="EQU",P866="ORG"),0,HlpGetInstructionSize(P866,Q866,R866,$AC$12)))</f>
        <v>0</v>
      </c>
      <c r="V866" s="42" t="str">
        <f t="shared" si="76"/>
        <v/>
      </c>
      <c r="W866" s="16"/>
      <c r="X866" s="28"/>
      <c r="Y866" s="29"/>
      <c r="AA866" s="66"/>
      <c r="AB866" s="11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28"/>
      <c r="AD866" s="129"/>
      <c r="AE866" s="129"/>
      <c r="AF866" s="129"/>
      <c r="AG866" s="129"/>
      <c r="AH866" s="129"/>
      <c r="AI866" s="129"/>
      <c r="AJ866" s="130"/>
    </row>
    <row r="867" spans="11:36">
      <c r="K867" s="76"/>
      <c r="L867" s="48" t="e">
        <f t="shared" si="75"/>
        <v>#VALUE!</v>
      </c>
      <c r="M867" s="32" t="str">
        <f t="shared" si="78"/>
        <v/>
      </c>
      <c r="N867" s="63" t="e">
        <f t="shared" si="77"/>
        <v>#VALUE!</v>
      </c>
      <c r="O867" s="86"/>
      <c r="P867" s="223"/>
      <c r="Q867" s="224"/>
      <c r="R867" s="135"/>
      <c r="S867" s="139" cm="1">
        <f t="array" ref="S867">IF(P867="",0,IF(OR(O867=";",P867="EQU",P867="ORG"),0,HlpGetInstructionSize(P867,Q867,R867,$AC$12)))</f>
        <v>0</v>
      </c>
      <c r="V867" s="42" t="str">
        <f t="shared" si="76"/>
        <v/>
      </c>
      <c r="W867" s="16"/>
      <c r="X867" s="28"/>
      <c r="Y867" s="29"/>
      <c r="AA867" s="66"/>
      <c r="AB867" s="11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28"/>
      <c r="AD867" s="129"/>
      <c r="AE867" s="129"/>
      <c r="AF867" s="129"/>
      <c r="AG867" s="129"/>
      <c r="AH867" s="129"/>
      <c r="AI867" s="129"/>
      <c r="AJ867" s="130"/>
    </row>
    <row r="868" spans="11:36">
      <c r="K868" s="76"/>
      <c r="L868" s="48" t="e">
        <f t="shared" si="75"/>
        <v>#VALUE!</v>
      </c>
      <c r="M868" s="32" t="str">
        <f t="shared" si="78"/>
        <v/>
      </c>
      <c r="N868" s="63" t="e">
        <f t="shared" si="77"/>
        <v>#VALUE!</v>
      </c>
      <c r="O868" s="86"/>
      <c r="P868" s="223"/>
      <c r="Q868" s="224"/>
      <c r="R868" s="135"/>
      <c r="S868" s="139" cm="1">
        <f t="array" ref="S868">IF(P868="",0,IF(OR(O868=";",P868="EQU",P868="ORG"),0,HlpGetInstructionSize(P868,Q868,R868,$AC$12)))</f>
        <v>0</v>
      </c>
      <c r="V868" s="42" t="str">
        <f t="shared" si="76"/>
        <v/>
      </c>
      <c r="W868" s="16"/>
      <c r="X868" s="28"/>
      <c r="Y868" s="29"/>
      <c r="AA868" s="66"/>
      <c r="AB868" s="11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28"/>
      <c r="AD868" s="129"/>
      <c r="AE868" s="129"/>
      <c r="AF868" s="129"/>
      <c r="AG868" s="129"/>
      <c r="AH868" s="129"/>
      <c r="AI868" s="129"/>
      <c r="AJ868" s="130"/>
    </row>
    <row r="869" spans="11:36">
      <c r="K869" s="76"/>
      <c r="L869" s="48" t="e">
        <f t="shared" si="75"/>
        <v>#VALUE!</v>
      </c>
      <c r="M869" s="32" t="str">
        <f t="shared" si="78"/>
        <v/>
      </c>
      <c r="N869" s="63" t="e">
        <f t="shared" si="77"/>
        <v>#VALUE!</v>
      </c>
      <c r="O869" s="86"/>
      <c r="P869" s="223"/>
      <c r="Q869" s="224"/>
      <c r="R869" s="135"/>
      <c r="S869" s="139" cm="1">
        <f t="array" ref="S869">IF(P869="",0,IF(OR(O869=";",P869="EQU",P869="ORG"),0,HlpGetInstructionSize(P869,Q869,R869,$AC$12)))</f>
        <v>0</v>
      </c>
      <c r="V869" s="42" t="str">
        <f t="shared" si="76"/>
        <v/>
      </c>
      <c r="W869" s="16"/>
      <c r="X869" s="28"/>
      <c r="Y869" s="29"/>
      <c r="AA869" s="66"/>
      <c r="AB869" s="11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28"/>
      <c r="AD869" s="129"/>
      <c r="AE869" s="129"/>
      <c r="AF869" s="129"/>
      <c r="AG869" s="129"/>
      <c r="AH869" s="129"/>
      <c r="AI869" s="129"/>
      <c r="AJ869" s="130"/>
    </row>
    <row r="870" spans="11:36">
      <c r="K870" s="76"/>
      <c r="L870" s="48" t="e">
        <f t="shared" si="75"/>
        <v>#VALUE!</v>
      </c>
      <c r="M870" s="32" t="str">
        <f t="shared" si="78"/>
        <v/>
      </c>
      <c r="N870" s="63" t="e">
        <f t="shared" si="77"/>
        <v>#VALUE!</v>
      </c>
      <c r="O870" s="86"/>
      <c r="P870" s="223"/>
      <c r="Q870" s="224"/>
      <c r="R870" s="135"/>
      <c r="S870" s="139" cm="1">
        <f t="array" ref="S870">IF(P870="",0,IF(OR(O870=";",P870="EQU",P870="ORG"),0,HlpGetInstructionSize(P870,Q870,R870,$AC$12)))</f>
        <v>0</v>
      </c>
      <c r="V870" s="42" t="str">
        <f t="shared" si="76"/>
        <v/>
      </c>
      <c r="W870" s="16"/>
      <c r="X870" s="28"/>
      <c r="Y870" s="29"/>
      <c r="AA870" s="66"/>
      <c r="AB870" s="11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28"/>
      <c r="AD870" s="129"/>
      <c r="AE870" s="129"/>
      <c r="AF870" s="129"/>
      <c r="AG870" s="129"/>
      <c r="AH870" s="129"/>
      <c r="AI870" s="129"/>
      <c r="AJ870" s="130"/>
    </row>
    <row r="871" spans="11:36">
      <c r="K871" s="76"/>
      <c r="L871" s="48" t="e">
        <f t="shared" si="75"/>
        <v>#VALUE!</v>
      </c>
      <c r="M871" s="32" t="str">
        <f t="shared" si="78"/>
        <v/>
      </c>
      <c r="N871" s="63" t="e">
        <f t="shared" si="77"/>
        <v>#VALUE!</v>
      </c>
      <c r="O871" s="86"/>
      <c r="P871" s="223"/>
      <c r="Q871" s="224"/>
      <c r="R871" s="135"/>
      <c r="S871" s="139" cm="1">
        <f t="array" ref="S871">IF(P871="",0,IF(OR(O871=";",P871="EQU",P871="ORG"),0,HlpGetInstructionSize(P871,Q871,R871,$AC$12)))</f>
        <v>0</v>
      </c>
      <c r="V871" s="42" t="str">
        <f t="shared" si="76"/>
        <v/>
      </c>
      <c r="W871" s="16"/>
      <c r="X871" s="28"/>
      <c r="Y871" s="29"/>
      <c r="AA871" s="66"/>
      <c r="AB871" s="11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28"/>
      <c r="AD871" s="129"/>
      <c r="AE871" s="129"/>
      <c r="AF871" s="129"/>
      <c r="AG871" s="129"/>
      <c r="AH871" s="129"/>
      <c r="AI871" s="129"/>
      <c r="AJ871" s="130"/>
    </row>
    <row r="872" spans="11:36">
      <c r="K872" s="76"/>
      <c r="L872" s="48" t="e">
        <f t="shared" si="75"/>
        <v>#VALUE!</v>
      </c>
      <c r="M872" s="32" t="str">
        <f t="shared" si="78"/>
        <v/>
      </c>
      <c r="N872" s="63" t="e">
        <f t="shared" si="77"/>
        <v>#VALUE!</v>
      </c>
      <c r="O872" s="86"/>
      <c r="P872" s="223"/>
      <c r="Q872" s="224"/>
      <c r="R872" s="135"/>
      <c r="S872" s="139" cm="1">
        <f t="array" ref="S872">IF(P872="",0,IF(OR(O872=";",P872="EQU",P872="ORG"),0,HlpGetInstructionSize(P872,Q872,R872,$AC$12)))</f>
        <v>0</v>
      </c>
      <c r="V872" s="42" t="str">
        <f t="shared" si="76"/>
        <v/>
      </c>
      <c r="W872" s="16"/>
      <c r="X872" s="28"/>
      <c r="Y872" s="29"/>
      <c r="AA872" s="66"/>
      <c r="AB872" s="11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28"/>
      <c r="AD872" s="129"/>
      <c r="AE872" s="129"/>
      <c r="AF872" s="129"/>
      <c r="AG872" s="129"/>
      <c r="AH872" s="129"/>
      <c r="AI872" s="129"/>
      <c r="AJ872" s="130"/>
    </row>
    <row r="873" spans="11:36">
      <c r="K873" s="76"/>
      <c r="L873" s="48" t="e">
        <f t="shared" si="75"/>
        <v>#VALUE!</v>
      </c>
      <c r="M873" s="32" t="str">
        <f t="shared" si="78"/>
        <v/>
      </c>
      <c r="N873" s="63" t="e">
        <f t="shared" si="77"/>
        <v>#VALUE!</v>
      </c>
      <c r="O873" s="86"/>
      <c r="P873" s="223"/>
      <c r="Q873" s="224"/>
      <c r="R873" s="135"/>
      <c r="S873" s="139" cm="1">
        <f t="array" ref="S873">IF(P873="",0,IF(OR(O873=";",P873="EQU",P873="ORG"),0,HlpGetInstructionSize(P873,Q873,R873,$AC$12)))</f>
        <v>0</v>
      </c>
      <c r="V873" s="42" t="str">
        <f t="shared" si="76"/>
        <v/>
      </c>
      <c r="W873" s="16"/>
      <c r="X873" s="28"/>
      <c r="Y873" s="29"/>
      <c r="AA873" s="66"/>
      <c r="AB873" s="11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28"/>
      <c r="AD873" s="129"/>
      <c r="AE873" s="129"/>
      <c r="AF873" s="129"/>
      <c r="AG873" s="129"/>
      <c r="AH873" s="129"/>
      <c r="AI873" s="129"/>
      <c r="AJ873" s="130"/>
    </row>
    <row r="874" spans="11:36">
      <c r="K874" s="76"/>
      <c r="L874" s="48" t="e">
        <f t="shared" si="75"/>
        <v>#VALUE!</v>
      </c>
      <c r="M874" s="32" t="str">
        <f t="shared" si="78"/>
        <v/>
      </c>
      <c r="N874" s="63" t="e">
        <f t="shared" si="77"/>
        <v>#VALUE!</v>
      </c>
      <c r="O874" s="86"/>
      <c r="P874" s="223"/>
      <c r="Q874" s="224"/>
      <c r="R874" s="135"/>
      <c r="S874" s="139" cm="1">
        <f t="array" ref="S874">IF(P874="",0,IF(OR(O874=";",P874="EQU",P874="ORG"),0,HlpGetInstructionSize(P874,Q874,R874,$AC$12)))</f>
        <v>0</v>
      </c>
      <c r="V874" s="42" t="str">
        <f t="shared" si="76"/>
        <v/>
      </c>
      <c r="W874" s="16"/>
      <c r="X874" s="28"/>
      <c r="Y874" s="29"/>
      <c r="AA874" s="66"/>
      <c r="AB874" s="11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28"/>
      <c r="AD874" s="129"/>
      <c r="AE874" s="129"/>
      <c r="AF874" s="129"/>
      <c r="AG874" s="129"/>
      <c r="AH874" s="129"/>
      <c r="AI874" s="129"/>
      <c r="AJ874" s="130"/>
    </row>
    <row r="875" spans="11:36">
      <c r="K875" s="76"/>
      <c r="L875" s="48" t="e">
        <f t="shared" si="75"/>
        <v>#VALUE!</v>
      </c>
      <c r="M875" s="32" t="str">
        <f t="shared" si="78"/>
        <v/>
      </c>
      <c r="N875" s="63" t="e">
        <f t="shared" si="77"/>
        <v>#VALUE!</v>
      </c>
      <c r="O875" s="86"/>
      <c r="P875" s="223"/>
      <c r="Q875" s="224"/>
      <c r="R875" s="135"/>
      <c r="S875" s="139" cm="1">
        <f t="array" ref="S875">IF(P875="",0,IF(OR(O875=";",P875="EQU",P875="ORG"),0,HlpGetInstructionSize(P875,Q875,R875,$AC$12)))</f>
        <v>0</v>
      </c>
      <c r="V875" s="42" t="str">
        <f t="shared" si="76"/>
        <v/>
      </c>
      <c r="W875" s="16"/>
      <c r="X875" s="28"/>
      <c r="Y875" s="29"/>
      <c r="AA875" s="66"/>
      <c r="AB875" s="11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28"/>
      <c r="AD875" s="129"/>
      <c r="AE875" s="129"/>
      <c r="AF875" s="129"/>
      <c r="AG875" s="129"/>
      <c r="AH875" s="129"/>
      <c r="AI875" s="129"/>
      <c r="AJ875" s="130"/>
    </row>
    <row r="876" spans="11:36">
      <c r="K876" s="76"/>
      <c r="L876" s="48" t="e">
        <f t="shared" si="75"/>
        <v>#VALUE!</v>
      </c>
      <c r="M876" s="32" t="str">
        <f t="shared" si="78"/>
        <v/>
      </c>
      <c r="N876" s="63" t="e">
        <f t="shared" si="77"/>
        <v>#VALUE!</v>
      </c>
      <c r="O876" s="86"/>
      <c r="P876" s="223"/>
      <c r="Q876" s="224"/>
      <c r="R876" s="135"/>
      <c r="S876" s="139" cm="1">
        <f t="array" ref="S876">IF(P876="",0,IF(OR(O876=";",P876="EQU",P876="ORG"),0,HlpGetInstructionSize(P876,Q876,R876,$AC$12)))</f>
        <v>0</v>
      </c>
      <c r="V876" s="42" t="str">
        <f t="shared" si="76"/>
        <v/>
      </c>
      <c r="W876" s="16"/>
      <c r="X876" s="28"/>
      <c r="Y876" s="29"/>
      <c r="AA876" s="66"/>
      <c r="AB876" s="11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28"/>
      <c r="AD876" s="129"/>
      <c r="AE876" s="129"/>
      <c r="AF876" s="129"/>
      <c r="AG876" s="129"/>
      <c r="AH876" s="129"/>
      <c r="AI876" s="129"/>
      <c r="AJ876" s="130"/>
    </row>
    <row r="877" spans="11:36">
      <c r="K877" s="76"/>
      <c r="L877" s="48" t="e">
        <f t="shared" si="75"/>
        <v>#VALUE!</v>
      </c>
      <c r="M877" s="32" t="str">
        <f t="shared" si="78"/>
        <v/>
      </c>
      <c r="N877" s="63" t="e">
        <f t="shared" si="77"/>
        <v>#VALUE!</v>
      </c>
      <c r="O877" s="86"/>
      <c r="P877" s="223"/>
      <c r="Q877" s="224"/>
      <c r="R877" s="135"/>
      <c r="S877" s="139" cm="1">
        <f t="array" ref="S877">IF(P877="",0,IF(OR(O877=";",P877="EQU",P877="ORG"),0,HlpGetInstructionSize(P877,Q877,R877,$AC$12)))</f>
        <v>0</v>
      </c>
      <c r="V877" s="42" t="str">
        <f t="shared" si="76"/>
        <v/>
      </c>
      <c r="W877" s="16"/>
      <c r="X877" s="28"/>
      <c r="Y877" s="29"/>
      <c r="AA877" s="66"/>
      <c r="AB877" s="11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28"/>
      <c r="AD877" s="129"/>
      <c r="AE877" s="129"/>
      <c r="AF877" s="129"/>
      <c r="AG877" s="129"/>
      <c r="AH877" s="129"/>
      <c r="AI877" s="129"/>
      <c r="AJ877" s="130"/>
    </row>
    <row r="878" spans="11:36">
      <c r="K878" s="76"/>
      <c r="L878" s="48" t="e">
        <f t="shared" si="75"/>
        <v>#VALUE!</v>
      </c>
      <c r="M878" s="32" t="str">
        <f t="shared" si="78"/>
        <v/>
      </c>
      <c r="N878" s="63" t="e">
        <f t="shared" si="77"/>
        <v>#VALUE!</v>
      </c>
      <c r="O878" s="86"/>
      <c r="P878" s="223"/>
      <c r="Q878" s="224"/>
      <c r="R878" s="135"/>
      <c r="S878" s="139" cm="1">
        <f t="array" ref="S878">IF(P878="",0,IF(OR(O878=";",P878="EQU",P878="ORG"),0,HlpGetInstructionSize(P878,Q878,R878,$AC$12)))</f>
        <v>0</v>
      </c>
      <c r="V878" s="42" t="str">
        <f t="shared" si="76"/>
        <v/>
      </c>
      <c r="W878" s="16"/>
      <c r="X878" s="28"/>
      <c r="Y878" s="29"/>
      <c r="AA878" s="66"/>
      <c r="AB878" s="11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28"/>
      <c r="AD878" s="129"/>
      <c r="AE878" s="129"/>
      <c r="AF878" s="129"/>
      <c r="AG878" s="129"/>
      <c r="AH878" s="129"/>
      <c r="AI878" s="129"/>
      <c r="AJ878" s="130"/>
    </row>
    <row r="879" spans="11:36">
      <c r="K879" s="76"/>
      <c r="L879" s="48" t="e">
        <f t="shared" si="75"/>
        <v>#VALUE!</v>
      </c>
      <c r="M879" s="32" t="str">
        <f t="shared" si="78"/>
        <v/>
      </c>
      <c r="N879" s="63" t="e">
        <f t="shared" si="77"/>
        <v>#VALUE!</v>
      </c>
      <c r="O879" s="86"/>
      <c r="P879" s="223"/>
      <c r="Q879" s="224"/>
      <c r="R879" s="135"/>
      <c r="S879" s="139" cm="1">
        <f t="array" ref="S879">IF(P879="",0,IF(OR(O879=";",P879="EQU",P879="ORG"),0,HlpGetInstructionSize(P879,Q879,R879,$AC$12)))</f>
        <v>0</v>
      </c>
      <c r="V879" s="42" t="str">
        <f t="shared" si="76"/>
        <v/>
      </c>
      <c r="W879" s="16"/>
      <c r="X879" s="28"/>
      <c r="Y879" s="29"/>
      <c r="AA879" s="66"/>
      <c r="AB879" s="11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28"/>
      <c r="AD879" s="129"/>
      <c r="AE879" s="129"/>
      <c r="AF879" s="129"/>
      <c r="AG879" s="129"/>
      <c r="AH879" s="129"/>
      <c r="AI879" s="129"/>
      <c r="AJ879" s="130"/>
    </row>
    <row r="880" spans="11:36">
      <c r="K880" s="76"/>
      <c r="L880" s="48" t="e">
        <f t="shared" si="75"/>
        <v>#VALUE!</v>
      </c>
      <c r="M880" s="32" t="str">
        <f t="shared" si="78"/>
        <v/>
      </c>
      <c r="N880" s="63" t="e">
        <f t="shared" si="77"/>
        <v>#VALUE!</v>
      </c>
      <c r="O880" s="86"/>
      <c r="P880" s="223"/>
      <c r="Q880" s="224"/>
      <c r="R880" s="135"/>
      <c r="S880" s="139" cm="1">
        <f t="array" ref="S880">IF(P880="",0,IF(OR(O880=";",P880="EQU",P880="ORG"),0,HlpGetInstructionSize(P880,Q880,R880,$AC$12)))</f>
        <v>0</v>
      </c>
      <c r="V880" s="42" t="str">
        <f t="shared" si="76"/>
        <v/>
      </c>
      <c r="W880" s="16"/>
      <c r="X880" s="28"/>
      <c r="Y880" s="29"/>
      <c r="AA880" s="66"/>
      <c r="AB880" s="11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28"/>
      <c r="AD880" s="129"/>
      <c r="AE880" s="129"/>
      <c r="AF880" s="129"/>
      <c r="AG880" s="129"/>
      <c r="AH880" s="129"/>
      <c r="AI880" s="129"/>
      <c r="AJ880" s="130"/>
    </row>
    <row r="881" spans="11:36">
      <c r="K881" s="76"/>
      <c r="L881" s="48" t="e">
        <f t="shared" si="75"/>
        <v>#VALUE!</v>
      </c>
      <c r="M881" s="32" t="str">
        <f t="shared" si="78"/>
        <v/>
      </c>
      <c r="N881" s="63" t="e">
        <f t="shared" si="77"/>
        <v>#VALUE!</v>
      </c>
      <c r="O881" s="86"/>
      <c r="P881" s="223"/>
      <c r="Q881" s="224"/>
      <c r="R881" s="135"/>
      <c r="S881" s="139" cm="1">
        <f t="array" ref="S881">IF(P881="",0,IF(OR(O881=";",P881="EQU",P881="ORG"),0,HlpGetInstructionSize(P881,Q881,R881,$AC$12)))</f>
        <v>0</v>
      </c>
      <c r="V881" s="42" t="str">
        <f t="shared" si="76"/>
        <v/>
      </c>
      <c r="W881" s="16"/>
      <c r="X881" s="28"/>
      <c r="Y881" s="29"/>
      <c r="AA881" s="66"/>
      <c r="AB881" s="11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28"/>
      <c r="AD881" s="129"/>
      <c r="AE881" s="129"/>
      <c r="AF881" s="129"/>
      <c r="AG881" s="129"/>
      <c r="AH881" s="129"/>
      <c r="AI881" s="129"/>
      <c r="AJ881" s="130"/>
    </row>
    <row r="882" spans="11:36">
      <c r="K882" s="76"/>
      <c r="L882" s="48" t="e">
        <f t="shared" si="75"/>
        <v>#VALUE!</v>
      </c>
      <c r="M882" s="32" t="str">
        <f t="shared" si="78"/>
        <v/>
      </c>
      <c r="N882" s="63" t="e">
        <f t="shared" si="77"/>
        <v>#VALUE!</v>
      </c>
      <c r="O882" s="86"/>
      <c r="P882" s="223"/>
      <c r="Q882" s="224"/>
      <c r="R882" s="135"/>
      <c r="S882" s="139" cm="1">
        <f t="array" ref="S882">IF(P882="",0,IF(OR(O882=";",P882="EQU",P882="ORG"),0,HlpGetInstructionSize(P882,Q882,R882,$AC$12)))</f>
        <v>0</v>
      </c>
      <c r="V882" s="42" t="str">
        <f t="shared" si="76"/>
        <v/>
      </c>
      <c r="W882" s="16"/>
      <c r="X882" s="28"/>
      <c r="Y882" s="29"/>
      <c r="AA882" s="66"/>
      <c r="AB882" s="11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28"/>
      <c r="AD882" s="129"/>
      <c r="AE882" s="129"/>
      <c r="AF882" s="129"/>
      <c r="AG882" s="129"/>
      <c r="AH882" s="129"/>
      <c r="AI882" s="129"/>
      <c r="AJ882" s="130"/>
    </row>
    <row r="883" spans="11:36">
      <c r="K883" s="76"/>
      <c r="L883" s="48" t="e">
        <f t="shared" si="75"/>
        <v>#VALUE!</v>
      </c>
      <c r="M883" s="32" t="str">
        <f t="shared" si="78"/>
        <v/>
      </c>
      <c r="N883" s="63" t="e">
        <f t="shared" si="77"/>
        <v>#VALUE!</v>
      </c>
      <c r="O883" s="86"/>
      <c r="P883" s="223"/>
      <c r="Q883" s="224"/>
      <c r="R883" s="135"/>
      <c r="S883" s="139" cm="1">
        <f t="array" ref="S883">IF(P883="",0,IF(OR(O883=";",P883="EQU",P883="ORG"),0,HlpGetInstructionSize(P883,Q883,R883,$AC$12)))</f>
        <v>0</v>
      </c>
      <c r="V883" s="42" t="str">
        <f t="shared" si="76"/>
        <v/>
      </c>
      <c r="W883" s="16"/>
      <c r="X883" s="28"/>
      <c r="Y883" s="29"/>
      <c r="AA883" s="66"/>
      <c r="AB883" s="11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28"/>
      <c r="AD883" s="129"/>
      <c r="AE883" s="129"/>
      <c r="AF883" s="129"/>
      <c r="AG883" s="129"/>
      <c r="AH883" s="129"/>
      <c r="AI883" s="129"/>
      <c r="AJ883" s="130"/>
    </row>
    <row r="884" spans="11:36">
      <c r="K884" s="76"/>
      <c r="L884" s="48" t="e">
        <f t="shared" si="75"/>
        <v>#VALUE!</v>
      </c>
      <c r="M884" s="32" t="str">
        <f t="shared" si="78"/>
        <v/>
      </c>
      <c r="N884" s="63" t="e">
        <f t="shared" si="77"/>
        <v>#VALUE!</v>
      </c>
      <c r="O884" s="86"/>
      <c r="P884" s="223"/>
      <c r="Q884" s="224"/>
      <c r="R884" s="135"/>
      <c r="S884" s="139" cm="1">
        <f t="array" ref="S884">IF(P884="",0,IF(OR(O884=";",P884="EQU",P884="ORG"),0,HlpGetInstructionSize(P884,Q884,R884,$AC$12)))</f>
        <v>0</v>
      </c>
      <c r="V884" s="42" t="str">
        <f t="shared" si="76"/>
        <v/>
      </c>
      <c r="W884" s="16"/>
      <c r="X884" s="28"/>
      <c r="Y884" s="29"/>
      <c r="AA884" s="66"/>
      <c r="AB884" s="11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28"/>
      <c r="AD884" s="129"/>
      <c r="AE884" s="129"/>
      <c r="AF884" s="129"/>
      <c r="AG884" s="129"/>
      <c r="AH884" s="129"/>
      <c r="AI884" s="129"/>
      <c r="AJ884" s="130"/>
    </row>
    <row r="885" spans="11:36">
      <c r="K885" s="76"/>
      <c r="L885" s="48" t="e">
        <f t="shared" si="75"/>
        <v>#VALUE!</v>
      </c>
      <c r="M885" s="32" t="str">
        <f t="shared" si="78"/>
        <v/>
      </c>
      <c r="N885" s="63" t="e">
        <f t="shared" si="77"/>
        <v>#VALUE!</v>
      </c>
      <c r="O885" s="86"/>
      <c r="P885" s="223"/>
      <c r="Q885" s="224"/>
      <c r="R885" s="135"/>
      <c r="S885" s="139" cm="1">
        <f t="array" ref="S885">IF(P885="",0,IF(OR(O885=";",P885="EQU",P885="ORG"),0,HlpGetInstructionSize(P885,Q885,R885,$AC$12)))</f>
        <v>0</v>
      </c>
      <c r="V885" s="42" t="str">
        <f t="shared" si="76"/>
        <v/>
      </c>
      <c r="W885" s="16"/>
      <c r="X885" s="28"/>
      <c r="Y885" s="29"/>
      <c r="AA885" s="66"/>
      <c r="AB885" s="11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28"/>
      <c r="AD885" s="129"/>
      <c r="AE885" s="129"/>
      <c r="AF885" s="129"/>
      <c r="AG885" s="129"/>
      <c r="AH885" s="129"/>
      <c r="AI885" s="129"/>
      <c r="AJ885" s="130"/>
    </row>
    <row r="886" spans="11:36">
      <c r="K886" s="76"/>
      <c r="L886" s="48" t="e">
        <f t="shared" si="75"/>
        <v>#VALUE!</v>
      </c>
      <c r="M886" s="32" t="str">
        <f t="shared" si="78"/>
        <v/>
      </c>
      <c r="N886" s="63" t="e">
        <f t="shared" si="77"/>
        <v>#VALUE!</v>
      </c>
      <c r="O886" s="86"/>
      <c r="P886" s="223"/>
      <c r="Q886" s="224"/>
      <c r="R886" s="135"/>
      <c r="S886" s="139" cm="1">
        <f t="array" ref="S886">IF(P886="",0,IF(OR(O886=";",P886="EQU",P886="ORG"),0,HlpGetInstructionSize(P886,Q886,R886,$AC$12)))</f>
        <v>0</v>
      </c>
      <c r="V886" s="42" t="str">
        <f t="shared" si="76"/>
        <v/>
      </c>
      <c r="W886" s="16"/>
      <c r="X886" s="28"/>
      <c r="Y886" s="29"/>
      <c r="AA886" s="66"/>
      <c r="AB886" s="11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28"/>
      <c r="AD886" s="129"/>
      <c r="AE886" s="129"/>
      <c r="AF886" s="129"/>
      <c r="AG886" s="129"/>
      <c r="AH886" s="129"/>
      <c r="AI886" s="129"/>
      <c r="AJ886" s="130"/>
    </row>
    <row r="887" spans="11:36">
      <c r="K887" s="76"/>
      <c r="L887" s="48" t="e">
        <f t="shared" si="75"/>
        <v>#VALUE!</v>
      </c>
      <c r="M887" s="32" t="str">
        <f t="shared" si="78"/>
        <v/>
      </c>
      <c r="N887" s="63" t="e">
        <f t="shared" si="77"/>
        <v>#VALUE!</v>
      </c>
      <c r="O887" s="86"/>
      <c r="P887" s="223"/>
      <c r="Q887" s="224"/>
      <c r="R887" s="135"/>
      <c r="S887" s="139" cm="1">
        <f t="array" ref="S887">IF(P887="",0,IF(OR(O887=";",P887="EQU",P887="ORG"),0,HlpGetInstructionSize(P887,Q887,R887,$AC$12)))</f>
        <v>0</v>
      </c>
      <c r="V887" s="42" t="str">
        <f t="shared" si="76"/>
        <v/>
      </c>
      <c r="W887" s="16"/>
      <c r="X887" s="28"/>
      <c r="Y887" s="29"/>
      <c r="AA887" s="66"/>
      <c r="AB887" s="11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28"/>
      <c r="AD887" s="129"/>
      <c r="AE887" s="129"/>
      <c r="AF887" s="129"/>
      <c r="AG887" s="129"/>
      <c r="AH887" s="129"/>
      <c r="AI887" s="129"/>
      <c r="AJ887" s="130"/>
    </row>
    <row r="888" spans="11:36">
      <c r="K888" s="76"/>
      <c r="L888" s="48" t="e">
        <f t="shared" si="75"/>
        <v>#VALUE!</v>
      </c>
      <c r="M888" s="32" t="str">
        <f t="shared" si="78"/>
        <v/>
      </c>
      <c r="N888" s="63" t="e">
        <f t="shared" si="77"/>
        <v>#VALUE!</v>
      </c>
      <c r="O888" s="86"/>
      <c r="P888" s="223"/>
      <c r="Q888" s="224"/>
      <c r="R888" s="135"/>
      <c r="S888" s="139" cm="1">
        <f t="array" ref="S888">IF(P888="",0,IF(OR(O888=";",P888="EQU",P888="ORG"),0,HlpGetInstructionSize(P888,Q888,R888,$AC$12)))</f>
        <v>0</v>
      </c>
      <c r="V888" s="42" t="str">
        <f t="shared" si="76"/>
        <v/>
      </c>
      <c r="W888" s="16"/>
      <c r="X888" s="28"/>
      <c r="Y888" s="29"/>
      <c r="AA888" s="66"/>
      <c r="AB888" s="11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28"/>
      <c r="AD888" s="129"/>
      <c r="AE888" s="129"/>
      <c r="AF888" s="129"/>
      <c r="AG888" s="129"/>
      <c r="AH888" s="129"/>
      <c r="AI888" s="129"/>
      <c r="AJ888" s="130"/>
    </row>
    <row r="889" spans="11:36">
      <c r="K889" s="76"/>
      <c r="L889" s="48" t="e">
        <f t="shared" si="75"/>
        <v>#VALUE!</v>
      </c>
      <c r="M889" s="32" t="str">
        <f t="shared" si="78"/>
        <v/>
      </c>
      <c r="N889" s="63" t="e">
        <f t="shared" si="77"/>
        <v>#VALUE!</v>
      </c>
      <c r="O889" s="86"/>
      <c r="P889" s="223"/>
      <c r="Q889" s="224"/>
      <c r="R889" s="135"/>
      <c r="S889" s="139" cm="1">
        <f t="array" ref="S889">IF(P889="",0,IF(OR(O889=";",P889="EQU",P889="ORG"),0,HlpGetInstructionSize(P889,Q889,R889,$AC$12)))</f>
        <v>0</v>
      </c>
      <c r="V889" s="42" t="str">
        <f t="shared" si="76"/>
        <v/>
      </c>
      <c r="W889" s="16"/>
      <c r="X889" s="28"/>
      <c r="Y889" s="29"/>
      <c r="AA889" s="66"/>
      <c r="AB889" s="11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28"/>
      <c r="AD889" s="129"/>
      <c r="AE889" s="129"/>
      <c r="AF889" s="129"/>
      <c r="AG889" s="129"/>
      <c r="AH889" s="129"/>
      <c r="AI889" s="129"/>
      <c r="AJ889" s="130"/>
    </row>
    <row r="890" spans="11:36">
      <c r="K890" s="76"/>
      <c r="L890" s="48" t="e">
        <f t="shared" si="75"/>
        <v>#VALUE!</v>
      </c>
      <c r="M890" s="32" t="str">
        <f t="shared" si="78"/>
        <v/>
      </c>
      <c r="N890" s="63" t="e">
        <f t="shared" si="77"/>
        <v>#VALUE!</v>
      </c>
      <c r="O890" s="86"/>
      <c r="P890" s="223"/>
      <c r="Q890" s="224"/>
      <c r="R890" s="135"/>
      <c r="S890" s="139" cm="1">
        <f t="array" ref="S890">IF(P890="",0,IF(OR(O890=";",P890="EQU",P890="ORG"),0,HlpGetInstructionSize(P890,Q890,R890,$AC$12)))</f>
        <v>0</v>
      </c>
      <c r="V890" s="42" t="str">
        <f t="shared" si="76"/>
        <v/>
      </c>
      <c r="W890" s="16"/>
      <c r="X890" s="28"/>
      <c r="Y890" s="29"/>
      <c r="AA890" s="66"/>
      <c r="AB890" s="11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28"/>
      <c r="AD890" s="129"/>
      <c r="AE890" s="129"/>
      <c r="AF890" s="129"/>
      <c r="AG890" s="129"/>
      <c r="AH890" s="129"/>
      <c r="AI890" s="129"/>
      <c r="AJ890" s="130"/>
    </row>
    <row r="891" spans="11:36">
      <c r="K891" s="76"/>
      <c r="L891" s="48" t="e">
        <f t="shared" si="75"/>
        <v>#VALUE!</v>
      </c>
      <c r="M891" s="32" t="str">
        <f t="shared" si="78"/>
        <v/>
      </c>
      <c r="N891" s="63" t="e">
        <f t="shared" si="77"/>
        <v>#VALUE!</v>
      </c>
      <c r="O891" s="86"/>
      <c r="P891" s="223"/>
      <c r="Q891" s="224"/>
      <c r="R891" s="135"/>
      <c r="S891" s="139" cm="1">
        <f t="array" ref="S891">IF(P891="",0,IF(OR(O891=";",P891="EQU",P891="ORG"),0,HlpGetInstructionSize(P891,Q891,R891,$AC$12)))</f>
        <v>0</v>
      </c>
      <c r="V891" s="42" t="str">
        <f t="shared" si="76"/>
        <v/>
      </c>
      <c r="W891" s="16"/>
      <c r="X891" s="28"/>
      <c r="Y891" s="29"/>
      <c r="AA891" s="66"/>
      <c r="AB891" s="11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28"/>
      <c r="AD891" s="129"/>
      <c r="AE891" s="129"/>
      <c r="AF891" s="129"/>
      <c r="AG891" s="129"/>
      <c r="AH891" s="129"/>
      <c r="AI891" s="129"/>
      <c r="AJ891" s="130"/>
    </row>
    <row r="892" spans="11:36">
      <c r="K892" s="76"/>
      <c r="L892" s="48" t="e">
        <f t="shared" si="75"/>
        <v>#VALUE!</v>
      </c>
      <c r="M892" s="32" t="str">
        <f t="shared" si="78"/>
        <v/>
      </c>
      <c r="N892" s="63" t="e">
        <f t="shared" si="77"/>
        <v>#VALUE!</v>
      </c>
      <c r="O892" s="86"/>
      <c r="P892" s="223"/>
      <c r="Q892" s="224"/>
      <c r="R892" s="135"/>
      <c r="S892" s="139" cm="1">
        <f t="array" ref="S892">IF(P892="",0,IF(OR(O892=";",P892="EQU",P892="ORG"),0,HlpGetInstructionSize(P892,Q892,R892,$AC$12)))</f>
        <v>0</v>
      </c>
      <c r="V892" s="42" t="str">
        <f t="shared" si="76"/>
        <v/>
      </c>
      <c r="W892" s="16"/>
      <c r="X892" s="28"/>
      <c r="Y892" s="29"/>
      <c r="AA892" s="66"/>
      <c r="AB892" s="11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28"/>
      <c r="AD892" s="129"/>
      <c r="AE892" s="129"/>
      <c r="AF892" s="129"/>
      <c r="AG892" s="129"/>
      <c r="AH892" s="129"/>
      <c r="AI892" s="129"/>
      <c r="AJ892" s="130"/>
    </row>
    <row r="893" spans="11:36">
      <c r="K893" s="76"/>
      <c r="L893" s="48" t="e">
        <f t="shared" si="75"/>
        <v>#VALUE!</v>
      </c>
      <c r="M893" s="32" t="str">
        <f t="shared" si="78"/>
        <v/>
      </c>
      <c r="N893" s="63" t="e">
        <f t="shared" si="77"/>
        <v>#VALUE!</v>
      </c>
      <c r="O893" s="86"/>
      <c r="P893" s="223"/>
      <c r="Q893" s="224"/>
      <c r="R893" s="135"/>
      <c r="S893" s="139" cm="1">
        <f t="array" ref="S893">IF(P893="",0,IF(OR(O893=";",P893="EQU",P893="ORG"),0,HlpGetInstructionSize(P893,Q893,R893,$AC$12)))</f>
        <v>0</v>
      </c>
      <c r="V893" s="42" t="str">
        <f t="shared" si="76"/>
        <v/>
      </c>
      <c r="W893" s="16"/>
      <c r="X893" s="28"/>
      <c r="Y893" s="29"/>
      <c r="AA893" s="66"/>
      <c r="AB893" s="11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28"/>
      <c r="AD893" s="129"/>
      <c r="AE893" s="129"/>
      <c r="AF893" s="129"/>
      <c r="AG893" s="129"/>
      <c r="AH893" s="129"/>
      <c r="AI893" s="129"/>
      <c r="AJ893" s="130"/>
    </row>
    <row r="894" spans="11:36">
      <c r="K894" s="76"/>
      <c r="L894" s="48" t="e">
        <f t="shared" si="75"/>
        <v>#VALUE!</v>
      </c>
      <c r="M894" s="32" t="str">
        <f t="shared" si="78"/>
        <v/>
      </c>
      <c r="N894" s="63" t="e">
        <f t="shared" si="77"/>
        <v>#VALUE!</v>
      </c>
      <c r="O894" s="86"/>
      <c r="P894" s="223"/>
      <c r="Q894" s="224"/>
      <c r="R894" s="135"/>
      <c r="S894" s="139" cm="1">
        <f t="array" ref="S894">IF(P894="",0,IF(OR(O894=";",P894="EQU",P894="ORG"),0,HlpGetInstructionSize(P894,Q894,R894,$AC$12)))</f>
        <v>0</v>
      </c>
      <c r="V894" s="42" t="str">
        <f t="shared" si="76"/>
        <v/>
      </c>
      <c r="W894" s="16"/>
      <c r="X894" s="28"/>
      <c r="Y894" s="29"/>
      <c r="AA894" s="66"/>
      <c r="AB894" s="11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28"/>
      <c r="AD894" s="129"/>
      <c r="AE894" s="129"/>
      <c r="AF894" s="129"/>
      <c r="AG894" s="129"/>
      <c r="AH894" s="129"/>
      <c r="AI894" s="129"/>
      <c r="AJ894" s="130"/>
    </row>
    <row r="895" spans="11:36">
      <c r="K895" s="76"/>
      <c r="L895" s="48" t="e">
        <f t="shared" si="75"/>
        <v>#VALUE!</v>
      </c>
      <c r="M895" s="32" t="str">
        <f t="shared" si="78"/>
        <v/>
      </c>
      <c r="N895" s="63" t="e">
        <f t="shared" si="77"/>
        <v>#VALUE!</v>
      </c>
      <c r="O895" s="86"/>
      <c r="P895" s="223"/>
      <c r="Q895" s="224"/>
      <c r="R895" s="135"/>
      <c r="S895" s="139" cm="1">
        <f t="array" ref="S895">IF(P895="",0,IF(OR(O895=";",P895="EQU",P895="ORG"),0,HlpGetInstructionSize(P895,Q895,R895,$AC$12)))</f>
        <v>0</v>
      </c>
      <c r="V895" s="42" t="str">
        <f t="shared" si="76"/>
        <v/>
      </c>
      <c r="W895" s="16"/>
      <c r="X895" s="28"/>
      <c r="Y895" s="29"/>
      <c r="AA895" s="66"/>
      <c r="AB895" s="11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28"/>
      <c r="AD895" s="129"/>
      <c r="AE895" s="129"/>
      <c r="AF895" s="129"/>
      <c r="AG895" s="129"/>
      <c r="AH895" s="129"/>
      <c r="AI895" s="129"/>
      <c r="AJ895" s="130"/>
    </row>
    <row r="896" spans="11:36">
      <c r="K896" s="76"/>
      <c r="L896" s="48" t="e">
        <f t="shared" si="75"/>
        <v>#VALUE!</v>
      </c>
      <c r="M896" s="32" t="str">
        <f t="shared" si="78"/>
        <v/>
      </c>
      <c r="N896" s="63" t="e">
        <f t="shared" si="77"/>
        <v>#VALUE!</v>
      </c>
      <c r="O896" s="86"/>
      <c r="P896" s="223"/>
      <c r="Q896" s="224"/>
      <c r="R896" s="135"/>
      <c r="S896" s="139" cm="1">
        <f t="array" ref="S896">IF(P896="",0,IF(OR(O896=";",P896="EQU",P896="ORG"),0,HlpGetInstructionSize(P896,Q896,R896,$AC$12)))</f>
        <v>0</v>
      </c>
      <c r="V896" s="42" t="str">
        <f t="shared" si="76"/>
        <v/>
      </c>
      <c r="W896" s="16"/>
      <c r="X896" s="28"/>
      <c r="Y896" s="29"/>
      <c r="AA896" s="66"/>
      <c r="AB896" s="11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28"/>
      <c r="AD896" s="129"/>
      <c r="AE896" s="129"/>
      <c r="AF896" s="129"/>
      <c r="AG896" s="129"/>
      <c r="AH896" s="129"/>
      <c r="AI896" s="129"/>
      <c r="AJ896" s="130"/>
    </row>
    <row r="897" spans="11:36">
      <c r="K897" s="76"/>
      <c r="L897" s="48" t="e">
        <f t="shared" si="75"/>
        <v>#VALUE!</v>
      </c>
      <c r="M897" s="32" t="str">
        <f t="shared" si="78"/>
        <v/>
      </c>
      <c r="N897" s="63" t="e">
        <f t="shared" si="77"/>
        <v>#VALUE!</v>
      </c>
      <c r="O897" s="86"/>
      <c r="P897" s="223"/>
      <c r="Q897" s="224"/>
      <c r="R897" s="135"/>
      <c r="S897" s="139" cm="1">
        <f t="array" ref="S897">IF(P897="",0,IF(OR(O897=";",P897="EQU",P897="ORG"),0,HlpGetInstructionSize(P897,Q897,R897,$AC$12)))</f>
        <v>0</v>
      </c>
      <c r="V897" s="42" t="str">
        <f t="shared" si="76"/>
        <v/>
      </c>
      <c r="W897" s="16"/>
      <c r="X897" s="28"/>
      <c r="Y897" s="29"/>
      <c r="AA897" s="66"/>
      <c r="AB897" s="11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28"/>
      <c r="AD897" s="129"/>
      <c r="AE897" s="129"/>
      <c r="AF897" s="129"/>
      <c r="AG897" s="129"/>
      <c r="AH897" s="129"/>
      <c r="AI897" s="129"/>
      <c r="AJ897" s="130"/>
    </row>
    <row r="898" spans="11:36">
      <c r="K898" s="76"/>
      <c r="L898" s="48" t="e">
        <f t="shared" si="75"/>
        <v>#VALUE!</v>
      </c>
      <c r="M898" s="32" t="str">
        <f t="shared" si="78"/>
        <v/>
      </c>
      <c r="N898" s="63" t="e">
        <f t="shared" si="77"/>
        <v>#VALUE!</v>
      </c>
      <c r="O898" s="86"/>
      <c r="P898" s="223"/>
      <c r="Q898" s="224"/>
      <c r="R898" s="135"/>
      <c r="S898" s="139" cm="1">
        <f t="array" ref="S898">IF(P898="",0,IF(OR(O898=";",P898="EQU",P898="ORG"),0,HlpGetInstructionSize(P898,Q898,R898,$AC$12)))</f>
        <v>0</v>
      </c>
      <c r="V898" s="42" t="str">
        <f t="shared" si="76"/>
        <v/>
      </c>
      <c r="W898" s="16"/>
      <c r="X898" s="28"/>
      <c r="Y898" s="29"/>
      <c r="AA898" s="66"/>
      <c r="AB898" s="11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28"/>
      <c r="AD898" s="129"/>
      <c r="AE898" s="129"/>
      <c r="AF898" s="129"/>
      <c r="AG898" s="129"/>
      <c r="AH898" s="129"/>
      <c r="AI898" s="129"/>
      <c r="AJ898" s="130"/>
    </row>
    <row r="899" spans="11:36">
      <c r="K899" s="76"/>
      <c r="L899" s="48" t="e">
        <f t="shared" si="75"/>
        <v>#VALUE!</v>
      </c>
      <c r="M899" s="32" t="str">
        <f t="shared" si="78"/>
        <v/>
      </c>
      <c r="N899" s="63" t="e">
        <f t="shared" si="77"/>
        <v>#VALUE!</v>
      </c>
      <c r="O899" s="86"/>
      <c r="P899" s="223"/>
      <c r="Q899" s="224"/>
      <c r="R899" s="135"/>
      <c r="S899" s="139" cm="1">
        <f t="array" ref="S899">IF(P899="",0,IF(OR(O899=";",P899="EQU",P899="ORG"),0,HlpGetInstructionSize(P899,Q899,R899,$AC$12)))</f>
        <v>0</v>
      </c>
      <c r="V899" s="42" t="str">
        <f t="shared" si="76"/>
        <v/>
      </c>
      <c r="W899" s="16"/>
      <c r="X899" s="28"/>
      <c r="Y899" s="29"/>
      <c r="AA899" s="66"/>
      <c r="AB899" s="11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28"/>
      <c r="AD899" s="129"/>
      <c r="AE899" s="129"/>
      <c r="AF899" s="129"/>
      <c r="AG899" s="129"/>
      <c r="AH899" s="129"/>
      <c r="AI899" s="129"/>
      <c r="AJ899" s="130"/>
    </row>
    <row r="900" spans="11:36">
      <c r="K900" s="76"/>
      <c r="L900" s="48" t="e">
        <f t="shared" si="75"/>
        <v>#VALUE!</v>
      </c>
      <c r="M900" s="32" t="str">
        <f t="shared" si="78"/>
        <v/>
      </c>
      <c r="N900" s="63" t="e">
        <f t="shared" si="77"/>
        <v>#VALUE!</v>
      </c>
      <c r="O900" s="86"/>
      <c r="P900" s="223"/>
      <c r="Q900" s="224"/>
      <c r="R900" s="135"/>
      <c r="S900" s="139" cm="1">
        <f t="array" ref="S900">IF(P900="",0,IF(OR(O900=";",P900="EQU",P900="ORG"),0,HlpGetInstructionSize(P900,Q900,R900,$AC$12)))</f>
        <v>0</v>
      </c>
      <c r="V900" s="42" t="str">
        <f t="shared" si="76"/>
        <v/>
      </c>
      <c r="W900" s="16"/>
      <c r="X900" s="28"/>
      <c r="Y900" s="29"/>
      <c r="AA900" s="66"/>
      <c r="AB900" s="11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28"/>
      <c r="AD900" s="129"/>
      <c r="AE900" s="129"/>
      <c r="AF900" s="129"/>
      <c r="AG900" s="129"/>
      <c r="AH900" s="129"/>
      <c r="AI900" s="129"/>
      <c r="AJ900" s="130"/>
    </row>
    <row r="901" spans="11:36">
      <c r="K901" s="76"/>
      <c r="L901" s="48" t="e">
        <f t="shared" si="75"/>
        <v>#VALUE!</v>
      </c>
      <c r="M901" s="32" t="str">
        <f t="shared" si="78"/>
        <v/>
      </c>
      <c r="N901" s="63" t="e">
        <f t="shared" si="77"/>
        <v>#VALUE!</v>
      </c>
      <c r="O901" s="86"/>
      <c r="P901" s="223"/>
      <c r="Q901" s="224"/>
      <c r="R901" s="135"/>
      <c r="S901" s="139" cm="1">
        <f t="array" ref="S901">IF(P901="",0,IF(OR(O901=";",P901="EQU",P901="ORG"),0,HlpGetInstructionSize(P901,Q901,R901,$AC$12)))</f>
        <v>0</v>
      </c>
      <c r="V901" s="42" t="str">
        <f t="shared" si="76"/>
        <v/>
      </c>
      <c r="W901" s="16"/>
      <c r="X901" s="28"/>
      <c r="Y901" s="29"/>
      <c r="AA901" s="66"/>
      <c r="AB901" s="11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28"/>
      <c r="AD901" s="129"/>
      <c r="AE901" s="129"/>
      <c r="AF901" s="129"/>
      <c r="AG901" s="129"/>
      <c r="AH901" s="129"/>
      <c r="AI901" s="129"/>
      <c r="AJ901" s="130"/>
    </row>
    <row r="902" spans="11:36">
      <c r="K902" s="76"/>
      <c r="L902" s="48" t="e">
        <f t="shared" si="75"/>
        <v>#VALUE!</v>
      </c>
      <c r="M902" s="32" t="str">
        <f t="shared" si="78"/>
        <v/>
      </c>
      <c r="N902" s="63" t="e">
        <f t="shared" si="77"/>
        <v>#VALUE!</v>
      </c>
      <c r="O902" s="86"/>
      <c r="P902" s="223"/>
      <c r="Q902" s="224"/>
      <c r="R902" s="135"/>
      <c r="S902" s="139" cm="1">
        <f t="array" ref="S902">IF(P902="",0,IF(OR(O902=";",P902="EQU",P902="ORG"),0,HlpGetInstructionSize(P902,Q902,R902,$AC$12)))</f>
        <v>0</v>
      </c>
      <c r="V902" s="42" t="str">
        <f t="shared" si="76"/>
        <v/>
      </c>
      <c r="W902" s="16"/>
      <c r="X902" s="28"/>
      <c r="Y902" s="29"/>
      <c r="AA902" s="66"/>
      <c r="AB902" s="11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28"/>
      <c r="AD902" s="129"/>
      <c r="AE902" s="129"/>
      <c r="AF902" s="129"/>
      <c r="AG902" s="129"/>
      <c r="AH902" s="129"/>
      <c r="AI902" s="129"/>
      <c r="AJ902" s="130"/>
    </row>
    <row r="903" spans="11:36">
      <c r="K903" s="76"/>
      <c r="L903" s="48" t="e">
        <f t="shared" si="75"/>
        <v>#VALUE!</v>
      </c>
      <c r="M903" s="32" t="str">
        <f t="shared" si="78"/>
        <v/>
      </c>
      <c r="N903" s="63" t="e">
        <f t="shared" si="77"/>
        <v>#VALUE!</v>
      </c>
      <c r="O903" s="86"/>
      <c r="P903" s="223"/>
      <c r="Q903" s="224"/>
      <c r="R903" s="135"/>
      <c r="S903" s="139" cm="1">
        <f t="array" ref="S903">IF(P903="",0,IF(OR(O903=";",P903="EQU",P903="ORG"),0,HlpGetInstructionSize(P903,Q903,R903,$AC$12)))</f>
        <v>0</v>
      </c>
      <c r="V903" s="42" t="str">
        <f t="shared" si="76"/>
        <v/>
      </c>
      <c r="W903" s="16"/>
      <c r="X903" s="28"/>
      <c r="Y903" s="29"/>
      <c r="AA903" s="66"/>
      <c r="AB903" s="11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28"/>
      <c r="AD903" s="129"/>
      <c r="AE903" s="129"/>
      <c r="AF903" s="129"/>
      <c r="AG903" s="129"/>
      <c r="AH903" s="129"/>
      <c r="AI903" s="129"/>
      <c r="AJ903" s="130"/>
    </row>
    <row r="904" spans="11:36">
      <c r="K904" s="76"/>
      <c r="L904" s="48" t="e">
        <f t="shared" si="75"/>
        <v>#VALUE!</v>
      </c>
      <c r="M904" s="32" t="str">
        <f t="shared" si="78"/>
        <v/>
      </c>
      <c r="N904" s="63" t="e">
        <f t="shared" si="77"/>
        <v>#VALUE!</v>
      </c>
      <c r="O904" s="86"/>
      <c r="P904" s="223"/>
      <c r="Q904" s="224"/>
      <c r="R904" s="135"/>
      <c r="S904" s="139" cm="1">
        <f t="array" ref="S904">IF(P904="",0,IF(OR(O904=";",P904="EQU",P904="ORG"),0,HlpGetInstructionSize(P904,Q904,R904,$AC$12)))</f>
        <v>0</v>
      </c>
      <c r="V904" s="42" t="str">
        <f t="shared" si="76"/>
        <v/>
      </c>
      <c r="W904" s="16"/>
      <c r="X904" s="28"/>
      <c r="Y904" s="29"/>
      <c r="AA904" s="66"/>
      <c r="AB904" s="11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28"/>
      <c r="AD904" s="129"/>
      <c r="AE904" s="129"/>
      <c r="AF904" s="129"/>
      <c r="AG904" s="129"/>
      <c r="AH904" s="129"/>
      <c r="AI904" s="129"/>
      <c r="AJ904" s="130"/>
    </row>
    <row r="905" spans="11:36">
      <c r="K905" s="76"/>
      <c r="L905" s="48" t="e">
        <f t="shared" ref="L905:L968" si="79">IF(UPPER(P905)="EQU","E",IF(P905="DB","D",IF(O905&lt;&gt;"","L",IF(N905="","F",""))))</f>
        <v>#VALUE!</v>
      </c>
      <c r="M905" s="32" t="str">
        <f t="shared" si="78"/>
        <v/>
      </c>
      <c r="N905" s="63" t="e">
        <f t="shared" si="77"/>
        <v>#VALUE!</v>
      </c>
      <c r="O905" s="86"/>
      <c r="P905" s="223"/>
      <c r="Q905" s="224"/>
      <c r="R905" s="135"/>
      <c r="S905" s="139" cm="1">
        <f t="array" ref="S905">IF(P905="",0,IF(OR(O905=";",P905="EQU",P905="ORG"),0,HlpGetInstructionSize(P905,Q905,R905,$AC$12)))</f>
        <v>0</v>
      </c>
      <c r="V905" s="42" t="str">
        <f t="shared" ref="V905:V968" si="80">IF(W905&gt;0,RIGHT("0000"&amp;DEC2HEX(W905),4),"")</f>
        <v/>
      </c>
      <c r="W905" s="16"/>
      <c r="X905" s="28"/>
      <c r="Y905" s="29"/>
      <c r="AA905" s="66"/>
      <c r="AB905" s="11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28"/>
      <c r="AD905" s="129"/>
      <c r="AE905" s="129"/>
      <c r="AF905" s="129"/>
      <c r="AG905" s="129"/>
      <c r="AH905" s="129"/>
      <c r="AI905" s="129"/>
      <c r="AJ905" s="130"/>
    </row>
    <row r="906" spans="11:36">
      <c r="K906" s="76"/>
      <c r="L906" s="48" t="e">
        <f t="shared" si="79"/>
        <v>#VALUE!</v>
      </c>
      <c r="M906" s="32" t="str">
        <f t="shared" si="78"/>
        <v/>
      </c>
      <c r="N906" s="63" t="e">
        <f t="shared" ref="N906:N969" si="81">N905+S905</f>
        <v>#VALUE!</v>
      </c>
      <c r="O906" s="86"/>
      <c r="P906" s="223"/>
      <c r="Q906" s="224"/>
      <c r="R906" s="135"/>
      <c r="S906" s="139" cm="1">
        <f t="array" ref="S906">IF(P906="",0,IF(OR(O906=";",P906="EQU",P906="ORG"),0,HlpGetInstructionSize(P906,Q906,R906,$AC$12)))</f>
        <v>0</v>
      </c>
      <c r="V906" s="42" t="str">
        <f t="shared" si="80"/>
        <v/>
      </c>
      <c r="W906" s="16"/>
      <c r="X906" s="28"/>
      <c r="Y906" s="29"/>
      <c r="AA906" s="66"/>
      <c r="AB906" s="11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28"/>
      <c r="AD906" s="129"/>
      <c r="AE906" s="129"/>
      <c r="AF906" s="129"/>
      <c r="AG906" s="129"/>
      <c r="AH906" s="129"/>
      <c r="AI906" s="129"/>
      <c r="AJ906" s="130"/>
    </row>
    <row r="907" spans="11:36">
      <c r="K907" s="76"/>
      <c r="L907" s="48" t="e">
        <f t="shared" si="79"/>
        <v>#VALUE!</v>
      </c>
      <c r="M907" s="32" t="str">
        <f t="shared" si="78"/>
        <v/>
      </c>
      <c r="N907" s="63" t="e">
        <f t="shared" si="81"/>
        <v>#VALUE!</v>
      </c>
      <c r="O907" s="86"/>
      <c r="P907" s="223"/>
      <c r="Q907" s="224"/>
      <c r="R907" s="135"/>
      <c r="S907" s="139" cm="1">
        <f t="array" ref="S907">IF(P907="",0,IF(OR(O907=";",P907="EQU",P907="ORG"),0,HlpGetInstructionSize(P907,Q907,R907,$AC$12)))</f>
        <v>0</v>
      </c>
      <c r="V907" s="42" t="str">
        <f t="shared" si="80"/>
        <v/>
      </c>
      <c r="W907" s="16"/>
      <c r="X907" s="28"/>
      <c r="Y907" s="29"/>
      <c r="AA907" s="66"/>
      <c r="AB907" s="11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28"/>
      <c r="AD907" s="129"/>
      <c r="AE907" s="129"/>
      <c r="AF907" s="129"/>
      <c r="AG907" s="129"/>
      <c r="AH907" s="129"/>
      <c r="AI907" s="129"/>
      <c r="AJ907" s="130"/>
    </row>
    <row r="908" spans="11:36">
      <c r="K908" s="76"/>
      <c r="L908" s="48" t="e">
        <f t="shared" si="79"/>
        <v>#VALUE!</v>
      </c>
      <c r="M908" s="32" t="str">
        <f t="shared" si="78"/>
        <v/>
      </c>
      <c r="N908" s="63" t="e">
        <f t="shared" si="81"/>
        <v>#VALUE!</v>
      </c>
      <c r="O908" s="86"/>
      <c r="P908" s="223"/>
      <c r="Q908" s="224"/>
      <c r="R908" s="135"/>
      <c r="S908" s="139" cm="1">
        <f t="array" ref="S908">IF(P908="",0,IF(OR(O908=";",P908="EQU",P908="ORG"),0,HlpGetInstructionSize(P908,Q908,R908,$AC$12)))</f>
        <v>0</v>
      </c>
      <c r="V908" s="42" t="str">
        <f t="shared" si="80"/>
        <v/>
      </c>
      <c r="W908" s="16"/>
      <c r="X908" s="28"/>
      <c r="Y908" s="29"/>
      <c r="AA908" s="66"/>
      <c r="AB908" s="11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28"/>
      <c r="AD908" s="129"/>
      <c r="AE908" s="129"/>
      <c r="AF908" s="129"/>
      <c r="AG908" s="129"/>
      <c r="AH908" s="129"/>
      <c r="AI908" s="129"/>
      <c r="AJ908" s="130"/>
    </row>
    <row r="909" spans="11:36">
      <c r="K909" s="76"/>
      <c r="L909" s="48" t="e">
        <f t="shared" si="79"/>
        <v>#VALUE!</v>
      </c>
      <c r="M909" s="32" t="str">
        <f t="shared" si="78"/>
        <v/>
      </c>
      <c r="N909" s="63" t="e">
        <f t="shared" si="81"/>
        <v>#VALUE!</v>
      </c>
      <c r="O909" s="86"/>
      <c r="P909" s="223"/>
      <c r="Q909" s="224"/>
      <c r="R909" s="135"/>
      <c r="S909" s="139" cm="1">
        <f t="array" ref="S909">IF(P909="",0,IF(OR(O909=";",P909="EQU",P909="ORG"),0,HlpGetInstructionSize(P909,Q909,R909,$AC$12)))</f>
        <v>0</v>
      </c>
      <c r="V909" s="42" t="str">
        <f t="shared" si="80"/>
        <v/>
      </c>
      <c r="W909" s="16"/>
      <c r="X909" s="28"/>
      <c r="Y909" s="29"/>
      <c r="AA909" s="66"/>
      <c r="AB909" s="11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28"/>
      <c r="AD909" s="129"/>
      <c r="AE909" s="129"/>
      <c r="AF909" s="129"/>
      <c r="AG909" s="129"/>
      <c r="AH909" s="129"/>
      <c r="AI909" s="129"/>
      <c r="AJ909" s="130"/>
    </row>
    <row r="910" spans="11:36">
      <c r="K910" s="76"/>
      <c r="L910" s="48" t="e">
        <f t="shared" si="79"/>
        <v>#VALUE!</v>
      </c>
      <c r="M910" s="32" t="str">
        <f t="shared" si="78"/>
        <v/>
      </c>
      <c r="N910" s="63" t="e">
        <f t="shared" si="81"/>
        <v>#VALUE!</v>
      </c>
      <c r="O910" s="86"/>
      <c r="P910" s="223"/>
      <c r="Q910" s="224"/>
      <c r="R910" s="135"/>
      <c r="S910" s="139" cm="1">
        <f t="array" ref="S910">IF(P910="",0,IF(OR(O910=";",P910="EQU",P910="ORG"),0,HlpGetInstructionSize(P910,Q910,R910,$AC$12)))</f>
        <v>0</v>
      </c>
      <c r="V910" s="42" t="str">
        <f t="shared" si="80"/>
        <v/>
      </c>
      <c r="W910" s="16"/>
      <c r="X910" s="28"/>
      <c r="Y910" s="29"/>
      <c r="AA910" s="66"/>
      <c r="AB910" s="11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28"/>
      <c r="AD910" s="129"/>
      <c r="AE910" s="129"/>
      <c r="AF910" s="129"/>
      <c r="AG910" s="129"/>
      <c r="AH910" s="129"/>
      <c r="AI910" s="129"/>
      <c r="AJ910" s="130"/>
    </row>
    <row r="911" spans="11:36">
      <c r="K911" s="76"/>
      <c r="L911" s="48" t="e">
        <f t="shared" si="79"/>
        <v>#VALUE!</v>
      </c>
      <c r="M911" s="32" t="str">
        <f t="shared" si="78"/>
        <v/>
      </c>
      <c r="N911" s="63" t="e">
        <f t="shared" si="81"/>
        <v>#VALUE!</v>
      </c>
      <c r="O911" s="86"/>
      <c r="P911" s="223"/>
      <c r="Q911" s="224"/>
      <c r="R911" s="135"/>
      <c r="S911" s="139" cm="1">
        <f t="array" ref="S911">IF(P911="",0,IF(OR(O911=";",P911="EQU",P911="ORG"),0,HlpGetInstructionSize(P911,Q911,R911,$AC$12)))</f>
        <v>0</v>
      </c>
      <c r="V911" s="42" t="str">
        <f t="shared" si="80"/>
        <v/>
      </c>
      <c r="W911" s="16"/>
      <c r="X911" s="28"/>
      <c r="Y911" s="29"/>
      <c r="AA911" s="66"/>
      <c r="AB911" s="11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28"/>
      <c r="AD911" s="129"/>
      <c r="AE911" s="129"/>
      <c r="AF911" s="129"/>
      <c r="AG911" s="129"/>
      <c r="AH911" s="129"/>
      <c r="AI911" s="129"/>
      <c r="AJ911" s="130"/>
    </row>
    <row r="912" spans="11:36">
      <c r="K912" s="76"/>
      <c r="L912" s="48" t="e">
        <f t="shared" si="79"/>
        <v>#VALUE!</v>
      </c>
      <c r="M912" s="32" t="str">
        <f t="shared" si="78"/>
        <v/>
      </c>
      <c r="N912" s="63" t="e">
        <f t="shared" si="81"/>
        <v>#VALUE!</v>
      </c>
      <c r="O912" s="86"/>
      <c r="P912" s="223"/>
      <c r="Q912" s="224"/>
      <c r="R912" s="135"/>
      <c r="S912" s="139" cm="1">
        <f t="array" ref="S912">IF(P912="",0,IF(OR(O912=";",P912="EQU",P912="ORG"),0,HlpGetInstructionSize(P912,Q912,R912,$AC$12)))</f>
        <v>0</v>
      </c>
      <c r="V912" s="42" t="str">
        <f t="shared" si="80"/>
        <v/>
      </c>
      <c r="W912" s="16"/>
      <c r="X912" s="28"/>
      <c r="Y912" s="29"/>
      <c r="AA912" s="66"/>
      <c r="AB912" s="11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28"/>
      <c r="AD912" s="129"/>
      <c r="AE912" s="129"/>
      <c r="AF912" s="129"/>
      <c r="AG912" s="129"/>
      <c r="AH912" s="129"/>
      <c r="AI912" s="129"/>
      <c r="AJ912" s="130"/>
    </row>
    <row r="913" spans="11:36">
      <c r="K913" s="76"/>
      <c r="L913" s="48" t="e">
        <f t="shared" si="79"/>
        <v>#VALUE!</v>
      </c>
      <c r="M913" s="32" t="str">
        <f t="shared" si="78"/>
        <v/>
      </c>
      <c r="N913" s="63" t="e">
        <f t="shared" si="81"/>
        <v>#VALUE!</v>
      </c>
      <c r="O913" s="86"/>
      <c r="P913" s="223"/>
      <c r="Q913" s="224"/>
      <c r="R913" s="135"/>
      <c r="S913" s="139" cm="1">
        <f t="array" ref="S913">IF(P913="",0,IF(OR(O913=";",P913="EQU",P913="ORG"),0,HlpGetInstructionSize(P913,Q913,R913,$AC$12)))</f>
        <v>0</v>
      </c>
      <c r="V913" s="42" t="str">
        <f t="shared" si="80"/>
        <v/>
      </c>
      <c r="W913" s="16"/>
      <c r="X913" s="28"/>
      <c r="Y913" s="29"/>
      <c r="AA913" s="66"/>
      <c r="AB913" s="11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28"/>
      <c r="AD913" s="129"/>
      <c r="AE913" s="129"/>
      <c r="AF913" s="129"/>
      <c r="AG913" s="129"/>
      <c r="AH913" s="129"/>
      <c r="AI913" s="129"/>
      <c r="AJ913" s="130"/>
    </row>
    <row r="914" spans="11:36">
      <c r="K914" s="76"/>
      <c r="L914" s="48" t="e">
        <f t="shared" si="79"/>
        <v>#VALUE!</v>
      </c>
      <c r="M914" s="32" t="str">
        <f t="shared" si="78"/>
        <v/>
      </c>
      <c r="N914" s="63" t="e">
        <f t="shared" si="81"/>
        <v>#VALUE!</v>
      </c>
      <c r="O914" s="86"/>
      <c r="P914" s="223"/>
      <c r="Q914" s="224"/>
      <c r="R914" s="135"/>
      <c r="S914" s="139" cm="1">
        <f t="array" ref="S914">IF(P914="",0,IF(OR(O914=";",P914="EQU",P914="ORG"),0,HlpGetInstructionSize(P914,Q914,R914,$AC$12)))</f>
        <v>0</v>
      </c>
      <c r="V914" s="42" t="str">
        <f t="shared" si="80"/>
        <v/>
      </c>
      <c r="W914" s="16"/>
      <c r="X914" s="28"/>
      <c r="Y914" s="29"/>
      <c r="AA914" s="66"/>
      <c r="AB914" s="11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28"/>
      <c r="AD914" s="129"/>
      <c r="AE914" s="129"/>
      <c r="AF914" s="129"/>
      <c r="AG914" s="129"/>
      <c r="AH914" s="129"/>
      <c r="AI914" s="129"/>
      <c r="AJ914" s="130"/>
    </row>
    <row r="915" spans="11:36">
      <c r="K915" s="76"/>
      <c r="L915" s="48" t="e">
        <f t="shared" si="79"/>
        <v>#VALUE!</v>
      </c>
      <c r="M915" s="32" t="str">
        <f t="shared" si="78"/>
        <v/>
      </c>
      <c r="N915" s="63" t="e">
        <f t="shared" si="81"/>
        <v>#VALUE!</v>
      </c>
      <c r="O915" s="86"/>
      <c r="P915" s="223"/>
      <c r="Q915" s="224"/>
      <c r="R915" s="135"/>
      <c r="S915" s="139" cm="1">
        <f t="array" ref="S915">IF(P915="",0,IF(OR(O915=";",P915="EQU",P915="ORG"),0,HlpGetInstructionSize(P915,Q915,R915,$AC$12)))</f>
        <v>0</v>
      </c>
      <c r="V915" s="42" t="str">
        <f t="shared" si="80"/>
        <v/>
      </c>
      <c r="W915" s="16"/>
      <c r="X915" s="28"/>
      <c r="Y915" s="29"/>
      <c r="AA915" s="66"/>
      <c r="AB915" s="11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28"/>
      <c r="AD915" s="129"/>
      <c r="AE915" s="129"/>
      <c r="AF915" s="129"/>
      <c r="AG915" s="129"/>
      <c r="AH915" s="129"/>
      <c r="AI915" s="129"/>
      <c r="AJ915" s="130"/>
    </row>
    <row r="916" spans="11:36">
      <c r="K916" s="76"/>
      <c r="L916" s="48" t="e">
        <f t="shared" si="79"/>
        <v>#VALUE!</v>
      </c>
      <c r="M916" s="32" t="str">
        <f t="shared" si="78"/>
        <v/>
      </c>
      <c r="N916" s="63" t="e">
        <f t="shared" si="81"/>
        <v>#VALUE!</v>
      </c>
      <c r="O916" s="86"/>
      <c r="P916" s="223"/>
      <c r="Q916" s="224"/>
      <c r="R916" s="135"/>
      <c r="S916" s="139" cm="1">
        <f t="array" ref="S916">IF(P916="",0,IF(OR(O916=";",P916="EQU",P916="ORG"),0,HlpGetInstructionSize(P916,Q916,R916,$AC$12)))</f>
        <v>0</v>
      </c>
      <c r="V916" s="42" t="str">
        <f t="shared" si="80"/>
        <v/>
      </c>
      <c r="W916" s="16"/>
      <c r="X916" s="28"/>
      <c r="Y916" s="29"/>
      <c r="AA916" s="66"/>
      <c r="AB916" s="11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28"/>
      <c r="AD916" s="129"/>
      <c r="AE916" s="129"/>
      <c r="AF916" s="129"/>
      <c r="AG916" s="129"/>
      <c r="AH916" s="129"/>
      <c r="AI916" s="129"/>
      <c r="AJ916" s="130"/>
    </row>
    <row r="917" spans="11:36">
      <c r="K917" s="76"/>
      <c r="L917" s="48" t="e">
        <f t="shared" si="79"/>
        <v>#VALUE!</v>
      </c>
      <c r="M917" s="32" t="str">
        <f t="shared" si="78"/>
        <v/>
      </c>
      <c r="N917" s="63" t="e">
        <f t="shared" si="81"/>
        <v>#VALUE!</v>
      </c>
      <c r="O917" s="86"/>
      <c r="P917" s="223"/>
      <c r="Q917" s="224"/>
      <c r="R917" s="135"/>
      <c r="S917" s="139" cm="1">
        <f t="array" ref="S917">IF(P917="",0,IF(OR(O917=";",P917="EQU",P917="ORG"),0,HlpGetInstructionSize(P917,Q917,R917,$AC$12)))</f>
        <v>0</v>
      </c>
      <c r="V917" s="42" t="str">
        <f t="shared" si="80"/>
        <v/>
      </c>
      <c r="W917" s="16"/>
      <c r="X917" s="28"/>
      <c r="Y917" s="29"/>
      <c r="AA917" s="66"/>
      <c r="AB917" s="11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28"/>
      <c r="AD917" s="129"/>
      <c r="AE917" s="129"/>
      <c r="AF917" s="129"/>
      <c r="AG917" s="129"/>
      <c r="AH917" s="129"/>
      <c r="AI917" s="129"/>
      <c r="AJ917" s="130"/>
    </row>
    <row r="918" spans="11:36">
      <c r="K918" s="76"/>
      <c r="L918" s="48" t="e">
        <f t="shared" si="79"/>
        <v>#VALUE!</v>
      </c>
      <c r="M918" s="32" t="str">
        <f t="shared" si="78"/>
        <v/>
      </c>
      <c r="N918" s="63" t="e">
        <f t="shared" si="81"/>
        <v>#VALUE!</v>
      </c>
      <c r="O918" s="86"/>
      <c r="P918" s="223"/>
      <c r="Q918" s="224"/>
      <c r="R918" s="135"/>
      <c r="S918" s="139" cm="1">
        <f t="array" ref="S918">IF(P918="",0,IF(OR(O918=";",P918="EQU",P918="ORG"),0,HlpGetInstructionSize(P918,Q918,R918,$AC$12)))</f>
        <v>0</v>
      </c>
      <c r="V918" s="42" t="str">
        <f t="shared" si="80"/>
        <v/>
      </c>
      <c r="W918" s="16"/>
      <c r="X918" s="28"/>
      <c r="Y918" s="29"/>
      <c r="AA918" s="66"/>
      <c r="AB918" s="11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28"/>
      <c r="AD918" s="129"/>
      <c r="AE918" s="129"/>
      <c r="AF918" s="129"/>
      <c r="AG918" s="129"/>
      <c r="AH918" s="129"/>
      <c r="AI918" s="129"/>
      <c r="AJ918" s="130"/>
    </row>
    <row r="919" spans="11:36">
      <c r="K919" s="76"/>
      <c r="L919" s="48" t="e">
        <f t="shared" si="79"/>
        <v>#VALUE!</v>
      </c>
      <c r="M919" s="32" t="str">
        <f t="shared" si="78"/>
        <v/>
      </c>
      <c r="N919" s="63" t="e">
        <f t="shared" si="81"/>
        <v>#VALUE!</v>
      </c>
      <c r="O919" s="86"/>
      <c r="P919" s="223"/>
      <c r="Q919" s="224"/>
      <c r="R919" s="135"/>
      <c r="S919" s="139" cm="1">
        <f t="array" ref="S919">IF(P919="",0,IF(OR(O919=";",P919="EQU",P919="ORG"),0,HlpGetInstructionSize(P919,Q919,R919,$AC$12)))</f>
        <v>0</v>
      </c>
      <c r="V919" s="42" t="str">
        <f t="shared" si="80"/>
        <v/>
      </c>
      <c r="W919" s="16"/>
      <c r="X919" s="28"/>
      <c r="Y919" s="29"/>
      <c r="AA919" s="66"/>
      <c r="AB919" s="11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28"/>
      <c r="AD919" s="129"/>
      <c r="AE919" s="129"/>
      <c r="AF919" s="129"/>
      <c r="AG919" s="129"/>
      <c r="AH919" s="129"/>
      <c r="AI919" s="129"/>
      <c r="AJ919" s="130"/>
    </row>
    <row r="920" spans="11:36">
      <c r="K920" s="76"/>
      <c r="L920" s="48" t="e">
        <f t="shared" si="79"/>
        <v>#VALUE!</v>
      </c>
      <c r="M920" s="32" t="str">
        <f t="shared" si="78"/>
        <v/>
      </c>
      <c r="N920" s="63" t="e">
        <f t="shared" si="81"/>
        <v>#VALUE!</v>
      </c>
      <c r="O920" s="86"/>
      <c r="P920" s="223"/>
      <c r="Q920" s="224"/>
      <c r="R920" s="135"/>
      <c r="S920" s="139" cm="1">
        <f t="array" ref="S920">IF(P920="",0,IF(OR(O920=";",P920="EQU",P920="ORG"),0,HlpGetInstructionSize(P920,Q920,R920,$AC$12)))</f>
        <v>0</v>
      </c>
      <c r="V920" s="42" t="str">
        <f t="shared" si="80"/>
        <v/>
      </c>
      <c r="W920" s="16"/>
      <c r="X920" s="28"/>
      <c r="Y920" s="29"/>
      <c r="AA920" s="66"/>
      <c r="AB920" s="11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28"/>
      <c r="AD920" s="129"/>
      <c r="AE920" s="129"/>
      <c r="AF920" s="129"/>
      <c r="AG920" s="129"/>
      <c r="AH920" s="129"/>
      <c r="AI920" s="129"/>
      <c r="AJ920" s="130"/>
    </row>
    <row r="921" spans="11:36">
      <c r="K921" s="76"/>
      <c r="L921" s="48" t="e">
        <f t="shared" si="79"/>
        <v>#VALUE!</v>
      </c>
      <c r="M921" s="32" t="str">
        <f t="shared" si="78"/>
        <v/>
      </c>
      <c r="N921" s="63" t="e">
        <f t="shared" si="81"/>
        <v>#VALUE!</v>
      </c>
      <c r="O921" s="86"/>
      <c r="P921" s="223"/>
      <c r="Q921" s="224"/>
      <c r="R921" s="135"/>
      <c r="S921" s="139" cm="1">
        <f t="array" ref="S921">IF(P921="",0,IF(OR(O921=";",P921="EQU",P921="ORG"),0,HlpGetInstructionSize(P921,Q921,R921,$AC$12)))</f>
        <v>0</v>
      </c>
      <c r="V921" s="42" t="str">
        <f t="shared" si="80"/>
        <v/>
      </c>
      <c r="W921" s="16"/>
      <c r="X921" s="28"/>
      <c r="Y921" s="29"/>
      <c r="AA921" s="66"/>
      <c r="AB921" s="11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28"/>
      <c r="AD921" s="129"/>
      <c r="AE921" s="129"/>
      <c r="AF921" s="129"/>
      <c r="AG921" s="129"/>
      <c r="AH921" s="129"/>
      <c r="AI921" s="129"/>
      <c r="AJ921" s="130"/>
    </row>
    <row r="922" spans="11:36">
      <c r="K922" s="76"/>
      <c r="L922" s="48" t="e">
        <f t="shared" si="79"/>
        <v>#VALUE!</v>
      </c>
      <c r="M922" s="32" t="str">
        <f t="shared" si="78"/>
        <v/>
      </c>
      <c r="N922" s="63" t="e">
        <f t="shared" si="81"/>
        <v>#VALUE!</v>
      </c>
      <c r="O922" s="86"/>
      <c r="P922" s="223"/>
      <c r="Q922" s="224"/>
      <c r="R922" s="135"/>
      <c r="S922" s="139" cm="1">
        <f t="array" ref="S922">IF(P922="",0,IF(OR(O922=";",P922="EQU",P922="ORG"),0,HlpGetInstructionSize(P922,Q922,R922,$AC$12)))</f>
        <v>0</v>
      </c>
      <c r="V922" s="42" t="str">
        <f t="shared" si="80"/>
        <v/>
      </c>
      <c r="W922" s="16"/>
      <c r="X922" s="28"/>
      <c r="Y922" s="29"/>
      <c r="AA922" s="66"/>
      <c r="AB922" s="11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28"/>
      <c r="AD922" s="129"/>
      <c r="AE922" s="129"/>
      <c r="AF922" s="129"/>
      <c r="AG922" s="129"/>
      <c r="AH922" s="129"/>
      <c r="AI922" s="129"/>
      <c r="AJ922" s="130"/>
    </row>
    <row r="923" spans="11:36">
      <c r="K923" s="76"/>
      <c r="L923" s="48" t="e">
        <f t="shared" si="79"/>
        <v>#VALUE!</v>
      </c>
      <c r="M923" s="32" t="str">
        <f t="shared" si="78"/>
        <v/>
      </c>
      <c r="N923" s="63" t="e">
        <f t="shared" si="81"/>
        <v>#VALUE!</v>
      </c>
      <c r="O923" s="86"/>
      <c r="P923" s="223"/>
      <c r="Q923" s="224"/>
      <c r="R923" s="135"/>
      <c r="S923" s="139" cm="1">
        <f t="array" ref="S923">IF(P923="",0,IF(OR(O923=";",P923="EQU",P923="ORG"),0,HlpGetInstructionSize(P923,Q923,R923,$AC$12)))</f>
        <v>0</v>
      </c>
      <c r="V923" s="42" t="str">
        <f t="shared" si="80"/>
        <v/>
      </c>
      <c r="W923" s="16"/>
      <c r="X923" s="28"/>
      <c r="Y923" s="29"/>
      <c r="AA923" s="66"/>
      <c r="AB923" s="11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28"/>
      <c r="AD923" s="129"/>
      <c r="AE923" s="129"/>
      <c r="AF923" s="129"/>
      <c r="AG923" s="129"/>
      <c r="AH923" s="129"/>
      <c r="AI923" s="129"/>
      <c r="AJ923" s="130"/>
    </row>
    <row r="924" spans="11:36">
      <c r="K924" s="76"/>
      <c r="L924" s="48" t="e">
        <f t="shared" si="79"/>
        <v>#VALUE!</v>
      </c>
      <c r="M924" s="32" t="str">
        <f t="shared" si="78"/>
        <v/>
      </c>
      <c r="N924" s="63" t="e">
        <f t="shared" si="81"/>
        <v>#VALUE!</v>
      </c>
      <c r="O924" s="86"/>
      <c r="P924" s="223"/>
      <c r="Q924" s="224"/>
      <c r="R924" s="135"/>
      <c r="S924" s="139" cm="1">
        <f t="array" ref="S924">IF(P924="",0,IF(OR(O924=";",P924="EQU",P924="ORG"),0,HlpGetInstructionSize(P924,Q924,R924,$AC$12)))</f>
        <v>0</v>
      </c>
      <c r="V924" s="42" t="str">
        <f t="shared" si="80"/>
        <v/>
      </c>
      <c r="W924" s="16"/>
      <c r="X924" s="28"/>
      <c r="Y924" s="29"/>
      <c r="AA924" s="66"/>
      <c r="AB924" s="11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28"/>
      <c r="AD924" s="129"/>
      <c r="AE924" s="129"/>
      <c r="AF924" s="129"/>
      <c r="AG924" s="129"/>
      <c r="AH924" s="129"/>
      <c r="AI924" s="129"/>
      <c r="AJ924" s="130"/>
    </row>
    <row r="925" spans="11:36">
      <c r="K925" s="76"/>
      <c r="L925" s="48" t="e">
        <f t="shared" si="79"/>
        <v>#VALUE!</v>
      </c>
      <c r="M925" s="32" t="str">
        <f t="shared" ref="M925:M988" si="82">IFERROR(RIGHT("0000"&amp;DEC2HEX(N925),4),"")</f>
        <v/>
      </c>
      <c r="N925" s="63" t="e">
        <f t="shared" si="81"/>
        <v>#VALUE!</v>
      </c>
      <c r="O925" s="86"/>
      <c r="P925" s="223"/>
      <c r="Q925" s="224"/>
      <c r="R925" s="135"/>
      <c r="S925" s="139" cm="1">
        <f t="array" ref="S925">IF(P925="",0,IF(OR(O925=";",P925="EQU",P925="ORG"),0,HlpGetInstructionSize(P925,Q925,R925,$AC$12)))</f>
        <v>0</v>
      </c>
      <c r="V925" s="42" t="str">
        <f t="shared" si="80"/>
        <v/>
      </c>
      <c r="W925" s="16"/>
      <c r="X925" s="28"/>
      <c r="Y925" s="29"/>
      <c r="AA925" s="66"/>
      <c r="AB925" s="11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28"/>
      <c r="AD925" s="129"/>
      <c r="AE925" s="129"/>
      <c r="AF925" s="129"/>
      <c r="AG925" s="129"/>
      <c r="AH925" s="129"/>
      <c r="AI925" s="129"/>
      <c r="AJ925" s="130"/>
    </row>
    <row r="926" spans="11:36">
      <c r="K926" s="76"/>
      <c r="L926" s="48" t="e">
        <f t="shared" si="79"/>
        <v>#VALUE!</v>
      </c>
      <c r="M926" s="32" t="str">
        <f t="shared" si="82"/>
        <v/>
      </c>
      <c r="N926" s="63" t="e">
        <f t="shared" si="81"/>
        <v>#VALUE!</v>
      </c>
      <c r="O926" s="86"/>
      <c r="P926" s="223"/>
      <c r="Q926" s="224"/>
      <c r="R926" s="135"/>
      <c r="S926" s="139" cm="1">
        <f t="array" ref="S926">IF(P926="",0,IF(OR(O926=";",P926="EQU",P926="ORG"),0,HlpGetInstructionSize(P926,Q926,R926,$AC$12)))</f>
        <v>0</v>
      </c>
      <c r="V926" s="42" t="str">
        <f t="shared" si="80"/>
        <v/>
      </c>
      <c r="W926" s="16"/>
      <c r="X926" s="28"/>
      <c r="Y926" s="29"/>
      <c r="AA926" s="66"/>
      <c r="AB926" s="11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28"/>
      <c r="AD926" s="129"/>
      <c r="AE926" s="129"/>
      <c r="AF926" s="129"/>
      <c r="AG926" s="129"/>
      <c r="AH926" s="129"/>
      <c r="AI926" s="129"/>
      <c r="AJ926" s="130"/>
    </row>
    <row r="927" spans="11:36">
      <c r="K927" s="76"/>
      <c r="L927" s="48" t="e">
        <f t="shared" si="79"/>
        <v>#VALUE!</v>
      </c>
      <c r="M927" s="32" t="str">
        <f t="shared" si="82"/>
        <v/>
      </c>
      <c r="N927" s="63" t="e">
        <f t="shared" si="81"/>
        <v>#VALUE!</v>
      </c>
      <c r="O927" s="86"/>
      <c r="P927" s="223"/>
      <c r="Q927" s="224"/>
      <c r="R927" s="135"/>
      <c r="S927" s="139" cm="1">
        <f t="array" ref="S927">IF(P927="",0,IF(OR(O927=";",P927="EQU",P927="ORG"),0,HlpGetInstructionSize(P927,Q927,R927,$AC$12)))</f>
        <v>0</v>
      </c>
      <c r="V927" s="42" t="str">
        <f t="shared" si="80"/>
        <v/>
      </c>
      <c r="W927" s="16"/>
      <c r="X927" s="28"/>
      <c r="Y927" s="29"/>
      <c r="AA927" s="66"/>
      <c r="AB927" s="11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28"/>
      <c r="AD927" s="129"/>
      <c r="AE927" s="129"/>
      <c r="AF927" s="129"/>
      <c r="AG927" s="129"/>
      <c r="AH927" s="129"/>
      <c r="AI927" s="129"/>
      <c r="AJ927" s="130"/>
    </row>
    <row r="928" spans="11:36">
      <c r="K928" s="76"/>
      <c r="L928" s="48" t="e">
        <f t="shared" si="79"/>
        <v>#VALUE!</v>
      </c>
      <c r="M928" s="32" t="str">
        <f t="shared" si="82"/>
        <v/>
      </c>
      <c r="N928" s="63" t="e">
        <f t="shared" si="81"/>
        <v>#VALUE!</v>
      </c>
      <c r="O928" s="86"/>
      <c r="P928" s="223"/>
      <c r="Q928" s="224"/>
      <c r="R928" s="135"/>
      <c r="S928" s="139" cm="1">
        <f t="array" ref="S928">IF(P928="",0,IF(OR(O928=";",P928="EQU",P928="ORG"),0,HlpGetInstructionSize(P928,Q928,R928,$AC$12)))</f>
        <v>0</v>
      </c>
      <c r="V928" s="42" t="str">
        <f t="shared" si="80"/>
        <v/>
      </c>
      <c r="W928" s="16"/>
      <c r="X928" s="28"/>
      <c r="Y928" s="29"/>
      <c r="AA928" s="66"/>
      <c r="AB928" s="11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28"/>
      <c r="AD928" s="129"/>
      <c r="AE928" s="129"/>
      <c r="AF928" s="129"/>
      <c r="AG928" s="129"/>
      <c r="AH928" s="129"/>
      <c r="AI928" s="129"/>
      <c r="AJ928" s="130"/>
    </row>
    <row r="929" spans="11:36">
      <c r="K929" s="76"/>
      <c r="L929" s="48" t="e">
        <f t="shared" si="79"/>
        <v>#VALUE!</v>
      </c>
      <c r="M929" s="32" t="str">
        <f t="shared" si="82"/>
        <v/>
      </c>
      <c r="N929" s="63" t="e">
        <f t="shared" si="81"/>
        <v>#VALUE!</v>
      </c>
      <c r="O929" s="86"/>
      <c r="P929" s="223"/>
      <c r="Q929" s="224"/>
      <c r="R929" s="135"/>
      <c r="S929" s="139" cm="1">
        <f t="array" ref="S929">IF(P929="",0,IF(OR(O929=";",P929="EQU",P929="ORG"),0,HlpGetInstructionSize(P929,Q929,R929,$AC$12)))</f>
        <v>0</v>
      </c>
      <c r="V929" s="42" t="str">
        <f t="shared" si="80"/>
        <v/>
      </c>
      <c r="W929" s="16"/>
      <c r="X929" s="28"/>
      <c r="Y929" s="29"/>
      <c r="AA929" s="66"/>
      <c r="AB929" s="11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28"/>
      <c r="AD929" s="129"/>
      <c r="AE929" s="129"/>
      <c r="AF929" s="129"/>
      <c r="AG929" s="129"/>
      <c r="AH929" s="129"/>
      <c r="AI929" s="129"/>
      <c r="AJ929" s="130"/>
    </row>
    <row r="930" spans="11:36">
      <c r="K930" s="76"/>
      <c r="L930" s="48" t="e">
        <f t="shared" si="79"/>
        <v>#VALUE!</v>
      </c>
      <c r="M930" s="32" t="str">
        <f t="shared" si="82"/>
        <v/>
      </c>
      <c r="N930" s="63" t="e">
        <f t="shared" si="81"/>
        <v>#VALUE!</v>
      </c>
      <c r="O930" s="86"/>
      <c r="P930" s="223"/>
      <c r="Q930" s="224"/>
      <c r="R930" s="135"/>
      <c r="S930" s="139" cm="1">
        <f t="array" ref="S930">IF(P930="",0,IF(OR(O930=";",P930="EQU",P930="ORG"),0,HlpGetInstructionSize(P930,Q930,R930,$AC$12)))</f>
        <v>0</v>
      </c>
      <c r="V930" s="42" t="str">
        <f t="shared" si="80"/>
        <v/>
      </c>
      <c r="W930" s="16"/>
      <c r="X930" s="28"/>
      <c r="Y930" s="29"/>
      <c r="AA930" s="66"/>
      <c r="AB930" s="11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28"/>
      <c r="AD930" s="129"/>
      <c r="AE930" s="129"/>
      <c r="AF930" s="129"/>
      <c r="AG930" s="129"/>
      <c r="AH930" s="129"/>
      <c r="AI930" s="129"/>
      <c r="AJ930" s="130"/>
    </row>
    <row r="931" spans="11:36">
      <c r="K931" s="76"/>
      <c r="L931" s="48" t="e">
        <f t="shared" si="79"/>
        <v>#VALUE!</v>
      </c>
      <c r="M931" s="32" t="str">
        <f t="shared" si="82"/>
        <v/>
      </c>
      <c r="N931" s="63" t="e">
        <f t="shared" si="81"/>
        <v>#VALUE!</v>
      </c>
      <c r="O931" s="86"/>
      <c r="P931" s="223"/>
      <c r="Q931" s="224"/>
      <c r="R931" s="135"/>
      <c r="S931" s="139" cm="1">
        <f t="array" ref="S931">IF(P931="",0,IF(OR(O931=";",P931="EQU",P931="ORG"),0,HlpGetInstructionSize(P931,Q931,R931,$AC$12)))</f>
        <v>0</v>
      </c>
      <c r="V931" s="42" t="str">
        <f t="shared" si="80"/>
        <v/>
      </c>
      <c r="W931" s="16"/>
      <c r="X931" s="28"/>
      <c r="Y931" s="29"/>
      <c r="AA931" s="66"/>
      <c r="AB931" s="11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28"/>
      <c r="AD931" s="129"/>
      <c r="AE931" s="129"/>
      <c r="AF931" s="129"/>
      <c r="AG931" s="129"/>
      <c r="AH931" s="129"/>
      <c r="AI931" s="129"/>
      <c r="AJ931" s="130"/>
    </row>
    <row r="932" spans="11:36">
      <c r="K932" s="76"/>
      <c r="L932" s="48" t="e">
        <f t="shared" si="79"/>
        <v>#VALUE!</v>
      </c>
      <c r="M932" s="32" t="str">
        <f t="shared" si="82"/>
        <v/>
      </c>
      <c r="N932" s="63" t="e">
        <f t="shared" si="81"/>
        <v>#VALUE!</v>
      </c>
      <c r="O932" s="86"/>
      <c r="P932" s="223"/>
      <c r="Q932" s="224"/>
      <c r="R932" s="135"/>
      <c r="S932" s="139" cm="1">
        <f t="array" ref="S932">IF(P932="",0,IF(OR(O932=";",P932="EQU",P932="ORG"),0,HlpGetInstructionSize(P932,Q932,R932,$AC$12)))</f>
        <v>0</v>
      </c>
      <c r="V932" s="42" t="str">
        <f t="shared" si="80"/>
        <v/>
      </c>
      <c r="W932" s="16"/>
      <c r="X932" s="28"/>
      <c r="Y932" s="29"/>
      <c r="AA932" s="66"/>
      <c r="AB932" s="11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28"/>
      <c r="AD932" s="129"/>
      <c r="AE932" s="129"/>
      <c r="AF932" s="129"/>
      <c r="AG932" s="129"/>
      <c r="AH932" s="129"/>
      <c r="AI932" s="129"/>
      <c r="AJ932" s="130"/>
    </row>
    <row r="933" spans="11:36">
      <c r="K933" s="76"/>
      <c r="L933" s="48" t="e">
        <f t="shared" si="79"/>
        <v>#VALUE!</v>
      </c>
      <c r="M933" s="32" t="str">
        <f t="shared" si="82"/>
        <v/>
      </c>
      <c r="N933" s="63" t="e">
        <f t="shared" si="81"/>
        <v>#VALUE!</v>
      </c>
      <c r="O933" s="86"/>
      <c r="P933" s="223"/>
      <c r="Q933" s="224"/>
      <c r="R933" s="135"/>
      <c r="S933" s="139" cm="1">
        <f t="array" ref="S933">IF(P933="",0,IF(OR(O933=";",P933="EQU",P933="ORG"),0,HlpGetInstructionSize(P933,Q933,R933,$AC$12)))</f>
        <v>0</v>
      </c>
      <c r="V933" s="42" t="str">
        <f t="shared" si="80"/>
        <v/>
      </c>
      <c r="W933" s="16"/>
      <c r="X933" s="28"/>
      <c r="Y933" s="29"/>
      <c r="AA933" s="66"/>
      <c r="AB933" s="11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28"/>
      <c r="AD933" s="129"/>
      <c r="AE933" s="129"/>
      <c r="AF933" s="129"/>
      <c r="AG933" s="129"/>
      <c r="AH933" s="129"/>
      <c r="AI933" s="129"/>
      <c r="AJ933" s="130"/>
    </row>
    <row r="934" spans="11:36">
      <c r="K934" s="76"/>
      <c r="L934" s="48" t="e">
        <f t="shared" si="79"/>
        <v>#VALUE!</v>
      </c>
      <c r="M934" s="32" t="str">
        <f t="shared" si="82"/>
        <v/>
      </c>
      <c r="N934" s="63" t="e">
        <f t="shared" si="81"/>
        <v>#VALUE!</v>
      </c>
      <c r="O934" s="86"/>
      <c r="P934" s="223"/>
      <c r="Q934" s="224"/>
      <c r="R934" s="135"/>
      <c r="S934" s="139" cm="1">
        <f t="array" ref="S934">IF(P934="",0,IF(OR(O934=";",P934="EQU",P934="ORG"),0,HlpGetInstructionSize(P934,Q934,R934,$AC$12)))</f>
        <v>0</v>
      </c>
      <c r="V934" s="42" t="str">
        <f t="shared" si="80"/>
        <v/>
      </c>
      <c r="W934" s="16"/>
      <c r="X934" s="28"/>
      <c r="Y934" s="29"/>
      <c r="AA934" s="66"/>
      <c r="AB934" s="11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28"/>
      <c r="AD934" s="129"/>
      <c r="AE934" s="129"/>
      <c r="AF934" s="129"/>
      <c r="AG934" s="129"/>
      <c r="AH934" s="129"/>
      <c r="AI934" s="129"/>
      <c r="AJ934" s="130"/>
    </row>
    <row r="935" spans="11:36">
      <c r="K935" s="76"/>
      <c r="L935" s="48" t="e">
        <f t="shared" si="79"/>
        <v>#VALUE!</v>
      </c>
      <c r="M935" s="32" t="str">
        <f t="shared" si="82"/>
        <v/>
      </c>
      <c r="N935" s="63" t="e">
        <f t="shared" si="81"/>
        <v>#VALUE!</v>
      </c>
      <c r="O935" s="86"/>
      <c r="P935" s="223"/>
      <c r="Q935" s="224"/>
      <c r="R935" s="135"/>
      <c r="S935" s="139" cm="1">
        <f t="array" ref="S935">IF(P935="",0,IF(OR(O935=";",P935="EQU",P935="ORG"),0,HlpGetInstructionSize(P935,Q935,R935,$AC$12)))</f>
        <v>0</v>
      </c>
      <c r="V935" s="42" t="str">
        <f t="shared" si="80"/>
        <v/>
      </c>
      <c r="W935" s="16"/>
      <c r="X935" s="28"/>
      <c r="Y935" s="29"/>
      <c r="AA935" s="66"/>
      <c r="AB935" s="11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28"/>
      <c r="AD935" s="129"/>
      <c r="AE935" s="129"/>
      <c r="AF935" s="129"/>
      <c r="AG935" s="129"/>
      <c r="AH935" s="129"/>
      <c r="AI935" s="129"/>
      <c r="AJ935" s="130"/>
    </row>
    <row r="936" spans="11:36">
      <c r="K936" s="76"/>
      <c r="L936" s="48" t="e">
        <f t="shared" si="79"/>
        <v>#VALUE!</v>
      </c>
      <c r="M936" s="32" t="str">
        <f t="shared" si="82"/>
        <v/>
      </c>
      <c r="N936" s="63" t="e">
        <f t="shared" si="81"/>
        <v>#VALUE!</v>
      </c>
      <c r="O936" s="86"/>
      <c r="P936" s="223"/>
      <c r="Q936" s="224"/>
      <c r="R936" s="135"/>
      <c r="S936" s="139" cm="1">
        <f t="array" ref="S936">IF(P936="",0,IF(OR(O936=";",P936="EQU",P936="ORG"),0,HlpGetInstructionSize(P936,Q936,R936,$AC$12)))</f>
        <v>0</v>
      </c>
      <c r="V936" s="42" t="str">
        <f t="shared" si="80"/>
        <v/>
      </c>
      <c r="W936" s="16"/>
      <c r="X936" s="28"/>
      <c r="Y936" s="29"/>
      <c r="AA936" s="66"/>
      <c r="AB936" s="11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28"/>
      <c r="AD936" s="129"/>
      <c r="AE936" s="129"/>
      <c r="AF936" s="129"/>
      <c r="AG936" s="129"/>
      <c r="AH936" s="129"/>
      <c r="AI936" s="129"/>
      <c r="AJ936" s="130"/>
    </row>
    <row r="937" spans="11:36">
      <c r="K937" s="76"/>
      <c r="L937" s="48" t="e">
        <f t="shared" si="79"/>
        <v>#VALUE!</v>
      </c>
      <c r="M937" s="32" t="str">
        <f t="shared" si="82"/>
        <v/>
      </c>
      <c r="N937" s="63" t="e">
        <f t="shared" si="81"/>
        <v>#VALUE!</v>
      </c>
      <c r="O937" s="86"/>
      <c r="P937" s="223"/>
      <c r="Q937" s="224"/>
      <c r="R937" s="135"/>
      <c r="S937" s="139" cm="1">
        <f t="array" ref="S937">IF(P937="",0,IF(OR(O937=";",P937="EQU",P937="ORG"),0,HlpGetInstructionSize(P937,Q937,R937,$AC$12)))</f>
        <v>0</v>
      </c>
      <c r="V937" s="42" t="str">
        <f t="shared" si="80"/>
        <v/>
      </c>
      <c r="W937" s="16"/>
      <c r="X937" s="28"/>
      <c r="Y937" s="29"/>
      <c r="AA937" s="66"/>
      <c r="AB937" s="11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28"/>
      <c r="AD937" s="129"/>
      <c r="AE937" s="129"/>
      <c r="AF937" s="129"/>
      <c r="AG937" s="129"/>
      <c r="AH937" s="129"/>
      <c r="AI937" s="129"/>
      <c r="AJ937" s="130"/>
    </row>
    <row r="938" spans="11:36">
      <c r="K938" s="76"/>
      <c r="L938" s="48" t="e">
        <f t="shared" si="79"/>
        <v>#VALUE!</v>
      </c>
      <c r="M938" s="32" t="str">
        <f t="shared" si="82"/>
        <v/>
      </c>
      <c r="N938" s="63" t="e">
        <f t="shared" si="81"/>
        <v>#VALUE!</v>
      </c>
      <c r="O938" s="86"/>
      <c r="P938" s="223"/>
      <c r="Q938" s="224"/>
      <c r="R938" s="135"/>
      <c r="S938" s="139" cm="1">
        <f t="array" ref="S938">IF(P938="",0,IF(OR(O938=";",P938="EQU",P938="ORG"),0,HlpGetInstructionSize(P938,Q938,R938,$AC$12)))</f>
        <v>0</v>
      </c>
      <c r="V938" s="42" t="str">
        <f t="shared" si="80"/>
        <v/>
      </c>
      <c r="W938" s="16"/>
      <c r="X938" s="28"/>
      <c r="Y938" s="29"/>
      <c r="AA938" s="66"/>
      <c r="AB938" s="11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28"/>
      <c r="AD938" s="129"/>
      <c r="AE938" s="129"/>
      <c r="AF938" s="129"/>
      <c r="AG938" s="129"/>
      <c r="AH938" s="129"/>
      <c r="AI938" s="129"/>
      <c r="AJ938" s="130"/>
    </row>
    <row r="939" spans="11:36">
      <c r="K939" s="76"/>
      <c r="L939" s="48" t="e">
        <f t="shared" si="79"/>
        <v>#VALUE!</v>
      </c>
      <c r="M939" s="32" t="str">
        <f t="shared" si="82"/>
        <v/>
      </c>
      <c r="N939" s="63" t="e">
        <f t="shared" si="81"/>
        <v>#VALUE!</v>
      </c>
      <c r="O939" s="86"/>
      <c r="P939" s="223"/>
      <c r="Q939" s="224"/>
      <c r="R939" s="135"/>
      <c r="S939" s="139" cm="1">
        <f t="array" ref="S939">IF(P939="",0,IF(OR(O939=";",P939="EQU",P939="ORG"),0,HlpGetInstructionSize(P939,Q939,R939,$AC$12)))</f>
        <v>0</v>
      </c>
      <c r="V939" s="42" t="str">
        <f t="shared" si="80"/>
        <v/>
      </c>
      <c r="W939" s="16"/>
      <c r="X939" s="28"/>
      <c r="Y939" s="29"/>
      <c r="AA939" s="66"/>
      <c r="AB939" s="11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28"/>
      <c r="AD939" s="129"/>
      <c r="AE939" s="129"/>
      <c r="AF939" s="129"/>
      <c r="AG939" s="129"/>
      <c r="AH939" s="129"/>
      <c r="AI939" s="129"/>
      <c r="AJ939" s="130"/>
    </row>
    <row r="940" spans="11:36">
      <c r="K940" s="76"/>
      <c r="L940" s="48" t="e">
        <f t="shared" si="79"/>
        <v>#VALUE!</v>
      </c>
      <c r="M940" s="32" t="str">
        <f t="shared" si="82"/>
        <v/>
      </c>
      <c r="N940" s="63" t="e">
        <f t="shared" si="81"/>
        <v>#VALUE!</v>
      </c>
      <c r="O940" s="86"/>
      <c r="P940" s="223"/>
      <c r="Q940" s="224"/>
      <c r="R940" s="135"/>
      <c r="S940" s="139" cm="1">
        <f t="array" ref="S940">IF(P940="",0,IF(OR(O940=";",P940="EQU",P940="ORG"),0,HlpGetInstructionSize(P940,Q940,R940,$AC$12)))</f>
        <v>0</v>
      </c>
      <c r="V940" s="42" t="str">
        <f t="shared" si="80"/>
        <v/>
      </c>
      <c r="W940" s="16"/>
      <c r="X940" s="28"/>
      <c r="Y940" s="29"/>
      <c r="AA940" s="66"/>
      <c r="AB940" s="11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28"/>
      <c r="AD940" s="129"/>
      <c r="AE940" s="129"/>
      <c r="AF940" s="129"/>
      <c r="AG940" s="129"/>
      <c r="AH940" s="129"/>
      <c r="AI940" s="129"/>
      <c r="AJ940" s="130"/>
    </row>
    <row r="941" spans="11:36">
      <c r="K941" s="76"/>
      <c r="L941" s="48" t="e">
        <f t="shared" si="79"/>
        <v>#VALUE!</v>
      </c>
      <c r="M941" s="32" t="str">
        <f t="shared" si="82"/>
        <v/>
      </c>
      <c r="N941" s="63" t="e">
        <f t="shared" si="81"/>
        <v>#VALUE!</v>
      </c>
      <c r="O941" s="86"/>
      <c r="P941" s="223"/>
      <c r="Q941" s="224"/>
      <c r="R941" s="135"/>
      <c r="S941" s="139" cm="1">
        <f t="array" ref="S941">IF(P941="",0,IF(OR(O941=";",P941="EQU",P941="ORG"),0,HlpGetInstructionSize(P941,Q941,R941,$AC$12)))</f>
        <v>0</v>
      </c>
      <c r="V941" s="42" t="str">
        <f t="shared" si="80"/>
        <v/>
      </c>
      <c r="W941" s="16"/>
      <c r="X941" s="28"/>
      <c r="Y941" s="29"/>
      <c r="AA941" s="66"/>
      <c r="AB941" s="11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28"/>
      <c r="AD941" s="129"/>
      <c r="AE941" s="129"/>
      <c r="AF941" s="129"/>
      <c r="AG941" s="129"/>
      <c r="AH941" s="129"/>
      <c r="AI941" s="129"/>
      <c r="AJ941" s="130"/>
    </row>
    <row r="942" spans="11:36">
      <c r="K942" s="76"/>
      <c r="L942" s="48" t="e">
        <f t="shared" si="79"/>
        <v>#VALUE!</v>
      </c>
      <c r="M942" s="32" t="str">
        <f t="shared" si="82"/>
        <v/>
      </c>
      <c r="N942" s="63" t="e">
        <f t="shared" si="81"/>
        <v>#VALUE!</v>
      </c>
      <c r="O942" s="86"/>
      <c r="P942" s="223"/>
      <c r="Q942" s="224"/>
      <c r="R942" s="135"/>
      <c r="S942" s="139" cm="1">
        <f t="array" ref="S942">IF(P942="",0,IF(OR(O942=";",P942="EQU",P942="ORG"),0,HlpGetInstructionSize(P942,Q942,R942,$AC$12)))</f>
        <v>0</v>
      </c>
      <c r="V942" s="42" t="str">
        <f t="shared" si="80"/>
        <v/>
      </c>
      <c r="W942" s="16"/>
      <c r="X942" s="28"/>
      <c r="Y942" s="29"/>
      <c r="AA942" s="66"/>
      <c r="AB942" s="11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28"/>
      <c r="AD942" s="129"/>
      <c r="AE942" s="129"/>
      <c r="AF942" s="129"/>
      <c r="AG942" s="129"/>
      <c r="AH942" s="129"/>
      <c r="AI942" s="129"/>
      <c r="AJ942" s="130"/>
    </row>
    <row r="943" spans="11:36">
      <c r="K943" s="76"/>
      <c r="L943" s="48" t="e">
        <f t="shared" si="79"/>
        <v>#VALUE!</v>
      </c>
      <c r="M943" s="32" t="str">
        <f t="shared" si="82"/>
        <v/>
      </c>
      <c r="N943" s="63" t="e">
        <f t="shared" si="81"/>
        <v>#VALUE!</v>
      </c>
      <c r="O943" s="86"/>
      <c r="P943" s="223"/>
      <c r="Q943" s="224"/>
      <c r="R943" s="135"/>
      <c r="S943" s="139" cm="1">
        <f t="array" ref="S943">IF(P943="",0,IF(OR(O943=";",P943="EQU",P943="ORG"),0,HlpGetInstructionSize(P943,Q943,R943,$AC$12)))</f>
        <v>0</v>
      </c>
      <c r="V943" s="42" t="str">
        <f t="shared" si="80"/>
        <v/>
      </c>
      <c r="W943" s="16"/>
      <c r="X943" s="28"/>
      <c r="Y943" s="29"/>
      <c r="AA943" s="66"/>
      <c r="AB943" s="11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28"/>
      <c r="AD943" s="129"/>
      <c r="AE943" s="129"/>
      <c r="AF943" s="129"/>
      <c r="AG943" s="129"/>
      <c r="AH943" s="129"/>
      <c r="AI943" s="129"/>
      <c r="AJ943" s="130"/>
    </row>
    <row r="944" spans="11:36">
      <c r="K944" s="76"/>
      <c r="L944" s="48" t="e">
        <f t="shared" si="79"/>
        <v>#VALUE!</v>
      </c>
      <c r="M944" s="32" t="str">
        <f t="shared" si="82"/>
        <v/>
      </c>
      <c r="N944" s="63" t="e">
        <f t="shared" si="81"/>
        <v>#VALUE!</v>
      </c>
      <c r="O944" s="86"/>
      <c r="P944" s="223"/>
      <c r="Q944" s="224"/>
      <c r="R944" s="135"/>
      <c r="S944" s="139" cm="1">
        <f t="array" ref="S944">IF(P944="",0,IF(OR(O944=";",P944="EQU",P944="ORG"),0,HlpGetInstructionSize(P944,Q944,R944,$AC$12)))</f>
        <v>0</v>
      </c>
      <c r="V944" s="42" t="str">
        <f t="shared" si="80"/>
        <v/>
      </c>
      <c r="W944" s="16"/>
      <c r="X944" s="28"/>
      <c r="Y944" s="29"/>
      <c r="AA944" s="66"/>
      <c r="AB944" s="11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28"/>
      <c r="AD944" s="129"/>
      <c r="AE944" s="129"/>
      <c r="AF944" s="129"/>
      <c r="AG944" s="129"/>
      <c r="AH944" s="129"/>
      <c r="AI944" s="129"/>
      <c r="AJ944" s="130"/>
    </row>
    <row r="945" spans="11:36">
      <c r="K945" s="76"/>
      <c r="L945" s="48" t="e">
        <f t="shared" si="79"/>
        <v>#VALUE!</v>
      </c>
      <c r="M945" s="32" t="str">
        <f t="shared" si="82"/>
        <v/>
      </c>
      <c r="N945" s="63" t="e">
        <f t="shared" si="81"/>
        <v>#VALUE!</v>
      </c>
      <c r="O945" s="86"/>
      <c r="P945" s="223"/>
      <c r="Q945" s="224"/>
      <c r="R945" s="135"/>
      <c r="S945" s="139" cm="1">
        <f t="array" ref="S945">IF(P945="",0,IF(OR(O945=";",P945="EQU",P945="ORG"),0,HlpGetInstructionSize(P945,Q945,R945,$AC$12)))</f>
        <v>0</v>
      </c>
      <c r="V945" s="42" t="str">
        <f t="shared" si="80"/>
        <v/>
      </c>
      <c r="W945" s="16"/>
      <c r="X945" s="28"/>
      <c r="Y945" s="29"/>
      <c r="AA945" s="66"/>
      <c r="AB945" s="11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28"/>
      <c r="AD945" s="129"/>
      <c r="AE945" s="129"/>
      <c r="AF945" s="129"/>
      <c r="AG945" s="129"/>
      <c r="AH945" s="129"/>
      <c r="AI945" s="129"/>
      <c r="AJ945" s="130"/>
    </row>
    <row r="946" spans="11:36">
      <c r="K946" s="76"/>
      <c r="L946" s="48" t="e">
        <f t="shared" si="79"/>
        <v>#VALUE!</v>
      </c>
      <c r="M946" s="32" t="str">
        <f t="shared" si="82"/>
        <v/>
      </c>
      <c r="N946" s="63" t="e">
        <f t="shared" si="81"/>
        <v>#VALUE!</v>
      </c>
      <c r="O946" s="86"/>
      <c r="P946" s="223"/>
      <c r="Q946" s="224"/>
      <c r="R946" s="135"/>
      <c r="S946" s="139" cm="1">
        <f t="array" ref="S946">IF(P946="",0,IF(OR(O946=";",P946="EQU",P946="ORG"),0,HlpGetInstructionSize(P946,Q946,R946,$AC$12)))</f>
        <v>0</v>
      </c>
      <c r="V946" s="42" t="str">
        <f t="shared" si="80"/>
        <v/>
      </c>
      <c r="W946" s="16"/>
      <c r="X946" s="28"/>
      <c r="Y946" s="29"/>
      <c r="AA946" s="66"/>
      <c r="AB946" s="11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28"/>
      <c r="AD946" s="129"/>
      <c r="AE946" s="129"/>
      <c r="AF946" s="129"/>
      <c r="AG946" s="129"/>
      <c r="AH946" s="129"/>
      <c r="AI946" s="129"/>
      <c r="AJ946" s="130"/>
    </row>
    <row r="947" spans="11:36">
      <c r="K947" s="76"/>
      <c r="L947" s="48" t="e">
        <f t="shared" si="79"/>
        <v>#VALUE!</v>
      </c>
      <c r="M947" s="32" t="str">
        <f t="shared" si="82"/>
        <v/>
      </c>
      <c r="N947" s="63" t="e">
        <f t="shared" si="81"/>
        <v>#VALUE!</v>
      </c>
      <c r="O947" s="86"/>
      <c r="P947" s="223"/>
      <c r="Q947" s="224"/>
      <c r="R947" s="135"/>
      <c r="S947" s="139" cm="1">
        <f t="array" ref="S947">IF(P947="",0,IF(OR(O947=";",P947="EQU",P947="ORG"),0,HlpGetInstructionSize(P947,Q947,R947,$AC$12)))</f>
        <v>0</v>
      </c>
      <c r="V947" s="42" t="str">
        <f t="shared" si="80"/>
        <v/>
      </c>
      <c r="W947" s="16"/>
      <c r="X947" s="28"/>
      <c r="Y947" s="29"/>
      <c r="AA947" s="66"/>
      <c r="AB947" s="11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28"/>
      <c r="AD947" s="129"/>
      <c r="AE947" s="129"/>
      <c r="AF947" s="129"/>
      <c r="AG947" s="129"/>
      <c r="AH947" s="129"/>
      <c r="AI947" s="129"/>
      <c r="AJ947" s="130"/>
    </row>
    <row r="948" spans="11:36">
      <c r="K948" s="76"/>
      <c r="L948" s="48" t="e">
        <f t="shared" si="79"/>
        <v>#VALUE!</v>
      </c>
      <c r="M948" s="32" t="str">
        <f t="shared" si="82"/>
        <v/>
      </c>
      <c r="N948" s="63" t="e">
        <f t="shared" si="81"/>
        <v>#VALUE!</v>
      </c>
      <c r="O948" s="86"/>
      <c r="P948" s="223"/>
      <c r="Q948" s="224"/>
      <c r="R948" s="135"/>
      <c r="S948" s="139" cm="1">
        <f t="array" ref="S948">IF(P948="",0,IF(OR(O948=";",P948="EQU",P948="ORG"),0,HlpGetInstructionSize(P948,Q948,R948,$AC$12)))</f>
        <v>0</v>
      </c>
      <c r="V948" s="42" t="str">
        <f t="shared" si="80"/>
        <v/>
      </c>
      <c r="W948" s="16"/>
      <c r="X948" s="28"/>
      <c r="Y948" s="29"/>
      <c r="AA948" s="66"/>
      <c r="AB948" s="11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28"/>
      <c r="AD948" s="129"/>
      <c r="AE948" s="129"/>
      <c r="AF948" s="129"/>
      <c r="AG948" s="129"/>
      <c r="AH948" s="129"/>
      <c r="AI948" s="129"/>
      <c r="AJ948" s="130"/>
    </row>
    <row r="949" spans="11:36">
      <c r="K949" s="76"/>
      <c r="L949" s="48" t="e">
        <f t="shared" si="79"/>
        <v>#VALUE!</v>
      </c>
      <c r="M949" s="32" t="str">
        <f t="shared" si="82"/>
        <v/>
      </c>
      <c r="N949" s="63" t="e">
        <f t="shared" si="81"/>
        <v>#VALUE!</v>
      </c>
      <c r="O949" s="86"/>
      <c r="P949" s="223"/>
      <c r="Q949" s="224"/>
      <c r="R949" s="135"/>
      <c r="S949" s="139" cm="1">
        <f t="array" ref="S949">IF(P949="",0,IF(OR(O949=";",P949="EQU",P949="ORG"),0,HlpGetInstructionSize(P949,Q949,R949,$AC$12)))</f>
        <v>0</v>
      </c>
      <c r="V949" s="42" t="str">
        <f t="shared" si="80"/>
        <v/>
      </c>
      <c r="W949" s="16"/>
      <c r="X949" s="28"/>
      <c r="Y949" s="29"/>
      <c r="AA949" s="66"/>
      <c r="AB949" s="11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28"/>
      <c r="AD949" s="129"/>
      <c r="AE949" s="129"/>
      <c r="AF949" s="129"/>
      <c r="AG949" s="129"/>
      <c r="AH949" s="129"/>
      <c r="AI949" s="129"/>
      <c r="AJ949" s="130"/>
    </row>
    <row r="950" spans="11:36">
      <c r="K950" s="76"/>
      <c r="L950" s="48" t="e">
        <f t="shared" si="79"/>
        <v>#VALUE!</v>
      </c>
      <c r="M950" s="32" t="str">
        <f t="shared" si="82"/>
        <v/>
      </c>
      <c r="N950" s="63" t="e">
        <f t="shared" si="81"/>
        <v>#VALUE!</v>
      </c>
      <c r="O950" s="86"/>
      <c r="P950" s="223"/>
      <c r="Q950" s="224"/>
      <c r="R950" s="135"/>
      <c r="S950" s="139" cm="1">
        <f t="array" ref="S950">IF(P950="",0,IF(OR(O950=";",P950="EQU",P950="ORG"),0,HlpGetInstructionSize(P950,Q950,R950,$AC$12)))</f>
        <v>0</v>
      </c>
      <c r="V950" s="42" t="str">
        <f t="shared" si="80"/>
        <v/>
      </c>
      <c r="W950" s="16"/>
      <c r="X950" s="28"/>
      <c r="Y950" s="29"/>
      <c r="AA950" s="66"/>
      <c r="AB950" s="11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28"/>
      <c r="AD950" s="129"/>
      <c r="AE950" s="129"/>
      <c r="AF950" s="129"/>
      <c r="AG950" s="129"/>
      <c r="AH950" s="129"/>
      <c r="AI950" s="129"/>
      <c r="AJ950" s="130"/>
    </row>
    <row r="951" spans="11:36">
      <c r="K951" s="76"/>
      <c r="L951" s="48" t="e">
        <f t="shared" si="79"/>
        <v>#VALUE!</v>
      </c>
      <c r="M951" s="32" t="str">
        <f t="shared" si="82"/>
        <v/>
      </c>
      <c r="N951" s="63" t="e">
        <f t="shared" si="81"/>
        <v>#VALUE!</v>
      </c>
      <c r="O951" s="86"/>
      <c r="P951" s="223"/>
      <c r="Q951" s="224"/>
      <c r="R951" s="135"/>
      <c r="S951" s="139" cm="1">
        <f t="array" ref="S951">IF(P951="",0,IF(OR(O951=";",P951="EQU",P951="ORG"),0,HlpGetInstructionSize(P951,Q951,R951,$AC$12)))</f>
        <v>0</v>
      </c>
      <c r="V951" s="42" t="str">
        <f t="shared" si="80"/>
        <v/>
      </c>
      <c r="W951" s="16"/>
      <c r="X951" s="28"/>
      <c r="Y951" s="29"/>
      <c r="AA951" s="66"/>
      <c r="AB951" s="11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28"/>
      <c r="AD951" s="129"/>
      <c r="AE951" s="129"/>
      <c r="AF951" s="129"/>
      <c r="AG951" s="129"/>
      <c r="AH951" s="129"/>
      <c r="AI951" s="129"/>
      <c r="AJ951" s="130"/>
    </row>
    <row r="952" spans="11:36">
      <c r="K952" s="76"/>
      <c r="L952" s="48" t="e">
        <f t="shared" si="79"/>
        <v>#VALUE!</v>
      </c>
      <c r="M952" s="32" t="str">
        <f t="shared" si="82"/>
        <v/>
      </c>
      <c r="N952" s="63" t="e">
        <f t="shared" si="81"/>
        <v>#VALUE!</v>
      </c>
      <c r="O952" s="86"/>
      <c r="P952" s="223"/>
      <c r="Q952" s="224"/>
      <c r="R952" s="135"/>
      <c r="S952" s="139" cm="1">
        <f t="array" ref="S952">IF(P952="",0,IF(OR(O952=";",P952="EQU",P952="ORG"),0,HlpGetInstructionSize(P952,Q952,R952,$AC$12)))</f>
        <v>0</v>
      </c>
      <c r="V952" s="42" t="str">
        <f t="shared" si="80"/>
        <v/>
      </c>
      <c r="W952" s="16"/>
      <c r="X952" s="28"/>
      <c r="Y952" s="29"/>
      <c r="AA952" s="66"/>
      <c r="AB952" s="11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28"/>
      <c r="AD952" s="129"/>
      <c r="AE952" s="129"/>
      <c r="AF952" s="129"/>
      <c r="AG952" s="129"/>
      <c r="AH952" s="129"/>
      <c r="AI952" s="129"/>
      <c r="AJ952" s="130"/>
    </row>
    <row r="953" spans="11:36">
      <c r="K953" s="76"/>
      <c r="L953" s="48" t="e">
        <f t="shared" si="79"/>
        <v>#VALUE!</v>
      </c>
      <c r="M953" s="32" t="str">
        <f t="shared" si="82"/>
        <v/>
      </c>
      <c r="N953" s="63" t="e">
        <f t="shared" si="81"/>
        <v>#VALUE!</v>
      </c>
      <c r="O953" s="86"/>
      <c r="P953" s="223"/>
      <c r="Q953" s="224"/>
      <c r="R953" s="135"/>
      <c r="S953" s="139" cm="1">
        <f t="array" ref="S953">IF(P953="",0,IF(OR(O953=";",P953="EQU",P953="ORG"),0,HlpGetInstructionSize(P953,Q953,R953,$AC$12)))</f>
        <v>0</v>
      </c>
      <c r="V953" s="42" t="str">
        <f t="shared" si="80"/>
        <v/>
      </c>
      <c r="W953" s="16"/>
      <c r="X953" s="28"/>
      <c r="Y953" s="29"/>
      <c r="AA953" s="66"/>
      <c r="AB953" s="11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28"/>
      <c r="AD953" s="129"/>
      <c r="AE953" s="129"/>
      <c r="AF953" s="129"/>
      <c r="AG953" s="129"/>
      <c r="AH953" s="129"/>
      <c r="AI953" s="129"/>
      <c r="AJ953" s="130"/>
    </row>
    <row r="954" spans="11:36">
      <c r="K954" s="76"/>
      <c r="L954" s="48" t="e">
        <f t="shared" si="79"/>
        <v>#VALUE!</v>
      </c>
      <c r="M954" s="32" t="str">
        <f t="shared" si="82"/>
        <v/>
      </c>
      <c r="N954" s="63" t="e">
        <f t="shared" si="81"/>
        <v>#VALUE!</v>
      </c>
      <c r="O954" s="86"/>
      <c r="P954" s="223"/>
      <c r="Q954" s="224"/>
      <c r="R954" s="135"/>
      <c r="S954" s="139" cm="1">
        <f t="array" ref="S954">IF(P954="",0,IF(OR(O954=";",P954="EQU",P954="ORG"),0,HlpGetInstructionSize(P954,Q954,R954,$AC$12)))</f>
        <v>0</v>
      </c>
      <c r="V954" s="42" t="str">
        <f t="shared" si="80"/>
        <v/>
      </c>
      <c r="W954" s="16"/>
      <c r="X954" s="28"/>
      <c r="Y954" s="29"/>
      <c r="AA954" s="66"/>
      <c r="AB954" s="11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28"/>
      <c r="AD954" s="129"/>
      <c r="AE954" s="129"/>
      <c r="AF954" s="129"/>
      <c r="AG954" s="129"/>
      <c r="AH954" s="129"/>
      <c r="AI954" s="129"/>
      <c r="AJ954" s="130"/>
    </row>
    <row r="955" spans="11:36">
      <c r="K955" s="76"/>
      <c r="L955" s="48" t="e">
        <f t="shared" si="79"/>
        <v>#VALUE!</v>
      </c>
      <c r="M955" s="32" t="str">
        <f t="shared" si="82"/>
        <v/>
      </c>
      <c r="N955" s="63" t="e">
        <f t="shared" si="81"/>
        <v>#VALUE!</v>
      </c>
      <c r="O955" s="86"/>
      <c r="P955" s="223"/>
      <c r="Q955" s="224"/>
      <c r="R955" s="135"/>
      <c r="S955" s="139" cm="1">
        <f t="array" ref="S955">IF(P955="",0,IF(OR(O955=";",P955="EQU",P955="ORG"),0,HlpGetInstructionSize(P955,Q955,R955,$AC$12)))</f>
        <v>0</v>
      </c>
      <c r="V955" s="42" t="str">
        <f t="shared" si="80"/>
        <v/>
      </c>
      <c r="W955" s="16"/>
      <c r="X955" s="28"/>
      <c r="Y955" s="29"/>
      <c r="AA955" s="66"/>
      <c r="AB955" s="11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28"/>
      <c r="AD955" s="129"/>
      <c r="AE955" s="129"/>
      <c r="AF955" s="129"/>
      <c r="AG955" s="129"/>
      <c r="AH955" s="129"/>
      <c r="AI955" s="129"/>
      <c r="AJ955" s="130"/>
    </row>
    <row r="956" spans="11:36">
      <c r="K956" s="76"/>
      <c r="L956" s="48" t="e">
        <f t="shared" si="79"/>
        <v>#VALUE!</v>
      </c>
      <c r="M956" s="32" t="str">
        <f t="shared" si="82"/>
        <v/>
      </c>
      <c r="N956" s="63" t="e">
        <f t="shared" si="81"/>
        <v>#VALUE!</v>
      </c>
      <c r="O956" s="86"/>
      <c r="P956" s="223"/>
      <c r="Q956" s="224"/>
      <c r="R956" s="135"/>
      <c r="S956" s="139" cm="1">
        <f t="array" ref="S956">IF(P956="",0,IF(OR(O956=";",P956="EQU",P956="ORG"),0,HlpGetInstructionSize(P956,Q956,R956,$AC$12)))</f>
        <v>0</v>
      </c>
      <c r="V956" s="42" t="str">
        <f t="shared" si="80"/>
        <v/>
      </c>
      <c r="W956" s="16"/>
      <c r="X956" s="28"/>
      <c r="Y956" s="29"/>
      <c r="AA956" s="66"/>
      <c r="AB956" s="11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28"/>
      <c r="AD956" s="129"/>
      <c r="AE956" s="129"/>
      <c r="AF956" s="129"/>
      <c r="AG956" s="129"/>
      <c r="AH956" s="129"/>
      <c r="AI956" s="129"/>
      <c r="AJ956" s="130"/>
    </row>
    <row r="957" spans="11:36">
      <c r="K957" s="76"/>
      <c r="L957" s="48" t="e">
        <f t="shared" si="79"/>
        <v>#VALUE!</v>
      </c>
      <c r="M957" s="32" t="str">
        <f t="shared" si="82"/>
        <v/>
      </c>
      <c r="N957" s="63" t="e">
        <f t="shared" si="81"/>
        <v>#VALUE!</v>
      </c>
      <c r="O957" s="86"/>
      <c r="P957" s="223"/>
      <c r="Q957" s="224"/>
      <c r="R957" s="135"/>
      <c r="S957" s="139" cm="1">
        <f t="array" ref="S957">IF(P957="",0,IF(OR(O957=";",P957="EQU",P957="ORG"),0,HlpGetInstructionSize(P957,Q957,R957,$AC$12)))</f>
        <v>0</v>
      </c>
      <c r="V957" s="42" t="str">
        <f t="shared" si="80"/>
        <v/>
      </c>
      <c r="W957" s="16"/>
      <c r="X957" s="28"/>
      <c r="Y957" s="29"/>
      <c r="AA957" s="66"/>
      <c r="AB957" s="11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28"/>
      <c r="AD957" s="129"/>
      <c r="AE957" s="129"/>
      <c r="AF957" s="129"/>
      <c r="AG957" s="129"/>
      <c r="AH957" s="129"/>
      <c r="AI957" s="129"/>
      <c r="AJ957" s="130"/>
    </row>
    <row r="958" spans="11:36">
      <c r="K958" s="76"/>
      <c r="L958" s="48" t="e">
        <f t="shared" si="79"/>
        <v>#VALUE!</v>
      </c>
      <c r="M958" s="32" t="str">
        <f t="shared" si="82"/>
        <v/>
      </c>
      <c r="N958" s="63" t="e">
        <f t="shared" si="81"/>
        <v>#VALUE!</v>
      </c>
      <c r="O958" s="86"/>
      <c r="P958" s="223"/>
      <c r="Q958" s="224"/>
      <c r="R958" s="135"/>
      <c r="S958" s="139" cm="1">
        <f t="array" ref="S958">IF(P958="",0,IF(OR(O958=";",P958="EQU",P958="ORG"),0,HlpGetInstructionSize(P958,Q958,R958,$AC$12)))</f>
        <v>0</v>
      </c>
      <c r="V958" s="42" t="str">
        <f t="shared" si="80"/>
        <v/>
      </c>
      <c r="W958" s="16"/>
      <c r="X958" s="28"/>
      <c r="Y958" s="29"/>
      <c r="AA958" s="66"/>
      <c r="AB958" s="11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28"/>
      <c r="AD958" s="129"/>
      <c r="AE958" s="129"/>
      <c r="AF958" s="129"/>
      <c r="AG958" s="129"/>
      <c r="AH958" s="129"/>
      <c r="AI958" s="129"/>
      <c r="AJ958" s="130"/>
    </row>
    <row r="959" spans="11:36">
      <c r="K959" s="76"/>
      <c r="L959" s="48" t="e">
        <f t="shared" si="79"/>
        <v>#VALUE!</v>
      </c>
      <c r="M959" s="32" t="str">
        <f t="shared" si="82"/>
        <v/>
      </c>
      <c r="N959" s="63" t="e">
        <f t="shared" si="81"/>
        <v>#VALUE!</v>
      </c>
      <c r="O959" s="86"/>
      <c r="P959" s="223"/>
      <c r="Q959" s="224"/>
      <c r="R959" s="135"/>
      <c r="S959" s="139" cm="1">
        <f t="array" ref="S959">IF(P959="",0,IF(OR(O959=";",P959="EQU",P959="ORG"),0,HlpGetInstructionSize(P959,Q959,R959,$AC$12)))</f>
        <v>0</v>
      </c>
      <c r="V959" s="42" t="str">
        <f t="shared" si="80"/>
        <v/>
      </c>
      <c r="W959" s="16"/>
      <c r="X959" s="28"/>
      <c r="Y959" s="29"/>
      <c r="AA959" s="66"/>
      <c r="AB959" s="11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28"/>
      <c r="AD959" s="129"/>
      <c r="AE959" s="129"/>
      <c r="AF959" s="129"/>
      <c r="AG959" s="129"/>
      <c r="AH959" s="129"/>
      <c r="AI959" s="129"/>
      <c r="AJ959" s="130"/>
    </row>
    <row r="960" spans="11:36">
      <c r="K960" s="76"/>
      <c r="L960" s="48" t="e">
        <f t="shared" si="79"/>
        <v>#VALUE!</v>
      </c>
      <c r="M960" s="32" t="str">
        <f t="shared" si="82"/>
        <v/>
      </c>
      <c r="N960" s="63" t="e">
        <f t="shared" si="81"/>
        <v>#VALUE!</v>
      </c>
      <c r="O960" s="86"/>
      <c r="P960" s="223"/>
      <c r="Q960" s="224"/>
      <c r="R960" s="135"/>
      <c r="S960" s="139" cm="1">
        <f t="array" ref="S960">IF(P960="",0,IF(OR(O960=";",P960="EQU",P960="ORG"),0,HlpGetInstructionSize(P960,Q960,R960,$AC$12)))</f>
        <v>0</v>
      </c>
      <c r="V960" s="42" t="str">
        <f t="shared" si="80"/>
        <v/>
      </c>
      <c r="W960" s="16"/>
      <c r="X960" s="28"/>
      <c r="Y960" s="29"/>
      <c r="AA960" s="66"/>
      <c r="AB960" s="11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28"/>
      <c r="AD960" s="129"/>
      <c r="AE960" s="129"/>
      <c r="AF960" s="129"/>
      <c r="AG960" s="129"/>
      <c r="AH960" s="129"/>
      <c r="AI960" s="129"/>
      <c r="AJ960" s="130"/>
    </row>
    <row r="961" spans="11:36">
      <c r="K961" s="76"/>
      <c r="L961" s="48" t="e">
        <f t="shared" si="79"/>
        <v>#VALUE!</v>
      </c>
      <c r="M961" s="32" t="str">
        <f t="shared" si="82"/>
        <v/>
      </c>
      <c r="N961" s="63" t="e">
        <f t="shared" si="81"/>
        <v>#VALUE!</v>
      </c>
      <c r="O961" s="86"/>
      <c r="P961" s="223"/>
      <c r="Q961" s="224"/>
      <c r="R961" s="135"/>
      <c r="S961" s="139" cm="1">
        <f t="array" ref="S961">IF(P961="",0,IF(OR(O961=";",P961="EQU",P961="ORG"),0,HlpGetInstructionSize(P961,Q961,R961,$AC$12)))</f>
        <v>0</v>
      </c>
      <c r="V961" s="42" t="str">
        <f t="shared" si="80"/>
        <v/>
      </c>
      <c r="W961" s="16"/>
      <c r="X961" s="28"/>
      <c r="Y961" s="29"/>
      <c r="AA961" s="66"/>
      <c r="AB961" s="11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28"/>
      <c r="AD961" s="129"/>
      <c r="AE961" s="129"/>
      <c r="AF961" s="129"/>
      <c r="AG961" s="129"/>
      <c r="AH961" s="129"/>
      <c r="AI961" s="129"/>
      <c r="AJ961" s="130"/>
    </row>
    <row r="962" spans="11:36">
      <c r="K962" s="76"/>
      <c r="L962" s="48" t="e">
        <f t="shared" si="79"/>
        <v>#VALUE!</v>
      </c>
      <c r="M962" s="32" t="str">
        <f t="shared" si="82"/>
        <v/>
      </c>
      <c r="N962" s="63" t="e">
        <f t="shared" si="81"/>
        <v>#VALUE!</v>
      </c>
      <c r="O962" s="86"/>
      <c r="P962" s="223"/>
      <c r="Q962" s="224"/>
      <c r="R962" s="135"/>
      <c r="S962" s="139" cm="1">
        <f t="array" ref="S962">IF(P962="",0,IF(OR(O962=";",P962="EQU",P962="ORG"),0,HlpGetInstructionSize(P962,Q962,R962,$AC$12)))</f>
        <v>0</v>
      </c>
      <c r="V962" s="42" t="str">
        <f t="shared" si="80"/>
        <v/>
      </c>
      <c r="W962" s="16"/>
      <c r="X962" s="28"/>
      <c r="Y962" s="29"/>
      <c r="AA962" s="66"/>
      <c r="AB962" s="11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28"/>
      <c r="AD962" s="129"/>
      <c r="AE962" s="129"/>
      <c r="AF962" s="129"/>
      <c r="AG962" s="129"/>
      <c r="AH962" s="129"/>
      <c r="AI962" s="129"/>
      <c r="AJ962" s="130"/>
    </row>
    <row r="963" spans="11:36">
      <c r="K963" s="76"/>
      <c r="L963" s="48" t="e">
        <f t="shared" si="79"/>
        <v>#VALUE!</v>
      </c>
      <c r="M963" s="32" t="str">
        <f t="shared" si="82"/>
        <v/>
      </c>
      <c r="N963" s="63" t="e">
        <f t="shared" si="81"/>
        <v>#VALUE!</v>
      </c>
      <c r="O963" s="86"/>
      <c r="P963" s="223"/>
      <c r="Q963" s="224"/>
      <c r="R963" s="135"/>
      <c r="S963" s="139" cm="1">
        <f t="array" ref="S963">IF(P963="",0,IF(OR(O963=";",P963="EQU",P963="ORG"),0,HlpGetInstructionSize(P963,Q963,R963,$AC$12)))</f>
        <v>0</v>
      </c>
      <c r="V963" s="42" t="str">
        <f t="shared" si="80"/>
        <v/>
      </c>
      <c r="W963" s="16"/>
      <c r="X963" s="28"/>
      <c r="Y963" s="29"/>
      <c r="AA963" s="66"/>
      <c r="AB963" s="11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28"/>
      <c r="AD963" s="129"/>
      <c r="AE963" s="129"/>
      <c r="AF963" s="129"/>
      <c r="AG963" s="129"/>
      <c r="AH963" s="129"/>
      <c r="AI963" s="129"/>
      <c r="AJ963" s="130"/>
    </row>
    <row r="964" spans="11:36">
      <c r="K964" s="76"/>
      <c r="L964" s="48" t="e">
        <f t="shared" si="79"/>
        <v>#VALUE!</v>
      </c>
      <c r="M964" s="32" t="str">
        <f t="shared" si="82"/>
        <v/>
      </c>
      <c r="N964" s="63" t="e">
        <f t="shared" si="81"/>
        <v>#VALUE!</v>
      </c>
      <c r="O964" s="86"/>
      <c r="P964" s="223"/>
      <c r="Q964" s="224"/>
      <c r="R964" s="135"/>
      <c r="S964" s="139" cm="1">
        <f t="array" ref="S964">IF(P964="",0,IF(OR(O964=";",P964="EQU",P964="ORG"),0,HlpGetInstructionSize(P964,Q964,R964,$AC$12)))</f>
        <v>0</v>
      </c>
      <c r="V964" s="42" t="str">
        <f t="shared" si="80"/>
        <v/>
      </c>
      <c r="W964" s="16"/>
      <c r="X964" s="28"/>
      <c r="Y964" s="29"/>
      <c r="AA964" s="66"/>
      <c r="AB964" s="11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28"/>
      <c r="AD964" s="129"/>
      <c r="AE964" s="129"/>
      <c r="AF964" s="129"/>
      <c r="AG964" s="129"/>
      <c r="AH964" s="129"/>
      <c r="AI964" s="129"/>
      <c r="AJ964" s="130"/>
    </row>
    <row r="965" spans="11:36">
      <c r="K965" s="76"/>
      <c r="L965" s="48" t="e">
        <f t="shared" si="79"/>
        <v>#VALUE!</v>
      </c>
      <c r="M965" s="32" t="str">
        <f t="shared" si="82"/>
        <v/>
      </c>
      <c r="N965" s="63" t="e">
        <f t="shared" si="81"/>
        <v>#VALUE!</v>
      </c>
      <c r="O965" s="86"/>
      <c r="P965" s="223"/>
      <c r="Q965" s="224"/>
      <c r="R965" s="135"/>
      <c r="S965" s="139" cm="1">
        <f t="array" ref="S965">IF(P965="",0,IF(OR(O965=";",P965="EQU",P965="ORG"),0,HlpGetInstructionSize(P965,Q965,R965,$AC$12)))</f>
        <v>0</v>
      </c>
      <c r="V965" s="42" t="str">
        <f t="shared" si="80"/>
        <v/>
      </c>
      <c r="W965" s="16"/>
      <c r="X965" s="28"/>
      <c r="Y965" s="29"/>
      <c r="AA965" s="66"/>
      <c r="AB965" s="11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28"/>
      <c r="AD965" s="129"/>
      <c r="AE965" s="129"/>
      <c r="AF965" s="129"/>
      <c r="AG965" s="129"/>
      <c r="AH965" s="129"/>
      <c r="AI965" s="129"/>
      <c r="AJ965" s="130"/>
    </row>
    <row r="966" spans="11:36">
      <c r="K966" s="76"/>
      <c r="L966" s="48" t="e">
        <f t="shared" si="79"/>
        <v>#VALUE!</v>
      </c>
      <c r="M966" s="32" t="str">
        <f t="shared" si="82"/>
        <v/>
      </c>
      <c r="N966" s="63" t="e">
        <f t="shared" si="81"/>
        <v>#VALUE!</v>
      </c>
      <c r="O966" s="86"/>
      <c r="P966" s="223"/>
      <c r="Q966" s="224"/>
      <c r="R966" s="135"/>
      <c r="S966" s="139" cm="1">
        <f t="array" ref="S966">IF(P966="",0,IF(OR(O966=";",P966="EQU",P966="ORG"),0,HlpGetInstructionSize(P966,Q966,R966,$AC$12)))</f>
        <v>0</v>
      </c>
      <c r="V966" s="42" t="str">
        <f t="shared" si="80"/>
        <v/>
      </c>
      <c r="W966" s="16"/>
      <c r="X966" s="28"/>
      <c r="Y966" s="29"/>
      <c r="AA966" s="66"/>
      <c r="AB966" s="11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28"/>
      <c r="AD966" s="129"/>
      <c r="AE966" s="129"/>
      <c r="AF966" s="129"/>
      <c r="AG966" s="129"/>
      <c r="AH966" s="129"/>
      <c r="AI966" s="129"/>
      <c r="AJ966" s="130"/>
    </row>
    <row r="967" spans="11:36">
      <c r="K967" s="76"/>
      <c r="L967" s="48" t="e">
        <f t="shared" si="79"/>
        <v>#VALUE!</v>
      </c>
      <c r="M967" s="32" t="str">
        <f t="shared" si="82"/>
        <v/>
      </c>
      <c r="N967" s="63" t="e">
        <f t="shared" si="81"/>
        <v>#VALUE!</v>
      </c>
      <c r="O967" s="86"/>
      <c r="P967" s="223"/>
      <c r="Q967" s="224"/>
      <c r="R967" s="135"/>
      <c r="S967" s="139" cm="1">
        <f t="array" ref="S967">IF(P967="",0,IF(OR(O967=";",P967="EQU",P967="ORG"),0,HlpGetInstructionSize(P967,Q967,R967,$AC$12)))</f>
        <v>0</v>
      </c>
      <c r="V967" s="42" t="str">
        <f t="shared" si="80"/>
        <v/>
      </c>
      <c r="W967" s="16"/>
      <c r="X967" s="28"/>
      <c r="Y967" s="29"/>
      <c r="AA967" s="66"/>
      <c r="AB967" s="11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28"/>
      <c r="AD967" s="129"/>
      <c r="AE967" s="129"/>
      <c r="AF967" s="129"/>
      <c r="AG967" s="129"/>
      <c r="AH967" s="129"/>
      <c r="AI967" s="129"/>
      <c r="AJ967" s="130"/>
    </row>
    <row r="968" spans="11:36">
      <c r="K968" s="76"/>
      <c r="L968" s="48" t="e">
        <f t="shared" si="79"/>
        <v>#VALUE!</v>
      </c>
      <c r="M968" s="32" t="str">
        <f t="shared" si="82"/>
        <v/>
      </c>
      <c r="N968" s="63" t="e">
        <f t="shared" si="81"/>
        <v>#VALUE!</v>
      </c>
      <c r="O968" s="86"/>
      <c r="P968" s="223"/>
      <c r="Q968" s="224"/>
      <c r="R968" s="135"/>
      <c r="S968" s="139" cm="1">
        <f t="array" ref="S968">IF(P968="",0,IF(OR(O968=";",P968="EQU",P968="ORG"),0,HlpGetInstructionSize(P968,Q968,R968,$AC$12)))</f>
        <v>0</v>
      </c>
      <c r="V968" s="42" t="str">
        <f t="shared" si="80"/>
        <v/>
      </c>
      <c r="W968" s="16"/>
      <c r="X968" s="28"/>
      <c r="Y968" s="29"/>
      <c r="AA968" s="66"/>
      <c r="AB968" s="11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28"/>
      <c r="AD968" s="129"/>
      <c r="AE968" s="129"/>
      <c r="AF968" s="129"/>
      <c r="AG968" s="129"/>
      <c r="AH968" s="129"/>
      <c r="AI968" s="129"/>
      <c r="AJ968" s="130"/>
    </row>
    <row r="969" spans="11:36">
      <c r="K969" s="76"/>
      <c r="L969" s="48" t="e">
        <f t="shared" ref="L969:L1032" si="83">IF(UPPER(P969)="EQU","E",IF(P969="DB","D",IF(O969&lt;&gt;"","L",IF(N969="","F",""))))</f>
        <v>#VALUE!</v>
      </c>
      <c r="M969" s="32" t="str">
        <f t="shared" si="82"/>
        <v/>
      </c>
      <c r="N969" s="63" t="e">
        <f t="shared" si="81"/>
        <v>#VALUE!</v>
      </c>
      <c r="O969" s="86"/>
      <c r="P969" s="223"/>
      <c r="Q969" s="224"/>
      <c r="R969" s="135"/>
      <c r="S969" s="139" cm="1">
        <f t="array" ref="S969">IF(P969="",0,IF(OR(O969=";",P969="EQU",P969="ORG"),0,HlpGetInstructionSize(P969,Q969,R969,$AC$12)))</f>
        <v>0</v>
      </c>
      <c r="V969" s="42" t="str">
        <f t="shared" ref="V969:V1008" si="84">IF(W969&gt;0,RIGHT("0000"&amp;DEC2HEX(W969),4),"")</f>
        <v/>
      </c>
      <c r="W969" s="16"/>
      <c r="X969" s="28"/>
      <c r="Y969" s="29"/>
      <c r="AA969" s="66"/>
      <c r="AB969" s="11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28"/>
      <c r="AD969" s="129"/>
      <c r="AE969" s="129"/>
      <c r="AF969" s="129"/>
      <c r="AG969" s="129"/>
      <c r="AH969" s="129"/>
      <c r="AI969" s="129"/>
      <c r="AJ969" s="130"/>
    </row>
    <row r="970" spans="11:36">
      <c r="K970" s="76"/>
      <c r="L970" s="48" t="e">
        <f t="shared" si="83"/>
        <v>#VALUE!</v>
      </c>
      <c r="M970" s="32" t="str">
        <f t="shared" si="82"/>
        <v/>
      </c>
      <c r="N970" s="63" t="e">
        <f t="shared" ref="N970:N1033" si="85">N969+S969</f>
        <v>#VALUE!</v>
      </c>
      <c r="O970" s="86"/>
      <c r="P970" s="223"/>
      <c r="Q970" s="224"/>
      <c r="R970" s="135"/>
      <c r="S970" s="139" cm="1">
        <f t="array" ref="S970">IF(P970="",0,IF(OR(O970=";",P970="EQU",P970="ORG"),0,HlpGetInstructionSize(P970,Q970,R970,$AC$12)))</f>
        <v>0</v>
      </c>
      <c r="V970" s="42" t="str">
        <f t="shared" si="84"/>
        <v/>
      </c>
      <c r="W970" s="16"/>
      <c r="X970" s="28"/>
      <c r="Y970" s="29"/>
      <c r="AA970" s="66"/>
      <c r="AB970" s="11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28"/>
      <c r="AD970" s="129"/>
      <c r="AE970" s="129"/>
      <c r="AF970" s="129"/>
      <c r="AG970" s="129"/>
      <c r="AH970" s="129"/>
      <c r="AI970" s="129"/>
      <c r="AJ970" s="130"/>
    </row>
    <row r="971" spans="11:36">
      <c r="K971" s="76"/>
      <c r="L971" s="48" t="e">
        <f t="shared" si="83"/>
        <v>#VALUE!</v>
      </c>
      <c r="M971" s="32" t="str">
        <f t="shared" si="82"/>
        <v/>
      </c>
      <c r="N971" s="63" t="e">
        <f t="shared" si="85"/>
        <v>#VALUE!</v>
      </c>
      <c r="O971" s="86"/>
      <c r="P971" s="223"/>
      <c r="Q971" s="224"/>
      <c r="R971" s="135"/>
      <c r="S971" s="139" cm="1">
        <f t="array" ref="S971">IF(P971="",0,IF(OR(O971=";",P971="EQU",P971="ORG"),0,HlpGetInstructionSize(P971,Q971,R971,$AC$12)))</f>
        <v>0</v>
      </c>
      <c r="V971" s="42" t="str">
        <f t="shared" si="84"/>
        <v/>
      </c>
      <c r="W971" s="16"/>
      <c r="X971" s="28"/>
      <c r="Y971" s="29"/>
      <c r="AA971" s="66"/>
      <c r="AB971" s="11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28"/>
      <c r="AD971" s="129"/>
      <c r="AE971" s="129"/>
      <c r="AF971" s="129"/>
      <c r="AG971" s="129"/>
      <c r="AH971" s="129"/>
      <c r="AI971" s="129"/>
      <c r="AJ971" s="130"/>
    </row>
    <row r="972" spans="11:36">
      <c r="K972" s="76"/>
      <c r="L972" s="48" t="e">
        <f t="shared" si="83"/>
        <v>#VALUE!</v>
      </c>
      <c r="M972" s="32" t="str">
        <f t="shared" si="82"/>
        <v/>
      </c>
      <c r="N972" s="63" t="e">
        <f t="shared" si="85"/>
        <v>#VALUE!</v>
      </c>
      <c r="O972" s="86"/>
      <c r="P972" s="223"/>
      <c r="Q972" s="224"/>
      <c r="R972" s="135"/>
      <c r="S972" s="139" cm="1">
        <f t="array" ref="S972">IF(P972="",0,IF(OR(O972=";",P972="EQU",P972="ORG"),0,HlpGetInstructionSize(P972,Q972,R972,$AC$12)))</f>
        <v>0</v>
      </c>
      <c r="V972" s="42" t="str">
        <f t="shared" si="84"/>
        <v/>
      </c>
      <c r="W972" s="16"/>
      <c r="X972" s="28"/>
      <c r="Y972" s="29"/>
      <c r="AA972" s="66"/>
      <c r="AB972" s="11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28"/>
      <c r="AD972" s="129"/>
      <c r="AE972" s="129"/>
      <c r="AF972" s="129"/>
      <c r="AG972" s="129"/>
      <c r="AH972" s="129"/>
      <c r="AI972" s="129"/>
      <c r="AJ972" s="130"/>
    </row>
    <row r="973" spans="11:36">
      <c r="K973" s="76"/>
      <c r="L973" s="48" t="e">
        <f t="shared" si="83"/>
        <v>#VALUE!</v>
      </c>
      <c r="M973" s="32" t="str">
        <f t="shared" si="82"/>
        <v/>
      </c>
      <c r="N973" s="63" t="e">
        <f t="shared" si="85"/>
        <v>#VALUE!</v>
      </c>
      <c r="O973" s="86"/>
      <c r="P973" s="223"/>
      <c r="Q973" s="224"/>
      <c r="R973" s="135"/>
      <c r="S973" s="139" cm="1">
        <f t="array" ref="S973">IF(P973="",0,IF(OR(O973=";",P973="EQU",P973="ORG"),0,HlpGetInstructionSize(P973,Q973,R973,$AC$12)))</f>
        <v>0</v>
      </c>
      <c r="V973" s="42" t="str">
        <f t="shared" si="84"/>
        <v/>
      </c>
      <c r="W973" s="16"/>
      <c r="X973" s="28"/>
      <c r="Y973" s="29"/>
      <c r="AA973" s="66"/>
      <c r="AB973" s="11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28"/>
      <c r="AD973" s="129"/>
      <c r="AE973" s="129"/>
      <c r="AF973" s="129"/>
      <c r="AG973" s="129"/>
      <c r="AH973" s="129"/>
      <c r="AI973" s="129"/>
      <c r="AJ973" s="130"/>
    </row>
    <row r="974" spans="11:36">
      <c r="K974" s="76"/>
      <c r="L974" s="48" t="e">
        <f t="shared" si="83"/>
        <v>#VALUE!</v>
      </c>
      <c r="M974" s="32" t="str">
        <f t="shared" si="82"/>
        <v/>
      </c>
      <c r="N974" s="63" t="e">
        <f t="shared" si="85"/>
        <v>#VALUE!</v>
      </c>
      <c r="O974" s="86"/>
      <c r="P974" s="223"/>
      <c r="Q974" s="224"/>
      <c r="R974" s="135"/>
      <c r="S974" s="139" cm="1">
        <f t="array" ref="S974">IF(P974="",0,IF(OR(O974=";",P974="EQU",P974="ORG"),0,HlpGetInstructionSize(P974,Q974,R974,$AC$12)))</f>
        <v>0</v>
      </c>
      <c r="V974" s="42" t="str">
        <f t="shared" si="84"/>
        <v/>
      </c>
      <c r="W974" s="16"/>
      <c r="X974" s="28"/>
      <c r="Y974" s="29"/>
      <c r="AA974" s="66"/>
      <c r="AB974" s="11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28"/>
      <c r="AD974" s="129"/>
      <c r="AE974" s="129"/>
      <c r="AF974" s="129"/>
      <c r="AG974" s="129"/>
      <c r="AH974" s="129"/>
      <c r="AI974" s="129"/>
      <c r="AJ974" s="130"/>
    </row>
    <row r="975" spans="11:36">
      <c r="K975" s="76"/>
      <c r="L975" s="48" t="e">
        <f t="shared" si="83"/>
        <v>#VALUE!</v>
      </c>
      <c r="M975" s="32" t="str">
        <f t="shared" si="82"/>
        <v/>
      </c>
      <c r="N975" s="63" t="e">
        <f t="shared" si="85"/>
        <v>#VALUE!</v>
      </c>
      <c r="O975" s="86"/>
      <c r="P975" s="223"/>
      <c r="Q975" s="224"/>
      <c r="R975" s="135"/>
      <c r="S975" s="139" cm="1">
        <f t="array" ref="S975">IF(P975="",0,IF(OR(O975=";",P975="EQU",P975="ORG"),0,HlpGetInstructionSize(P975,Q975,R975,$AC$12)))</f>
        <v>0</v>
      </c>
      <c r="V975" s="42" t="str">
        <f t="shared" si="84"/>
        <v/>
      </c>
      <c r="W975" s="16"/>
      <c r="X975" s="28"/>
      <c r="Y975" s="29"/>
      <c r="AA975" s="66"/>
      <c r="AB975" s="11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28"/>
      <c r="AD975" s="129"/>
      <c r="AE975" s="129"/>
      <c r="AF975" s="129"/>
      <c r="AG975" s="129"/>
      <c r="AH975" s="129"/>
      <c r="AI975" s="129"/>
      <c r="AJ975" s="130"/>
    </row>
    <row r="976" spans="11:36">
      <c r="K976" s="76"/>
      <c r="L976" s="48" t="e">
        <f t="shared" si="83"/>
        <v>#VALUE!</v>
      </c>
      <c r="M976" s="32" t="str">
        <f t="shared" si="82"/>
        <v/>
      </c>
      <c r="N976" s="63" t="e">
        <f t="shared" si="85"/>
        <v>#VALUE!</v>
      </c>
      <c r="O976" s="86"/>
      <c r="P976" s="223"/>
      <c r="Q976" s="224"/>
      <c r="R976" s="135"/>
      <c r="S976" s="139" cm="1">
        <f t="array" ref="S976">IF(P976="",0,IF(OR(O976=";",P976="EQU",P976="ORG"),0,HlpGetInstructionSize(P976,Q976,R976,$AC$12)))</f>
        <v>0</v>
      </c>
      <c r="V976" s="42" t="str">
        <f t="shared" si="84"/>
        <v/>
      </c>
      <c r="W976" s="16"/>
      <c r="X976" s="28"/>
      <c r="Y976" s="29"/>
      <c r="AA976" s="66"/>
      <c r="AB976" s="11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28"/>
      <c r="AD976" s="129"/>
      <c r="AE976" s="129"/>
      <c r="AF976" s="129"/>
      <c r="AG976" s="129"/>
      <c r="AH976" s="129"/>
      <c r="AI976" s="129"/>
      <c r="AJ976" s="130"/>
    </row>
    <row r="977" spans="11:36">
      <c r="K977" s="76"/>
      <c r="L977" s="48" t="e">
        <f t="shared" si="83"/>
        <v>#VALUE!</v>
      </c>
      <c r="M977" s="32" t="str">
        <f t="shared" si="82"/>
        <v/>
      </c>
      <c r="N977" s="63" t="e">
        <f t="shared" si="85"/>
        <v>#VALUE!</v>
      </c>
      <c r="O977" s="86"/>
      <c r="P977" s="223"/>
      <c r="Q977" s="224"/>
      <c r="R977" s="135"/>
      <c r="S977" s="139" cm="1">
        <f t="array" ref="S977">IF(P977="",0,IF(OR(O977=";",P977="EQU",P977="ORG"),0,HlpGetInstructionSize(P977,Q977,R977,$AC$12)))</f>
        <v>0</v>
      </c>
      <c r="V977" s="42" t="str">
        <f t="shared" si="84"/>
        <v/>
      </c>
      <c r="W977" s="16"/>
      <c r="X977" s="28"/>
      <c r="Y977" s="29"/>
      <c r="AA977" s="66"/>
      <c r="AB977" s="11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28"/>
      <c r="AD977" s="129"/>
      <c r="AE977" s="129"/>
      <c r="AF977" s="129"/>
      <c r="AG977" s="129"/>
      <c r="AH977" s="129"/>
      <c r="AI977" s="129"/>
      <c r="AJ977" s="130"/>
    </row>
    <row r="978" spans="11:36">
      <c r="K978" s="76"/>
      <c r="L978" s="48" t="e">
        <f t="shared" si="83"/>
        <v>#VALUE!</v>
      </c>
      <c r="M978" s="32" t="str">
        <f t="shared" si="82"/>
        <v/>
      </c>
      <c r="N978" s="63" t="e">
        <f t="shared" si="85"/>
        <v>#VALUE!</v>
      </c>
      <c r="O978" s="86"/>
      <c r="P978" s="223"/>
      <c r="Q978" s="224"/>
      <c r="R978" s="135"/>
      <c r="S978" s="139" cm="1">
        <f t="array" ref="S978">IF(P978="",0,IF(OR(O978=";",P978="EQU",P978="ORG"),0,HlpGetInstructionSize(P978,Q978,R978,$AC$12)))</f>
        <v>0</v>
      </c>
      <c r="V978" s="42" t="str">
        <f t="shared" si="84"/>
        <v/>
      </c>
      <c r="W978" s="16"/>
      <c r="X978" s="28"/>
      <c r="Y978" s="29"/>
      <c r="AA978" s="66"/>
      <c r="AB978" s="11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28"/>
      <c r="AD978" s="129"/>
      <c r="AE978" s="129"/>
      <c r="AF978" s="129"/>
      <c r="AG978" s="129"/>
      <c r="AH978" s="129"/>
      <c r="AI978" s="129"/>
      <c r="AJ978" s="130"/>
    </row>
    <row r="979" spans="11:36">
      <c r="K979" s="76"/>
      <c r="L979" s="48" t="e">
        <f t="shared" si="83"/>
        <v>#VALUE!</v>
      </c>
      <c r="M979" s="32" t="str">
        <f t="shared" si="82"/>
        <v/>
      </c>
      <c r="N979" s="63" t="e">
        <f t="shared" si="85"/>
        <v>#VALUE!</v>
      </c>
      <c r="O979" s="86"/>
      <c r="P979" s="223"/>
      <c r="Q979" s="224"/>
      <c r="R979" s="135"/>
      <c r="S979" s="139" cm="1">
        <f t="array" ref="S979">IF(P979="",0,IF(OR(O979=";",P979="EQU",P979="ORG"),0,HlpGetInstructionSize(P979,Q979,R979,$AC$12)))</f>
        <v>0</v>
      </c>
      <c r="V979" s="42" t="str">
        <f t="shared" si="84"/>
        <v/>
      </c>
      <c r="W979" s="16"/>
      <c r="X979" s="28"/>
      <c r="Y979" s="29"/>
      <c r="AA979" s="66"/>
      <c r="AB979" s="11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28"/>
      <c r="AD979" s="129"/>
      <c r="AE979" s="129"/>
      <c r="AF979" s="129"/>
      <c r="AG979" s="129"/>
      <c r="AH979" s="129"/>
      <c r="AI979" s="129"/>
      <c r="AJ979" s="130"/>
    </row>
    <row r="980" spans="11:36">
      <c r="K980" s="76"/>
      <c r="L980" s="48" t="e">
        <f t="shared" si="83"/>
        <v>#VALUE!</v>
      </c>
      <c r="M980" s="32" t="str">
        <f t="shared" si="82"/>
        <v/>
      </c>
      <c r="N980" s="63" t="e">
        <f t="shared" si="85"/>
        <v>#VALUE!</v>
      </c>
      <c r="O980" s="86"/>
      <c r="P980" s="223"/>
      <c r="Q980" s="224"/>
      <c r="R980" s="135"/>
      <c r="S980" s="139" cm="1">
        <f t="array" ref="S980">IF(P980="",0,IF(OR(O980=";",P980="EQU",P980="ORG"),0,HlpGetInstructionSize(P980,Q980,R980,$AC$12)))</f>
        <v>0</v>
      </c>
      <c r="V980" s="42" t="str">
        <f t="shared" si="84"/>
        <v/>
      </c>
      <c r="W980" s="16"/>
      <c r="X980" s="28"/>
      <c r="Y980" s="29"/>
      <c r="AA980" s="66"/>
      <c r="AB980" s="11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28"/>
      <c r="AD980" s="129"/>
      <c r="AE980" s="129"/>
      <c r="AF980" s="129"/>
      <c r="AG980" s="129"/>
      <c r="AH980" s="129"/>
      <c r="AI980" s="129"/>
      <c r="AJ980" s="130"/>
    </row>
    <row r="981" spans="11:36">
      <c r="K981" s="76"/>
      <c r="L981" s="48" t="e">
        <f t="shared" si="83"/>
        <v>#VALUE!</v>
      </c>
      <c r="M981" s="32" t="str">
        <f t="shared" si="82"/>
        <v/>
      </c>
      <c r="N981" s="63" t="e">
        <f t="shared" si="85"/>
        <v>#VALUE!</v>
      </c>
      <c r="O981" s="86"/>
      <c r="P981" s="223"/>
      <c r="Q981" s="224"/>
      <c r="R981" s="135"/>
      <c r="S981" s="139" cm="1">
        <f t="array" ref="S981">IF(P981="",0,IF(OR(O981=";",P981="EQU",P981="ORG"),0,HlpGetInstructionSize(P981,Q981,R981,$AC$12)))</f>
        <v>0</v>
      </c>
      <c r="V981" s="42" t="str">
        <f t="shared" si="84"/>
        <v/>
      </c>
      <c r="W981" s="16"/>
      <c r="X981" s="28"/>
      <c r="Y981" s="29"/>
      <c r="AA981" s="66"/>
      <c r="AB981" s="11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28"/>
      <c r="AD981" s="129"/>
      <c r="AE981" s="129"/>
      <c r="AF981" s="129"/>
      <c r="AG981" s="129"/>
      <c r="AH981" s="129"/>
      <c r="AI981" s="129"/>
      <c r="AJ981" s="130"/>
    </row>
    <row r="982" spans="11:36">
      <c r="K982" s="76"/>
      <c r="L982" s="48" t="e">
        <f t="shared" si="83"/>
        <v>#VALUE!</v>
      </c>
      <c r="M982" s="32" t="str">
        <f t="shared" si="82"/>
        <v/>
      </c>
      <c r="N982" s="63" t="e">
        <f t="shared" si="85"/>
        <v>#VALUE!</v>
      </c>
      <c r="O982" s="86"/>
      <c r="P982" s="223"/>
      <c r="Q982" s="224"/>
      <c r="R982" s="135"/>
      <c r="S982" s="139" cm="1">
        <f t="array" ref="S982">IF(P982="",0,IF(OR(O982=";",P982="EQU",P982="ORG"),0,HlpGetInstructionSize(P982,Q982,R982,$AC$12)))</f>
        <v>0</v>
      </c>
      <c r="V982" s="42" t="str">
        <f t="shared" si="84"/>
        <v/>
      </c>
      <c r="W982" s="16"/>
      <c r="X982" s="28"/>
      <c r="Y982" s="29"/>
      <c r="AA982" s="66"/>
      <c r="AB982" s="11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28"/>
      <c r="AD982" s="129"/>
      <c r="AE982" s="129"/>
      <c r="AF982" s="129"/>
      <c r="AG982" s="129"/>
      <c r="AH982" s="129"/>
      <c r="AI982" s="129"/>
      <c r="AJ982" s="130"/>
    </row>
    <row r="983" spans="11:36">
      <c r="K983" s="76"/>
      <c r="L983" s="48" t="e">
        <f t="shared" si="83"/>
        <v>#VALUE!</v>
      </c>
      <c r="M983" s="32" t="str">
        <f t="shared" si="82"/>
        <v/>
      </c>
      <c r="N983" s="63" t="e">
        <f t="shared" si="85"/>
        <v>#VALUE!</v>
      </c>
      <c r="O983" s="86"/>
      <c r="P983" s="223"/>
      <c r="Q983" s="224"/>
      <c r="R983" s="135"/>
      <c r="S983" s="139" cm="1">
        <f t="array" ref="S983">IF(P983="",0,IF(OR(O983=";",P983="EQU",P983="ORG"),0,HlpGetInstructionSize(P983,Q983,R983,$AC$12)))</f>
        <v>0</v>
      </c>
      <c r="V983" s="42" t="str">
        <f t="shared" si="84"/>
        <v/>
      </c>
      <c r="W983" s="16"/>
      <c r="X983" s="28"/>
      <c r="Y983" s="29"/>
      <c r="AA983" s="66"/>
      <c r="AB983" s="11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28"/>
      <c r="AD983" s="129"/>
      <c r="AE983" s="129"/>
      <c r="AF983" s="129"/>
      <c r="AG983" s="129"/>
      <c r="AH983" s="129"/>
      <c r="AI983" s="129"/>
      <c r="AJ983" s="130"/>
    </row>
    <row r="984" spans="11:36">
      <c r="K984" s="76"/>
      <c r="L984" s="48" t="e">
        <f t="shared" si="83"/>
        <v>#VALUE!</v>
      </c>
      <c r="M984" s="32" t="str">
        <f t="shared" si="82"/>
        <v/>
      </c>
      <c r="N984" s="63" t="e">
        <f t="shared" si="85"/>
        <v>#VALUE!</v>
      </c>
      <c r="O984" s="86"/>
      <c r="P984" s="223"/>
      <c r="Q984" s="224"/>
      <c r="R984" s="135"/>
      <c r="S984" s="139" cm="1">
        <f t="array" ref="S984">IF(P984="",0,IF(OR(O984=";",P984="EQU",P984="ORG"),0,HlpGetInstructionSize(P984,Q984,R984,$AC$12)))</f>
        <v>0</v>
      </c>
      <c r="V984" s="42" t="str">
        <f t="shared" si="84"/>
        <v/>
      </c>
      <c r="W984" s="16"/>
      <c r="X984" s="28"/>
      <c r="Y984" s="29"/>
      <c r="AA984" s="66"/>
      <c r="AB984" s="11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28"/>
      <c r="AD984" s="129"/>
      <c r="AE984" s="129"/>
      <c r="AF984" s="129"/>
      <c r="AG984" s="129"/>
      <c r="AH984" s="129"/>
      <c r="AI984" s="129"/>
      <c r="AJ984" s="130"/>
    </row>
    <row r="985" spans="11:36">
      <c r="K985" s="76"/>
      <c r="L985" s="48" t="e">
        <f t="shared" si="83"/>
        <v>#VALUE!</v>
      </c>
      <c r="M985" s="32" t="str">
        <f t="shared" si="82"/>
        <v/>
      </c>
      <c r="N985" s="63" t="e">
        <f t="shared" si="85"/>
        <v>#VALUE!</v>
      </c>
      <c r="O985" s="86"/>
      <c r="P985" s="223"/>
      <c r="Q985" s="224"/>
      <c r="R985" s="135"/>
      <c r="S985" s="139" cm="1">
        <f t="array" ref="S985">IF(P985="",0,IF(OR(O985=";",P985="EQU",P985="ORG"),0,HlpGetInstructionSize(P985,Q985,R985,$AC$12)))</f>
        <v>0</v>
      </c>
      <c r="V985" s="42" t="str">
        <f t="shared" si="84"/>
        <v/>
      </c>
      <c r="W985" s="16"/>
      <c r="X985" s="28"/>
      <c r="Y985" s="29"/>
      <c r="AA985" s="66"/>
      <c r="AB985" s="11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28"/>
      <c r="AD985" s="129"/>
      <c r="AE985" s="129"/>
      <c r="AF985" s="129"/>
      <c r="AG985" s="129"/>
      <c r="AH985" s="129"/>
      <c r="AI985" s="129"/>
      <c r="AJ985" s="130"/>
    </row>
    <row r="986" spans="11:36">
      <c r="K986" s="76"/>
      <c r="L986" s="48" t="e">
        <f t="shared" si="83"/>
        <v>#VALUE!</v>
      </c>
      <c r="M986" s="32" t="str">
        <f t="shared" si="82"/>
        <v/>
      </c>
      <c r="N986" s="63" t="e">
        <f t="shared" si="85"/>
        <v>#VALUE!</v>
      </c>
      <c r="O986" s="86"/>
      <c r="P986" s="223"/>
      <c r="Q986" s="224"/>
      <c r="R986" s="135"/>
      <c r="S986" s="139" cm="1">
        <f t="array" ref="S986">IF(P986="",0,IF(OR(O986=";",P986="EQU",P986="ORG"),0,HlpGetInstructionSize(P986,Q986,R986,$AC$12)))</f>
        <v>0</v>
      </c>
      <c r="V986" s="42" t="str">
        <f t="shared" si="84"/>
        <v/>
      </c>
      <c r="W986" s="16"/>
      <c r="X986" s="28"/>
      <c r="Y986" s="29"/>
      <c r="AA986" s="66"/>
      <c r="AB986" s="11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28"/>
      <c r="AD986" s="129"/>
      <c r="AE986" s="129"/>
      <c r="AF986" s="129"/>
      <c r="AG986" s="129"/>
      <c r="AH986" s="129"/>
      <c r="AI986" s="129"/>
      <c r="AJ986" s="130"/>
    </row>
    <row r="987" spans="11:36">
      <c r="K987" s="76"/>
      <c r="L987" s="48" t="e">
        <f t="shared" si="83"/>
        <v>#VALUE!</v>
      </c>
      <c r="M987" s="32" t="str">
        <f t="shared" si="82"/>
        <v/>
      </c>
      <c r="N987" s="63" t="e">
        <f t="shared" si="85"/>
        <v>#VALUE!</v>
      </c>
      <c r="O987" s="86"/>
      <c r="P987" s="223"/>
      <c r="Q987" s="224"/>
      <c r="R987" s="135"/>
      <c r="S987" s="139" cm="1">
        <f t="array" ref="S987">IF(P987="",0,IF(OR(O987=";",P987="EQU",P987="ORG"),0,HlpGetInstructionSize(P987,Q987,R987,$AC$12)))</f>
        <v>0</v>
      </c>
      <c r="V987" s="42" t="str">
        <f t="shared" si="84"/>
        <v/>
      </c>
      <c r="W987" s="16"/>
      <c r="X987" s="28"/>
      <c r="Y987" s="29"/>
      <c r="AA987" s="66"/>
      <c r="AB987" s="11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28"/>
      <c r="AD987" s="129"/>
      <c r="AE987" s="129"/>
      <c r="AF987" s="129"/>
      <c r="AG987" s="129"/>
      <c r="AH987" s="129"/>
      <c r="AI987" s="129"/>
      <c r="AJ987" s="130"/>
    </row>
    <row r="988" spans="11:36">
      <c r="K988" s="76"/>
      <c r="L988" s="48" t="e">
        <f t="shared" si="83"/>
        <v>#VALUE!</v>
      </c>
      <c r="M988" s="32" t="str">
        <f t="shared" si="82"/>
        <v/>
      </c>
      <c r="N988" s="63" t="e">
        <f t="shared" si="85"/>
        <v>#VALUE!</v>
      </c>
      <c r="O988" s="86"/>
      <c r="P988" s="223"/>
      <c r="Q988" s="224"/>
      <c r="R988" s="135"/>
      <c r="S988" s="139" cm="1">
        <f t="array" ref="S988">IF(P988="",0,IF(OR(O988=";",P988="EQU",P988="ORG"),0,HlpGetInstructionSize(P988,Q988,R988,$AC$12)))</f>
        <v>0</v>
      </c>
      <c r="V988" s="42" t="str">
        <f t="shared" si="84"/>
        <v/>
      </c>
      <c r="W988" s="16"/>
      <c r="X988" s="28"/>
      <c r="Y988" s="29"/>
      <c r="AA988" s="66"/>
      <c r="AB988" s="11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28"/>
      <c r="AD988" s="129"/>
      <c r="AE988" s="129"/>
      <c r="AF988" s="129"/>
      <c r="AG988" s="129"/>
      <c r="AH988" s="129"/>
      <c r="AI988" s="129"/>
      <c r="AJ988" s="130"/>
    </row>
    <row r="989" spans="11:36">
      <c r="K989" s="76"/>
      <c r="L989" s="48" t="e">
        <f t="shared" si="83"/>
        <v>#VALUE!</v>
      </c>
      <c r="M989" s="32" t="str">
        <f t="shared" ref="M989:M1052" si="86">IFERROR(RIGHT("0000"&amp;DEC2HEX(N989),4),"")</f>
        <v/>
      </c>
      <c r="N989" s="63" t="e">
        <f t="shared" si="85"/>
        <v>#VALUE!</v>
      </c>
      <c r="O989" s="86"/>
      <c r="P989" s="223"/>
      <c r="Q989" s="224"/>
      <c r="R989" s="135"/>
      <c r="S989" s="139" cm="1">
        <f t="array" ref="S989">IF(P989="",0,IF(OR(O989=";",P989="EQU",P989="ORG"),0,HlpGetInstructionSize(P989,Q989,R989,$AC$12)))</f>
        <v>0</v>
      </c>
      <c r="V989" s="42" t="str">
        <f t="shared" si="84"/>
        <v/>
      </c>
      <c r="W989" s="16"/>
      <c r="X989" s="28"/>
      <c r="Y989" s="29"/>
      <c r="AA989" s="66"/>
      <c r="AB989" s="11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28"/>
      <c r="AD989" s="129"/>
      <c r="AE989" s="129"/>
      <c r="AF989" s="129"/>
      <c r="AG989" s="129"/>
      <c r="AH989" s="129"/>
      <c r="AI989" s="129"/>
      <c r="AJ989" s="130"/>
    </row>
    <row r="990" spans="11:36">
      <c r="K990" s="76"/>
      <c r="L990" s="48" t="e">
        <f t="shared" si="83"/>
        <v>#VALUE!</v>
      </c>
      <c r="M990" s="32" t="str">
        <f t="shared" si="86"/>
        <v/>
      </c>
      <c r="N990" s="63" t="e">
        <f t="shared" si="85"/>
        <v>#VALUE!</v>
      </c>
      <c r="O990" s="86"/>
      <c r="P990" s="223"/>
      <c r="Q990" s="224"/>
      <c r="R990" s="135"/>
      <c r="S990" s="139" cm="1">
        <f t="array" ref="S990">IF(P990="",0,IF(OR(O990=";",P990="EQU",P990="ORG"),0,HlpGetInstructionSize(P990,Q990,R990,$AC$12)))</f>
        <v>0</v>
      </c>
      <c r="V990" s="42" t="str">
        <f t="shared" si="84"/>
        <v/>
      </c>
      <c r="W990" s="16"/>
      <c r="X990" s="28"/>
      <c r="Y990" s="29"/>
      <c r="AA990" s="66"/>
      <c r="AB990" s="11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28"/>
      <c r="AD990" s="129"/>
      <c r="AE990" s="129"/>
      <c r="AF990" s="129"/>
      <c r="AG990" s="129"/>
      <c r="AH990" s="129"/>
      <c r="AI990" s="129"/>
      <c r="AJ990" s="130"/>
    </row>
    <row r="991" spans="11:36">
      <c r="K991" s="76"/>
      <c r="L991" s="48" t="e">
        <f t="shared" si="83"/>
        <v>#VALUE!</v>
      </c>
      <c r="M991" s="32" t="str">
        <f t="shared" si="86"/>
        <v/>
      </c>
      <c r="N991" s="63" t="e">
        <f t="shared" si="85"/>
        <v>#VALUE!</v>
      </c>
      <c r="O991" s="86"/>
      <c r="P991" s="223"/>
      <c r="Q991" s="224"/>
      <c r="R991" s="135"/>
      <c r="S991" s="139" cm="1">
        <f t="array" ref="S991">IF(P991="",0,IF(OR(O991=";",P991="EQU",P991="ORG"),0,HlpGetInstructionSize(P991,Q991,R991,$AC$12)))</f>
        <v>0</v>
      </c>
      <c r="V991" s="42" t="str">
        <f t="shared" si="84"/>
        <v/>
      </c>
      <c r="W991" s="16"/>
      <c r="X991" s="28"/>
      <c r="Y991" s="29"/>
      <c r="AA991" s="66"/>
      <c r="AB991" s="11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28"/>
      <c r="AD991" s="129"/>
      <c r="AE991" s="129"/>
      <c r="AF991" s="129"/>
      <c r="AG991" s="129"/>
      <c r="AH991" s="129"/>
      <c r="AI991" s="129"/>
      <c r="AJ991" s="130"/>
    </row>
    <row r="992" spans="11:36">
      <c r="K992" s="76"/>
      <c r="L992" s="48" t="e">
        <f t="shared" si="83"/>
        <v>#VALUE!</v>
      </c>
      <c r="M992" s="32" t="str">
        <f t="shared" si="86"/>
        <v/>
      </c>
      <c r="N992" s="63" t="e">
        <f t="shared" si="85"/>
        <v>#VALUE!</v>
      </c>
      <c r="O992" s="86"/>
      <c r="P992" s="223"/>
      <c r="Q992" s="224"/>
      <c r="R992" s="135"/>
      <c r="S992" s="139" cm="1">
        <f t="array" ref="S992">IF(P992="",0,IF(OR(O992=";",P992="EQU",P992="ORG"),0,HlpGetInstructionSize(P992,Q992,R992,$AC$12)))</f>
        <v>0</v>
      </c>
      <c r="V992" s="42" t="str">
        <f t="shared" si="84"/>
        <v/>
      </c>
      <c r="W992" s="16"/>
      <c r="X992" s="28"/>
      <c r="Y992" s="29"/>
      <c r="AA992" s="66"/>
      <c r="AB992" s="11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28"/>
      <c r="AD992" s="129"/>
      <c r="AE992" s="129"/>
      <c r="AF992" s="129"/>
      <c r="AG992" s="129"/>
      <c r="AH992" s="129"/>
      <c r="AI992" s="129"/>
      <c r="AJ992" s="130"/>
    </row>
    <row r="993" spans="11:36">
      <c r="K993" s="76"/>
      <c r="L993" s="48" t="e">
        <f t="shared" si="83"/>
        <v>#VALUE!</v>
      </c>
      <c r="M993" s="32" t="str">
        <f t="shared" si="86"/>
        <v/>
      </c>
      <c r="N993" s="63" t="e">
        <f t="shared" si="85"/>
        <v>#VALUE!</v>
      </c>
      <c r="O993" s="86"/>
      <c r="P993" s="223"/>
      <c r="Q993" s="224"/>
      <c r="R993" s="135"/>
      <c r="S993" s="139" cm="1">
        <f t="array" ref="S993">IF(P993="",0,IF(OR(O993=";",P993="EQU",P993="ORG"),0,HlpGetInstructionSize(P993,Q993,R993,$AC$12)))</f>
        <v>0</v>
      </c>
      <c r="V993" s="42" t="str">
        <f t="shared" si="84"/>
        <v/>
      </c>
      <c r="W993" s="16"/>
      <c r="X993" s="28"/>
      <c r="Y993" s="29"/>
      <c r="AA993" s="66"/>
      <c r="AB993" s="11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28"/>
      <c r="AD993" s="129"/>
      <c r="AE993" s="129"/>
      <c r="AF993" s="129"/>
      <c r="AG993" s="129"/>
      <c r="AH993" s="129"/>
      <c r="AI993" s="129"/>
      <c r="AJ993" s="130"/>
    </row>
    <row r="994" spans="11:36">
      <c r="K994" s="76"/>
      <c r="L994" s="48" t="e">
        <f t="shared" si="83"/>
        <v>#VALUE!</v>
      </c>
      <c r="M994" s="32" t="str">
        <f t="shared" si="86"/>
        <v/>
      </c>
      <c r="N994" s="63" t="e">
        <f t="shared" si="85"/>
        <v>#VALUE!</v>
      </c>
      <c r="O994" s="86"/>
      <c r="P994" s="223"/>
      <c r="Q994" s="224"/>
      <c r="R994" s="135"/>
      <c r="S994" s="139" cm="1">
        <f t="array" ref="S994">IF(P994="",0,IF(OR(O994=";",P994="EQU",P994="ORG"),0,HlpGetInstructionSize(P994,Q994,R994,$AC$12)))</f>
        <v>0</v>
      </c>
      <c r="V994" s="42" t="str">
        <f t="shared" si="84"/>
        <v/>
      </c>
      <c r="W994" s="16"/>
      <c r="X994" s="28"/>
      <c r="Y994" s="29"/>
      <c r="AA994" s="66"/>
      <c r="AB994" s="11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28"/>
      <c r="AD994" s="129"/>
      <c r="AE994" s="129"/>
      <c r="AF994" s="129"/>
      <c r="AG994" s="129"/>
      <c r="AH994" s="129"/>
      <c r="AI994" s="129"/>
      <c r="AJ994" s="130"/>
    </row>
    <row r="995" spans="11:36">
      <c r="K995" s="76"/>
      <c r="L995" s="48" t="e">
        <f t="shared" si="83"/>
        <v>#VALUE!</v>
      </c>
      <c r="M995" s="32" t="str">
        <f t="shared" si="86"/>
        <v/>
      </c>
      <c r="N995" s="63" t="e">
        <f t="shared" si="85"/>
        <v>#VALUE!</v>
      </c>
      <c r="O995" s="86"/>
      <c r="P995" s="223"/>
      <c r="Q995" s="224"/>
      <c r="R995" s="135"/>
      <c r="S995" s="139" cm="1">
        <f t="array" ref="S995">IF(P995="",0,IF(OR(O995=";",P995="EQU",P995="ORG"),0,HlpGetInstructionSize(P995,Q995,R995,$AC$12)))</f>
        <v>0</v>
      </c>
      <c r="V995" s="42" t="str">
        <f t="shared" si="84"/>
        <v/>
      </c>
      <c r="W995" s="16"/>
      <c r="X995" s="28"/>
      <c r="Y995" s="29"/>
      <c r="AA995" s="66"/>
      <c r="AB995" s="11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28"/>
      <c r="AD995" s="129"/>
      <c r="AE995" s="129"/>
      <c r="AF995" s="129"/>
      <c r="AG995" s="129"/>
      <c r="AH995" s="129"/>
      <c r="AI995" s="129"/>
      <c r="AJ995" s="130"/>
    </row>
    <row r="996" spans="11:36">
      <c r="K996" s="76"/>
      <c r="L996" s="48" t="e">
        <f t="shared" si="83"/>
        <v>#VALUE!</v>
      </c>
      <c r="M996" s="32" t="str">
        <f t="shared" si="86"/>
        <v/>
      </c>
      <c r="N996" s="63" t="e">
        <f t="shared" si="85"/>
        <v>#VALUE!</v>
      </c>
      <c r="O996" s="86"/>
      <c r="P996" s="223"/>
      <c r="Q996" s="224"/>
      <c r="R996" s="135"/>
      <c r="S996" s="139" cm="1">
        <f t="array" ref="S996">IF(P996="",0,IF(OR(O996=";",P996="EQU",P996="ORG"),0,HlpGetInstructionSize(P996,Q996,R996,$AC$12)))</f>
        <v>0</v>
      </c>
      <c r="V996" s="42" t="str">
        <f t="shared" si="84"/>
        <v/>
      </c>
      <c r="W996" s="16"/>
      <c r="X996" s="28"/>
      <c r="Y996" s="29"/>
      <c r="AA996" s="66"/>
      <c r="AB996" s="11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28"/>
      <c r="AD996" s="129"/>
      <c r="AE996" s="129"/>
      <c r="AF996" s="129"/>
      <c r="AG996" s="129"/>
      <c r="AH996" s="129"/>
      <c r="AI996" s="129"/>
      <c r="AJ996" s="130"/>
    </row>
    <row r="997" spans="11:36">
      <c r="K997" s="76"/>
      <c r="L997" s="48" t="e">
        <f t="shared" si="83"/>
        <v>#VALUE!</v>
      </c>
      <c r="M997" s="32" t="str">
        <f t="shared" si="86"/>
        <v/>
      </c>
      <c r="N997" s="63" t="e">
        <f t="shared" si="85"/>
        <v>#VALUE!</v>
      </c>
      <c r="O997" s="86"/>
      <c r="P997" s="223"/>
      <c r="Q997" s="224"/>
      <c r="R997" s="135"/>
      <c r="S997" s="139" cm="1">
        <f t="array" ref="S997">IF(P997="",0,IF(OR(O997=";",P997="EQU",P997="ORG"),0,HlpGetInstructionSize(P997,Q997,R997,$AC$12)))</f>
        <v>0</v>
      </c>
      <c r="V997" s="42" t="str">
        <f t="shared" si="84"/>
        <v/>
      </c>
      <c r="W997" s="16"/>
      <c r="X997" s="28"/>
      <c r="Y997" s="29"/>
      <c r="AA997" s="66"/>
      <c r="AB997" s="11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28"/>
      <c r="AD997" s="129"/>
      <c r="AE997" s="129"/>
      <c r="AF997" s="129"/>
      <c r="AG997" s="129"/>
      <c r="AH997" s="129"/>
      <c r="AI997" s="129"/>
      <c r="AJ997" s="130"/>
    </row>
    <row r="998" spans="11:36">
      <c r="K998" s="76"/>
      <c r="L998" s="48" t="e">
        <f t="shared" si="83"/>
        <v>#VALUE!</v>
      </c>
      <c r="M998" s="32" t="str">
        <f t="shared" si="86"/>
        <v/>
      </c>
      <c r="N998" s="63" t="e">
        <f t="shared" si="85"/>
        <v>#VALUE!</v>
      </c>
      <c r="O998" s="86"/>
      <c r="P998" s="223"/>
      <c r="Q998" s="224"/>
      <c r="R998" s="135"/>
      <c r="S998" s="139" cm="1">
        <f t="array" ref="S998">IF(P998="",0,IF(OR(O998=";",P998="EQU",P998="ORG"),0,HlpGetInstructionSize(P998,Q998,R998,$AC$12)))</f>
        <v>0</v>
      </c>
      <c r="V998" s="42" t="str">
        <f t="shared" si="84"/>
        <v/>
      </c>
      <c r="W998" s="16"/>
      <c r="X998" s="28"/>
      <c r="Y998" s="29"/>
      <c r="AA998" s="66"/>
      <c r="AB998" s="11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28"/>
      <c r="AD998" s="129"/>
      <c r="AE998" s="129"/>
      <c r="AF998" s="129"/>
      <c r="AG998" s="129"/>
      <c r="AH998" s="129"/>
      <c r="AI998" s="129"/>
      <c r="AJ998" s="130"/>
    </row>
    <row r="999" spans="11:36">
      <c r="K999" s="76"/>
      <c r="L999" s="48" t="e">
        <f t="shared" si="83"/>
        <v>#VALUE!</v>
      </c>
      <c r="M999" s="32" t="str">
        <f t="shared" si="86"/>
        <v/>
      </c>
      <c r="N999" s="63" t="e">
        <f t="shared" si="85"/>
        <v>#VALUE!</v>
      </c>
      <c r="O999" s="86"/>
      <c r="P999" s="223"/>
      <c r="Q999" s="224"/>
      <c r="R999" s="135"/>
      <c r="S999" s="139" cm="1">
        <f t="array" ref="S999">IF(P999="",0,IF(OR(O999=";",P999="EQU",P999="ORG"),0,HlpGetInstructionSize(P999,Q999,R999,$AC$12)))</f>
        <v>0</v>
      </c>
      <c r="V999" s="42" t="str">
        <f t="shared" si="84"/>
        <v/>
      </c>
      <c r="W999" s="16"/>
      <c r="X999" s="28"/>
      <c r="Y999" s="29"/>
      <c r="AA999" s="66"/>
      <c r="AB999" s="11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28"/>
      <c r="AD999" s="129"/>
      <c r="AE999" s="129"/>
      <c r="AF999" s="129"/>
      <c r="AG999" s="129"/>
      <c r="AH999" s="129"/>
      <c r="AI999" s="129"/>
      <c r="AJ999" s="130"/>
    </row>
    <row r="1000" spans="11:36">
      <c r="K1000" s="76"/>
      <c r="L1000" s="48" t="e">
        <f t="shared" si="83"/>
        <v>#VALUE!</v>
      </c>
      <c r="M1000" s="32" t="str">
        <f t="shared" si="86"/>
        <v/>
      </c>
      <c r="N1000" s="63" t="e">
        <f t="shared" si="85"/>
        <v>#VALUE!</v>
      </c>
      <c r="O1000" s="86"/>
      <c r="P1000" s="223"/>
      <c r="Q1000" s="224"/>
      <c r="R1000" s="135"/>
      <c r="S1000" s="139" cm="1">
        <f t="array" ref="S1000">IF(P1000="",0,IF(OR(O1000=";",P1000="EQU",P1000="ORG"),0,HlpGetInstructionSize(P1000,Q1000,R1000,$AC$12)))</f>
        <v>0</v>
      </c>
      <c r="V1000" s="42" t="str">
        <f t="shared" si="84"/>
        <v/>
      </c>
      <c r="W1000" s="16"/>
      <c r="X1000" s="28"/>
      <c r="Y1000" s="29"/>
      <c r="AA1000" s="66"/>
      <c r="AB1000" s="11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28"/>
      <c r="AD1000" s="129"/>
      <c r="AE1000" s="129"/>
      <c r="AF1000" s="129"/>
      <c r="AG1000" s="129"/>
      <c r="AH1000" s="129"/>
      <c r="AI1000" s="129"/>
      <c r="AJ1000" s="130"/>
    </row>
    <row r="1001" spans="11:36">
      <c r="K1001" s="76"/>
      <c r="L1001" s="48" t="e">
        <f t="shared" si="83"/>
        <v>#VALUE!</v>
      </c>
      <c r="M1001" s="32" t="str">
        <f t="shared" si="86"/>
        <v/>
      </c>
      <c r="N1001" s="63" t="e">
        <f t="shared" si="85"/>
        <v>#VALUE!</v>
      </c>
      <c r="O1001" s="86"/>
      <c r="P1001" s="223"/>
      <c r="Q1001" s="224"/>
      <c r="R1001" s="135"/>
      <c r="S1001" s="139" cm="1">
        <f t="array" ref="S1001">IF(P1001="",0,IF(OR(O1001=";",P1001="EQU",P1001="ORG"),0,HlpGetInstructionSize(P1001,Q1001,R1001,$AC$12)))</f>
        <v>0</v>
      </c>
      <c r="V1001" s="42" t="str">
        <f t="shared" si="84"/>
        <v/>
      </c>
      <c r="W1001" s="16"/>
      <c r="X1001" s="28"/>
      <c r="Y1001" s="29"/>
      <c r="AA1001" s="66"/>
      <c r="AB1001" s="11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28"/>
      <c r="AD1001" s="129"/>
      <c r="AE1001" s="129"/>
      <c r="AF1001" s="129"/>
      <c r="AG1001" s="129"/>
      <c r="AH1001" s="129"/>
      <c r="AI1001" s="129"/>
      <c r="AJ1001" s="130"/>
    </row>
    <row r="1002" spans="11:36">
      <c r="K1002" s="76"/>
      <c r="L1002" s="48" t="e">
        <f t="shared" si="83"/>
        <v>#VALUE!</v>
      </c>
      <c r="M1002" s="32" t="str">
        <f t="shared" si="86"/>
        <v/>
      </c>
      <c r="N1002" s="63" t="e">
        <f t="shared" si="85"/>
        <v>#VALUE!</v>
      </c>
      <c r="O1002" s="86"/>
      <c r="P1002" s="223"/>
      <c r="Q1002" s="224"/>
      <c r="R1002" s="135"/>
      <c r="S1002" s="139" cm="1">
        <f t="array" ref="S1002">IF(P1002="",0,IF(OR(O1002=";",P1002="EQU",P1002="ORG"),0,HlpGetInstructionSize(P1002,Q1002,R1002,$AC$12)))</f>
        <v>0</v>
      </c>
      <c r="V1002" s="42" t="str">
        <f t="shared" si="84"/>
        <v/>
      </c>
      <c r="W1002" s="16"/>
      <c r="X1002" s="28"/>
      <c r="Y1002" s="29"/>
      <c r="AA1002" s="66"/>
      <c r="AB1002" s="11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28"/>
      <c r="AD1002" s="129"/>
      <c r="AE1002" s="129"/>
      <c r="AF1002" s="129"/>
      <c r="AG1002" s="129"/>
      <c r="AH1002" s="129"/>
      <c r="AI1002" s="129"/>
      <c r="AJ1002" s="130"/>
    </row>
    <row r="1003" spans="11:36">
      <c r="K1003" s="76"/>
      <c r="L1003" s="48" t="e">
        <f t="shared" si="83"/>
        <v>#VALUE!</v>
      </c>
      <c r="M1003" s="32" t="str">
        <f t="shared" si="86"/>
        <v/>
      </c>
      <c r="N1003" s="63" t="e">
        <f t="shared" si="85"/>
        <v>#VALUE!</v>
      </c>
      <c r="O1003" s="86"/>
      <c r="P1003" s="223"/>
      <c r="Q1003" s="224"/>
      <c r="R1003" s="135"/>
      <c r="S1003" s="139" cm="1">
        <f t="array" ref="S1003">IF(P1003="",0,IF(OR(O1003=";",P1003="EQU",P1003="ORG"),0,HlpGetInstructionSize(P1003,Q1003,R1003,$AC$12)))</f>
        <v>0</v>
      </c>
      <c r="V1003" s="42" t="str">
        <f t="shared" si="84"/>
        <v/>
      </c>
      <c r="W1003" s="16"/>
      <c r="X1003" s="28"/>
      <c r="Y1003" s="29"/>
      <c r="AA1003" s="66"/>
      <c r="AB1003" s="11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28"/>
      <c r="AD1003" s="129"/>
      <c r="AE1003" s="129"/>
      <c r="AF1003" s="129"/>
      <c r="AG1003" s="129"/>
      <c r="AH1003" s="129"/>
      <c r="AI1003" s="129"/>
      <c r="AJ1003" s="130"/>
    </row>
    <row r="1004" spans="11:36">
      <c r="K1004" s="76"/>
      <c r="L1004" s="48" t="e">
        <f t="shared" si="83"/>
        <v>#VALUE!</v>
      </c>
      <c r="M1004" s="32" t="str">
        <f t="shared" si="86"/>
        <v/>
      </c>
      <c r="N1004" s="63" t="e">
        <f t="shared" si="85"/>
        <v>#VALUE!</v>
      </c>
      <c r="O1004" s="86"/>
      <c r="P1004" s="223"/>
      <c r="Q1004" s="224"/>
      <c r="R1004" s="135"/>
      <c r="S1004" s="139" cm="1">
        <f t="array" ref="S1004">IF(P1004="",0,IF(OR(O1004=";",P1004="EQU",P1004="ORG"),0,HlpGetInstructionSize(P1004,Q1004,R1004,$AC$12)))</f>
        <v>0</v>
      </c>
      <c r="V1004" s="42" t="str">
        <f t="shared" si="84"/>
        <v/>
      </c>
      <c r="W1004" s="16"/>
      <c r="X1004" s="28"/>
      <c r="Y1004" s="29"/>
      <c r="AA1004" s="66"/>
      <c r="AB1004" s="11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28"/>
      <c r="AD1004" s="129"/>
      <c r="AE1004" s="129"/>
      <c r="AF1004" s="129"/>
      <c r="AG1004" s="129"/>
      <c r="AH1004" s="129"/>
      <c r="AI1004" s="129"/>
      <c r="AJ1004" s="130"/>
    </row>
    <row r="1005" spans="11:36">
      <c r="K1005" s="76"/>
      <c r="L1005" s="48" t="e">
        <f t="shared" si="83"/>
        <v>#VALUE!</v>
      </c>
      <c r="M1005" s="32" t="str">
        <f t="shared" si="86"/>
        <v/>
      </c>
      <c r="N1005" s="63" t="e">
        <f t="shared" si="85"/>
        <v>#VALUE!</v>
      </c>
      <c r="O1005" s="86"/>
      <c r="P1005" s="223"/>
      <c r="Q1005" s="224"/>
      <c r="R1005" s="135"/>
      <c r="S1005" s="139" cm="1">
        <f t="array" ref="S1005">IF(P1005="",0,IF(OR(O1005=";",P1005="EQU",P1005="ORG"),0,HlpGetInstructionSize(P1005,Q1005,R1005,$AC$12)))</f>
        <v>0</v>
      </c>
      <c r="V1005" s="42" t="str">
        <f t="shared" si="84"/>
        <v/>
      </c>
      <c r="W1005" s="16"/>
      <c r="X1005" s="28"/>
      <c r="Y1005" s="29"/>
      <c r="AA1005" s="66"/>
      <c r="AB1005" s="11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28"/>
      <c r="AD1005" s="129"/>
      <c r="AE1005" s="129"/>
      <c r="AF1005" s="129"/>
      <c r="AG1005" s="129"/>
      <c r="AH1005" s="129"/>
      <c r="AI1005" s="129"/>
      <c r="AJ1005" s="130"/>
    </row>
    <row r="1006" spans="11:36">
      <c r="K1006" s="76"/>
      <c r="L1006" s="48" t="e">
        <f t="shared" si="83"/>
        <v>#VALUE!</v>
      </c>
      <c r="M1006" s="32" t="str">
        <f t="shared" si="86"/>
        <v/>
      </c>
      <c r="N1006" s="63" t="e">
        <f t="shared" si="85"/>
        <v>#VALUE!</v>
      </c>
      <c r="O1006" s="86"/>
      <c r="P1006" s="223"/>
      <c r="Q1006" s="224"/>
      <c r="R1006" s="135"/>
      <c r="S1006" s="139" cm="1">
        <f t="array" ref="S1006">IF(P1006="",0,IF(OR(O1006=";",P1006="EQU",P1006="ORG"),0,HlpGetInstructionSize(P1006,Q1006,R1006,$AC$12)))</f>
        <v>0</v>
      </c>
      <c r="V1006" s="42" t="str">
        <f t="shared" si="84"/>
        <v/>
      </c>
      <c r="W1006" s="16"/>
      <c r="X1006" s="28"/>
      <c r="Y1006" s="29"/>
      <c r="AA1006" s="66"/>
      <c r="AB1006" s="11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28"/>
      <c r="AD1006" s="129"/>
      <c r="AE1006" s="129"/>
      <c r="AF1006" s="129"/>
      <c r="AG1006" s="129"/>
      <c r="AH1006" s="129"/>
      <c r="AI1006" s="129"/>
      <c r="AJ1006" s="130"/>
    </row>
    <row r="1007" spans="11:36">
      <c r="K1007" s="76"/>
      <c r="L1007" s="48" t="e">
        <f t="shared" si="83"/>
        <v>#VALUE!</v>
      </c>
      <c r="M1007" s="32" t="str">
        <f t="shared" si="86"/>
        <v/>
      </c>
      <c r="N1007" s="63" t="e">
        <f t="shared" si="85"/>
        <v>#VALUE!</v>
      </c>
      <c r="O1007" s="86"/>
      <c r="P1007" s="223"/>
      <c r="Q1007" s="224"/>
      <c r="R1007" s="135"/>
      <c r="S1007" s="139" cm="1">
        <f t="array" ref="S1007">IF(P1007="",0,IF(OR(O1007=";",P1007="EQU",P1007="ORG"),0,HlpGetInstructionSize(P1007,Q1007,R1007,$AC$12)))</f>
        <v>0</v>
      </c>
      <c r="V1007" s="42" t="str">
        <f t="shared" si="84"/>
        <v/>
      </c>
      <c r="W1007" s="16"/>
      <c r="X1007" s="28"/>
      <c r="Y1007" s="29"/>
      <c r="AA1007" s="66"/>
      <c r="AB1007" s="11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28"/>
      <c r="AD1007" s="129"/>
      <c r="AE1007" s="129"/>
      <c r="AF1007" s="129"/>
      <c r="AG1007" s="129"/>
      <c r="AH1007" s="129"/>
      <c r="AI1007" s="129"/>
      <c r="AJ1007" s="130"/>
    </row>
    <row r="1008" spans="11:36" ht="15.75" thickBot="1">
      <c r="K1008" s="76"/>
      <c r="L1008" s="48" t="e">
        <f t="shared" si="83"/>
        <v>#VALUE!</v>
      </c>
      <c r="M1008" s="32" t="str">
        <f t="shared" si="86"/>
        <v/>
      </c>
      <c r="N1008" s="63" t="e">
        <f t="shared" si="85"/>
        <v>#VALUE!</v>
      </c>
      <c r="O1008" s="86"/>
      <c r="P1008" s="223"/>
      <c r="Q1008" s="224"/>
      <c r="R1008" s="135"/>
      <c r="S1008" s="139" cm="1">
        <f t="array" ref="S1008">IF(P1008="",0,IF(OR(O1008=";",P1008="EQU",P1008="ORG"),0,HlpGetInstructionSize(P1008,Q1008,R1008,$AC$12)))</f>
        <v>0</v>
      </c>
      <c r="V1008" s="43" t="str">
        <f t="shared" si="84"/>
        <v/>
      </c>
      <c r="W1008" s="17"/>
      <c r="X1008" s="30"/>
      <c r="Y1008" s="31"/>
      <c r="AA1008" s="66"/>
      <c r="AB1008" s="11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28"/>
      <c r="AD1008" s="129"/>
      <c r="AE1008" s="129"/>
      <c r="AF1008" s="129"/>
      <c r="AG1008" s="129"/>
      <c r="AH1008" s="129"/>
      <c r="AI1008" s="129"/>
      <c r="AJ1008" s="130"/>
    </row>
    <row r="1009" spans="11:36">
      <c r="K1009" s="76"/>
      <c r="L1009" s="48" t="e">
        <f t="shared" si="83"/>
        <v>#VALUE!</v>
      </c>
      <c r="M1009" s="32" t="str">
        <f t="shared" si="86"/>
        <v/>
      </c>
      <c r="N1009" s="63" t="e">
        <f t="shared" si="85"/>
        <v>#VALUE!</v>
      </c>
      <c r="O1009" s="86"/>
      <c r="P1009" s="223"/>
      <c r="Q1009" s="224"/>
      <c r="R1009" s="135"/>
      <c r="S1009" s="139" cm="1">
        <f t="array" ref="S1009">IF(P1009="",0,IF(OR(O1009=";",P1009="EQU",P1009="ORG"),0,HlpGetInstructionSize(P1009,Q1009,R1009,$AC$12)))</f>
        <v>0</v>
      </c>
      <c r="AA1009" s="66"/>
      <c r="AB1009" s="11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28"/>
      <c r="AD1009" s="129"/>
      <c r="AE1009" s="129"/>
      <c r="AF1009" s="129"/>
      <c r="AG1009" s="129"/>
      <c r="AH1009" s="129"/>
      <c r="AI1009" s="129"/>
      <c r="AJ1009" s="130"/>
    </row>
    <row r="1010" spans="11:36">
      <c r="K1010" s="76"/>
      <c r="L1010" s="48" t="e">
        <f t="shared" si="83"/>
        <v>#VALUE!</v>
      </c>
      <c r="M1010" s="32" t="str">
        <f t="shared" si="86"/>
        <v/>
      </c>
      <c r="N1010" s="63" t="e">
        <f t="shared" si="85"/>
        <v>#VALUE!</v>
      </c>
      <c r="O1010" s="86"/>
      <c r="P1010" s="223"/>
      <c r="Q1010" s="224"/>
      <c r="R1010" s="135"/>
      <c r="S1010" s="139" cm="1">
        <f t="array" ref="S1010">IF(P1010="",0,IF(OR(O1010=";",P1010="EQU",P1010="ORG"),0,HlpGetInstructionSize(P1010,Q1010,R1010,$AC$12)))</f>
        <v>0</v>
      </c>
      <c r="AA1010" s="66"/>
      <c r="AB1010" s="11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28"/>
      <c r="AD1010" s="129"/>
      <c r="AE1010" s="129"/>
      <c r="AF1010" s="129"/>
      <c r="AG1010" s="129"/>
      <c r="AH1010" s="129"/>
      <c r="AI1010" s="129"/>
      <c r="AJ1010" s="130"/>
    </row>
    <row r="1011" spans="11:36">
      <c r="K1011" s="76"/>
      <c r="L1011" s="48" t="e">
        <f t="shared" si="83"/>
        <v>#VALUE!</v>
      </c>
      <c r="M1011" s="32" t="str">
        <f t="shared" si="86"/>
        <v/>
      </c>
      <c r="N1011" s="63" t="e">
        <f t="shared" si="85"/>
        <v>#VALUE!</v>
      </c>
      <c r="O1011" s="86"/>
      <c r="P1011" s="223"/>
      <c r="Q1011" s="224"/>
      <c r="R1011" s="135"/>
      <c r="S1011" s="139" cm="1">
        <f t="array" ref="S1011">IF(P1011="",0,IF(OR(O1011=";",P1011="EQU",P1011="ORG"),0,HlpGetInstructionSize(P1011,Q1011,R1011,$AC$12)))</f>
        <v>0</v>
      </c>
      <c r="AA1011" s="66"/>
      <c r="AB1011" s="11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28"/>
      <c r="AD1011" s="129"/>
      <c r="AE1011" s="129"/>
      <c r="AF1011" s="129"/>
      <c r="AG1011" s="129"/>
      <c r="AH1011" s="129"/>
      <c r="AI1011" s="129"/>
      <c r="AJ1011" s="130"/>
    </row>
    <row r="1012" spans="11:36">
      <c r="K1012" s="76"/>
      <c r="L1012" s="48" t="e">
        <f t="shared" si="83"/>
        <v>#VALUE!</v>
      </c>
      <c r="M1012" s="32" t="str">
        <f t="shared" si="86"/>
        <v/>
      </c>
      <c r="N1012" s="63" t="e">
        <f t="shared" si="85"/>
        <v>#VALUE!</v>
      </c>
      <c r="O1012" s="86"/>
      <c r="P1012" s="223"/>
      <c r="Q1012" s="224"/>
      <c r="R1012" s="135"/>
      <c r="S1012" s="139" cm="1">
        <f t="array" ref="S1012">IF(P1012="",0,IF(OR(O1012=";",P1012="EQU",P1012="ORG"),0,HlpGetInstructionSize(P1012,Q1012,R1012,$AC$12)))</f>
        <v>0</v>
      </c>
      <c r="AA1012" s="66"/>
      <c r="AB1012" s="11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28"/>
      <c r="AD1012" s="129"/>
      <c r="AE1012" s="129"/>
      <c r="AF1012" s="129"/>
      <c r="AG1012" s="129"/>
      <c r="AH1012" s="129"/>
      <c r="AI1012" s="129"/>
      <c r="AJ1012" s="130"/>
    </row>
    <row r="1013" spans="11:36">
      <c r="K1013" s="76"/>
      <c r="L1013" s="48" t="e">
        <f t="shared" si="83"/>
        <v>#VALUE!</v>
      </c>
      <c r="M1013" s="32" t="str">
        <f t="shared" si="86"/>
        <v/>
      </c>
      <c r="N1013" s="63" t="e">
        <f t="shared" si="85"/>
        <v>#VALUE!</v>
      </c>
      <c r="O1013" s="86"/>
      <c r="P1013" s="223"/>
      <c r="Q1013" s="224"/>
      <c r="R1013" s="135"/>
      <c r="S1013" s="139" cm="1">
        <f t="array" ref="S1013">IF(P1013="",0,IF(OR(O1013=";",P1013="EQU",P1013="ORG"),0,HlpGetInstructionSize(P1013,Q1013,R1013,$AC$12)))</f>
        <v>0</v>
      </c>
      <c r="AA1013" s="66"/>
      <c r="AB1013" s="11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28"/>
      <c r="AD1013" s="129"/>
      <c r="AE1013" s="129"/>
      <c r="AF1013" s="129"/>
      <c r="AG1013" s="129"/>
      <c r="AH1013" s="129"/>
      <c r="AI1013" s="129"/>
      <c r="AJ1013" s="130"/>
    </row>
    <row r="1014" spans="11:36">
      <c r="K1014" s="76"/>
      <c r="L1014" s="48" t="e">
        <f t="shared" si="83"/>
        <v>#VALUE!</v>
      </c>
      <c r="M1014" s="32" t="str">
        <f t="shared" si="86"/>
        <v/>
      </c>
      <c r="N1014" s="63" t="e">
        <f t="shared" si="85"/>
        <v>#VALUE!</v>
      </c>
      <c r="O1014" s="86"/>
      <c r="P1014" s="223"/>
      <c r="Q1014" s="224"/>
      <c r="R1014" s="135"/>
      <c r="S1014" s="139" cm="1">
        <f t="array" ref="S1014">IF(P1014="",0,IF(OR(O1014=";",P1014="EQU",P1014="ORG"),0,HlpGetInstructionSize(P1014,Q1014,R1014,$AC$12)))</f>
        <v>0</v>
      </c>
      <c r="AA1014" s="66"/>
      <c r="AB1014" s="11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28"/>
      <c r="AD1014" s="129"/>
      <c r="AE1014" s="129"/>
      <c r="AF1014" s="129"/>
      <c r="AG1014" s="129"/>
      <c r="AH1014" s="129"/>
      <c r="AI1014" s="129"/>
      <c r="AJ1014" s="130"/>
    </row>
    <row r="1015" spans="11:36">
      <c r="K1015" s="76"/>
      <c r="L1015" s="48" t="e">
        <f t="shared" si="83"/>
        <v>#VALUE!</v>
      </c>
      <c r="M1015" s="32" t="str">
        <f t="shared" si="86"/>
        <v/>
      </c>
      <c r="N1015" s="63" t="e">
        <f t="shared" si="85"/>
        <v>#VALUE!</v>
      </c>
      <c r="O1015" s="86"/>
      <c r="P1015" s="223"/>
      <c r="Q1015" s="224"/>
      <c r="R1015" s="135"/>
      <c r="S1015" s="139" cm="1">
        <f t="array" ref="S1015">IF(P1015="",0,IF(OR(O1015=";",P1015="EQU",P1015="ORG"),0,HlpGetInstructionSize(P1015,Q1015,R1015,$AC$12)))</f>
        <v>0</v>
      </c>
      <c r="AA1015" s="66"/>
      <c r="AB1015" s="11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28"/>
      <c r="AD1015" s="129"/>
      <c r="AE1015" s="129"/>
      <c r="AF1015" s="129"/>
      <c r="AG1015" s="129"/>
      <c r="AH1015" s="129"/>
      <c r="AI1015" s="129"/>
      <c r="AJ1015" s="130"/>
    </row>
    <row r="1016" spans="11:36">
      <c r="K1016" s="76"/>
      <c r="L1016" s="48" t="e">
        <f t="shared" si="83"/>
        <v>#VALUE!</v>
      </c>
      <c r="M1016" s="32" t="str">
        <f t="shared" si="86"/>
        <v/>
      </c>
      <c r="N1016" s="63" t="e">
        <f t="shared" si="85"/>
        <v>#VALUE!</v>
      </c>
      <c r="O1016" s="86"/>
      <c r="P1016" s="223"/>
      <c r="Q1016" s="224"/>
      <c r="R1016" s="135"/>
      <c r="S1016" s="139" cm="1">
        <f t="array" ref="S1016">IF(P1016="",0,IF(OR(O1016=";",P1016="EQU",P1016="ORG"),0,HlpGetInstructionSize(P1016,Q1016,R1016,$AC$12)))</f>
        <v>0</v>
      </c>
      <c r="AA1016" s="66"/>
      <c r="AB1016" s="11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28"/>
      <c r="AD1016" s="129"/>
      <c r="AE1016" s="129"/>
      <c r="AF1016" s="129"/>
      <c r="AG1016" s="129"/>
      <c r="AH1016" s="129"/>
      <c r="AI1016" s="129"/>
      <c r="AJ1016" s="130"/>
    </row>
    <row r="1017" spans="11:36">
      <c r="K1017" s="76"/>
      <c r="L1017" s="48" t="e">
        <f t="shared" si="83"/>
        <v>#VALUE!</v>
      </c>
      <c r="M1017" s="32" t="str">
        <f t="shared" si="86"/>
        <v/>
      </c>
      <c r="N1017" s="63" t="e">
        <f t="shared" si="85"/>
        <v>#VALUE!</v>
      </c>
      <c r="O1017" s="86"/>
      <c r="P1017" s="223"/>
      <c r="Q1017" s="224"/>
      <c r="R1017" s="135"/>
      <c r="S1017" s="139" cm="1">
        <f t="array" ref="S1017">IF(P1017="",0,IF(OR(O1017=";",P1017="EQU",P1017="ORG"),0,HlpGetInstructionSize(P1017,Q1017,R1017,$AC$12)))</f>
        <v>0</v>
      </c>
      <c r="AA1017" s="66"/>
      <c r="AB1017" s="11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28"/>
      <c r="AD1017" s="129"/>
      <c r="AE1017" s="129"/>
      <c r="AF1017" s="129"/>
      <c r="AG1017" s="129"/>
      <c r="AH1017" s="129"/>
      <c r="AI1017" s="129"/>
      <c r="AJ1017" s="130"/>
    </row>
    <row r="1018" spans="11:36">
      <c r="K1018" s="76"/>
      <c r="L1018" s="48" t="e">
        <f t="shared" si="83"/>
        <v>#VALUE!</v>
      </c>
      <c r="M1018" s="32" t="str">
        <f t="shared" si="86"/>
        <v/>
      </c>
      <c r="N1018" s="63" t="e">
        <f t="shared" si="85"/>
        <v>#VALUE!</v>
      </c>
      <c r="O1018" s="86"/>
      <c r="P1018" s="223"/>
      <c r="Q1018" s="224"/>
      <c r="R1018" s="135"/>
      <c r="S1018" s="139" cm="1">
        <f t="array" ref="S1018">IF(P1018="",0,IF(OR(O1018=";",P1018="EQU",P1018="ORG"),0,HlpGetInstructionSize(P1018,Q1018,R1018,$AC$12)))</f>
        <v>0</v>
      </c>
      <c r="AA1018" s="66"/>
      <c r="AB1018" s="11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28"/>
      <c r="AD1018" s="129"/>
      <c r="AE1018" s="129"/>
      <c r="AF1018" s="129"/>
      <c r="AG1018" s="129"/>
      <c r="AH1018" s="129"/>
      <c r="AI1018" s="129"/>
      <c r="AJ1018" s="130"/>
    </row>
    <row r="1019" spans="11:36">
      <c r="K1019" s="76"/>
      <c r="L1019" s="48" t="e">
        <f t="shared" si="83"/>
        <v>#VALUE!</v>
      </c>
      <c r="M1019" s="32" t="str">
        <f t="shared" si="86"/>
        <v/>
      </c>
      <c r="N1019" s="63" t="e">
        <f t="shared" si="85"/>
        <v>#VALUE!</v>
      </c>
      <c r="O1019" s="86"/>
      <c r="P1019" s="223"/>
      <c r="Q1019" s="224"/>
      <c r="R1019" s="135"/>
      <c r="S1019" s="139" cm="1">
        <f t="array" ref="S1019">IF(P1019="",0,IF(OR(O1019=";",P1019="EQU",P1019="ORG"),0,HlpGetInstructionSize(P1019,Q1019,R1019,$AC$12)))</f>
        <v>0</v>
      </c>
      <c r="AA1019" s="66"/>
      <c r="AB1019" s="11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28"/>
      <c r="AD1019" s="129"/>
      <c r="AE1019" s="129"/>
      <c r="AF1019" s="129"/>
      <c r="AG1019" s="129"/>
      <c r="AH1019" s="129"/>
      <c r="AI1019" s="129"/>
      <c r="AJ1019" s="130"/>
    </row>
    <row r="1020" spans="11:36">
      <c r="K1020" s="76"/>
      <c r="L1020" s="48" t="e">
        <f t="shared" si="83"/>
        <v>#VALUE!</v>
      </c>
      <c r="M1020" s="32" t="str">
        <f t="shared" si="86"/>
        <v/>
      </c>
      <c r="N1020" s="63" t="e">
        <f t="shared" si="85"/>
        <v>#VALUE!</v>
      </c>
      <c r="O1020" s="86"/>
      <c r="P1020" s="223"/>
      <c r="Q1020" s="224"/>
      <c r="R1020" s="135"/>
      <c r="S1020" s="139" cm="1">
        <f t="array" ref="S1020">IF(P1020="",0,IF(OR(O1020=";",P1020="EQU",P1020="ORG"),0,HlpGetInstructionSize(P1020,Q1020,R1020,$AC$12)))</f>
        <v>0</v>
      </c>
      <c r="AA1020" s="66"/>
      <c r="AB1020" s="11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28"/>
      <c r="AD1020" s="129"/>
      <c r="AE1020" s="129"/>
      <c r="AF1020" s="129"/>
      <c r="AG1020" s="129"/>
      <c r="AH1020" s="129"/>
      <c r="AI1020" s="129"/>
      <c r="AJ1020" s="130"/>
    </row>
    <row r="1021" spans="11:36">
      <c r="K1021" s="76"/>
      <c r="L1021" s="48" t="e">
        <f t="shared" si="83"/>
        <v>#VALUE!</v>
      </c>
      <c r="M1021" s="32" t="str">
        <f t="shared" si="86"/>
        <v/>
      </c>
      <c r="N1021" s="63" t="e">
        <f t="shared" si="85"/>
        <v>#VALUE!</v>
      </c>
      <c r="O1021" s="86"/>
      <c r="P1021" s="223"/>
      <c r="Q1021" s="224"/>
      <c r="R1021" s="135"/>
      <c r="S1021" s="139" cm="1">
        <f t="array" ref="S1021">IF(P1021="",0,IF(OR(O1021=";",P1021="EQU",P1021="ORG"),0,HlpGetInstructionSize(P1021,Q1021,R1021,$AC$12)))</f>
        <v>0</v>
      </c>
      <c r="AA1021" s="66"/>
      <c r="AB1021" s="11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28"/>
      <c r="AD1021" s="129"/>
      <c r="AE1021" s="129"/>
      <c r="AF1021" s="129"/>
      <c r="AG1021" s="129"/>
      <c r="AH1021" s="129"/>
      <c r="AI1021" s="129"/>
      <c r="AJ1021" s="130"/>
    </row>
    <row r="1022" spans="11:36">
      <c r="K1022" s="76"/>
      <c r="L1022" s="48" t="e">
        <f t="shared" si="83"/>
        <v>#VALUE!</v>
      </c>
      <c r="M1022" s="32" t="str">
        <f t="shared" si="86"/>
        <v/>
      </c>
      <c r="N1022" s="63" t="e">
        <f t="shared" si="85"/>
        <v>#VALUE!</v>
      </c>
      <c r="O1022" s="86"/>
      <c r="P1022" s="223"/>
      <c r="Q1022" s="224"/>
      <c r="R1022" s="135"/>
      <c r="S1022" s="139" cm="1">
        <f t="array" ref="S1022">IF(P1022="",0,IF(OR(O1022=";",P1022="EQU",P1022="ORG"),0,HlpGetInstructionSize(P1022,Q1022,R1022,$AC$12)))</f>
        <v>0</v>
      </c>
      <c r="AA1022" s="66"/>
      <c r="AB1022" s="11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28"/>
      <c r="AD1022" s="129"/>
      <c r="AE1022" s="129"/>
      <c r="AF1022" s="129"/>
      <c r="AG1022" s="129"/>
      <c r="AH1022" s="129"/>
      <c r="AI1022" s="129"/>
      <c r="AJ1022" s="130"/>
    </row>
    <row r="1023" spans="11:36">
      <c r="K1023" s="76"/>
      <c r="L1023" s="48" t="e">
        <f t="shared" si="83"/>
        <v>#VALUE!</v>
      </c>
      <c r="M1023" s="32" t="str">
        <f t="shared" si="86"/>
        <v/>
      </c>
      <c r="N1023" s="63" t="e">
        <f t="shared" si="85"/>
        <v>#VALUE!</v>
      </c>
      <c r="O1023" s="86"/>
      <c r="P1023" s="223"/>
      <c r="Q1023" s="224"/>
      <c r="R1023" s="135"/>
      <c r="S1023" s="139" cm="1">
        <f t="array" ref="S1023">IF(P1023="",0,IF(OR(O1023=";",P1023="EQU",P1023="ORG"),0,HlpGetInstructionSize(P1023,Q1023,R1023,$AC$12)))</f>
        <v>0</v>
      </c>
      <c r="AA1023" s="66"/>
      <c r="AB1023" s="11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28"/>
      <c r="AD1023" s="129"/>
      <c r="AE1023" s="129"/>
      <c r="AF1023" s="129"/>
      <c r="AG1023" s="129"/>
      <c r="AH1023" s="129"/>
      <c r="AI1023" s="129"/>
      <c r="AJ1023" s="130"/>
    </row>
    <row r="1024" spans="11:36">
      <c r="K1024" s="76"/>
      <c r="L1024" s="48" t="e">
        <f t="shared" si="83"/>
        <v>#VALUE!</v>
      </c>
      <c r="M1024" s="32" t="str">
        <f t="shared" si="86"/>
        <v/>
      </c>
      <c r="N1024" s="63" t="e">
        <f t="shared" si="85"/>
        <v>#VALUE!</v>
      </c>
      <c r="O1024" s="86"/>
      <c r="P1024" s="223"/>
      <c r="Q1024" s="224"/>
      <c r="R1024" s="135"/>
      <c r="S1024" s="139" cm="1">
        <f t="array" ref="S1024">IF(P1024="",0,IF(OR(O1024=";",P1024="EQU",P1024="ORG"),0,HlpGetInstructionSize(P1024,Q1024,R1024,$AC$12)))</f>
        <v>0</v>
      </c>
      <c r="AA1024" s="66"/>
      <c r="AB1024" s="11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28"/>
      <c r="AD1024" s="129"/>
      <c r="AE1024" s="129"/>
      <c r="AF1024" s="129"/>
      <c r="AG1024" s="129"/>
      <c r="AH1024" s="129"/>
      <c r="AI1024" s="129"/>
      <c r="AJ1024" s="130"/>
    </row>
    <row r="1025" spans="11:36">
      <c r="K1025" s="76"/>
      <c r="L1025" s="48" t="e">
        <f t="shared" si="83"/>
        <v>#VALUE!</v>
      </c>
      <c r="M1025" s="32" t="str">
        <f t="shared" si="86"/>
        <v/>
      </c>
      <c r="N1025" s="63" t="e">
        <f t="shared" si="85"/>
        <v>#VALUE!</v>
      </c>
      <c r="O1025" s="86"/>
      <c r="P1025" s="223"/>
      <c r="Q1025" s="224"/>
      <c r="R1025" s="135"/>
      <c r="S1025" s="139" cm="1">
        <f t="array" ref="S1025">IF(P1025="",0,IF(OR(O1025=";",P1025="EQU",P1025="ORG"),0,HlpGetInstructionSize(P1025,Q1025,R1025,$AC$12)))</f>
        <v>0</v>
      </c>
      <c r="AA1025" s="66"/>
      <c r="AB1025" s="11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28"/>
      <c r="AD1025" s="129"/>
      <c r="AE1025" s="129"/>
      <c r="AF1025" s="129"/>
      <c r="AG1025" s="129"/>
      <c r="AH1025" s="129"/>
      <c r="AI1025" s="129"/>
      <c r="AJ1025" s="130"/>
    </row>
    <row r="1026" spans="11:36">
      <c r="K1026" s="76"/>
      <c r="L1026" s="48" t="e">
        <f t="shared" si="83"/>
        <v>#VALUE!</v>
      </c>
      <c r="M1026" s="32" t="str">
        <f t="shared" si="86"/>
        <v/>
      </c>
      <c r="N1026" s="63" t="e">
        <f t="shared" si="85"/>
        <v>#VALUE!</v>
      </c>
      <c r="O1026" s="86"/>
      <c r="P1026" s="223"/>
      <c r="Q1026" s="224"/>
      <c r="R1026" s="135"/>
      <c r="S1026" s="139" cm="1">
        <f t="array" ref="S1026">IF(P1026="",0,IF(OR(O1026=";",P1026="EQU",P1026="ORG"),0,HlpGetInstructionSize(P1026,Q1026,R1026,$AC$12)))</f>
        <v>0</v>
      </c>
      <c r="AA1026" s="66"/>
      <c r="AB1026" s="11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28"/>
      <c r="AD1026" s="129"/>
      <c r="AE1026" s="129"/>
      <c r="AF1026" s="129"/>
      <c r="AG1026" s="129"/>
      <c r="AH1026" s="129"/>
      <c r="AI1026" s="129"/>
      <c r="AJ1026" s="130"/>
    </row>
    <row r="1027" spans="11:36">
      <c r="K1027" s="76"/>
      <c r="L1027" s="48" t="e">
        <f t="shared" si="83"/>
        <v>#VALUE!</v>
      </c>
      <c r="M1027" s="32" t="str">
        <f t="shared" si="86"/>
        <v/>
      </c>
      <c r="N1027" s="63" t="e">
        <f t="shared" si="85"/>
        <v>#VALUE!</v>
      </c>
      <c r="O1027" s="86"/>
      <c r="P1027" s="223"/>
      <c r="Q1027" s="224"/>
      <c r="R1027" s="135"/>
      <c r="S1027" s="139" cm="1">
        <f t="array" ref="S1027">IF(P1027="",0,IF(OR(O1027=";",P1027="EQU",P1027="ORG"),0,HlpGetInstructionSize(P1027,Q1027,R1027,$AC$12)))</f>
        <v>0</v>
      </c>
      <c r="AA1027" s="66"/>
      <c r="AB1027" s="11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28"/>
      <c r="AD1027" s="129"/>
      <c r="AE1027" s="129"/>
      <c r="AF1027" s="129"/>
      <c r="AG1027" s="129"/>
      <c r="AH1027" s="129"/>
      <c r="AI1027" s="129"/>
      <c r="AJ1027" s="130"/>
    </row>
    <row r="1028" spans="11:36">
      <c r="K1028" s="76"/>
      <c r="L1028" s="48" t="e">
        <f t="shared" si="83"/>
        <v>#VALUE!</v>
      </c>
      <c r="M1028" s="32" t="str">
        <f t="shared" si="86"/>
        <v/>
      </c>
      <c r="N1028" s="63" t="e">
        <f t="shared" si="85"/>
        <v>#VALUE!</v>
      </c>
      <c r="O1028" s="86"/>
      <c r="P1028" s="223"/>
      <c r="Q1028" s="224"/>
      <c r="R1028" s="135"/>
      <c r="S1028" s="139" cm="1">
        <f t="array" ref="S1028">IF(P1028="",0,IF(OR(O1028=";",P1028="EQU",P1028="ORG"),0,HlpGetInstructionSize(P1028,Q1028,R1028,$AC$12)))</f>
        <v>0</v>
      </c>
      <c r="AA1028" s="66"/>
      <c r="AB1028" s="11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28"/>
      <c r="AD1028" s="129"/>
      <c r="AE1028" s="129"/>
      <c r="AF1028" s="129"/>
      <c r="AG1028" s="129"/>
      <c r="AH1028" s="129"/>
      <c r="AI1028" s="129"/>
      <c r="AJ1028" s="130"/>
    </row>
    <row r="1029" spans="11:36">
      <c r="K1029" s="76"/>
      <c r="L1029" s="48" t="e">
        <f t="shared" si="83"/>
        <v>#VALUE!</v>
      </c>
      <c r="M1029" s="32" t="str">
        <f t="shared" si="86"/>
        <v/>
      </c>
      <c r="N1029" s="63" t="e">
        <f t="shared" si="85"/>
        <v>#VALUE!</v>
      </c>
      <c r="O1029" s="86"/>
      <c r="P1029" s="223"/>
      <c r="Q1029" s="224"/>
      <c r="R1029" s="135"/>
      <c r="S1029" s="139" cm="1">
        <f t="array" ref="S1029">IF(P1029="",0,IF(OR(O1029=";",P1029="EQU",P1029="ORG"),0,HlpGetInstructionSize(P1029,Q1029,R1029,$AC$12)))</f>
        <v>0</v>
      </c>
      <c r="AA1029" s="66"/>
      <c r="AB1029" s="11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28"/>
      <c r="AD1029" s="129"/>
      <c r="AE1029" s="129"/>
      <c r="AF1029" s="129"/>
      <c r="AG1029" s="129"/>
      <c r="AH1029" s="129"/>
      <c r="AI1029" s="129"/>
      <c r="AJ1029" s="130"/>
    </row>
    <row r="1030" spans="11:36">
      <c r="K1030" s="76"/>
      <c r="L1030" s="48" t="e">
        <f t="shared" si="83"/>
        <v>#VALUE!</v>
      </c>
      <c r="M1030" s="32" t="str">
        <f t="shared" si="86"/>
        <v/>
      </c>
      <c r="N1030" s="63" t="e">
        <f t="shared" si="85"/>
        <v>#VALUE!</v>
      </c>
      <c r="O1030" s="86"/>
      <c r="P1030" s="223"/>
      <c r="Q1030" s="224"/>
      <c r="R1030" s="135"/>
      <c r="S1030" s="139" cm="1">
        <f t="array" ref="S1030">IF(P1030="",0,IF(OR(O1030=";",P1030="EQU",P1030="ORG"),0,HlpGetInstructionSize(P1030,Q1030,R1030,$AC$12)))</f>
        <v>0</v>
      </c>
      <c r="AA1030" s="66"/>
      <c r="AB1030" s="11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28"/>
      <c r="AD1030" s="129"/>
      <c r="AE1030" s="129"/>
      <c r="AF1030" s="129"/>
      <c r="AG1030" s="129"/>
      <c r="AH1030" s="129"/>
      <c r="AI1030" s="129"/>
      <c r="AJ1030" s="130"/>
    </row>
    <row r="1031" spans="11:36">
      <c r="K1031" s="76"/>
      <c r="L1031" s="48" t="e">
        <f t="shared" si="83"/>
        <v>#VALUE!</v>
      </c>
      <c r="M1031" s="32" t="str">
        <f t="shared" si="86"/>
        <v/>
      </c>
      <c r="N1031" s="63" t="e">
        <f t="shared" si="85"/>
        <v>#VALUE!</v>
      </c>
      <c r="O1031" s="86"/>
      <c r="P1031" s="223"/>
      <c r="Q1031" s="224"/>
      <c r="R1031" s="135"/>
      <c r="S1031" s="139" cm="1">
        <f t="array" ref="S1031">IF(P1031="",0,IF(OR(O1031=";",P1031="EQU",P1031="ORG"),0,HlpGetInstructionSize(P1031,Q1031,R1031,$AC$12)))</f>
        <v>0</v>
      </c>
      <c r="AA1031" s="66"/>
      <c r="AB1031" s="11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28"/>
      <c r="AD1031" s="129"/>
      <c r="AE1031" s="129"/>
      <c r="AF1031" s="129"/>
      <c r="AG1031" s="129"/>
      <c r="AH1031" s="129"/>
      <c r="AI1031" s="129"/>
      <c r="AJ1031" s="130"/>
    </row>
    <row r="1032" spans="11:36">
      <c r="K1032" s="76"/>
      <c r="L1032" s="48" t="e">
        <f t="shared" si="83"/>
        <v>#VALUE!</v>
      </c>
      <c r="M1032" s="32" t="str">
        <f t="shared" si="86"/>
        <v/>
      </c>
      <c r="N1032" s="63" t="e">
        <f t="shared" si="85"/>
        <v>#VALUE!</v>
      </c>
      <c r="O1032" s="86"/>
      <c r="P1032" s="223"/>
      <c r="Q1032" s="224"/>
      <c r="R1032" s="135"/>
      <c r="S1032" s="139" cm="1">
        <f t="array" ref="S1032">IF(P1032="",0,IF(OR(O1032=";",P1032="EQU",P1032="ORG"),0,HlpGetInstructionSize(P1032,Q1032,R1032,$AC$12)))</f>
        <v>0</v>
      </c>
      <c r="AA1032" s="66"/>
      <c r="AB1032" s="11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28"/>
      <c r="AD1032" s="129"/>
      <c r="AE1032" s="129"/>
      <c r="AF1032" s="129"/>
      <c r="AG1032" s="129"/>
      <c r="AH1032" s="129"/>
      <c r="AI1032" s="129"/>
      <c r="AJ1032" s="130"/>
    </row>
    <row r="1033" spans="11:36">
      <c r="K1033" s="76"/>
      <c r="L1033" s="48" t="e">
        <f t="shared" ref="L1033:L1070" si="87">IF(UPPER(P1033)="EQU","E",IF(P1033="DB","D",IF(O1033&lt;&gt;"","L",IF(N1033="","F",""))))</f>
        <v>#VALUE!</v>
      </c>
      <c r="M1033" s="32" t="str">
        <f t="shared" si="86"/>
        <v/>
      </c>
      <c r="N1033" s="63" t="e">
        <f t="shared" si="85"/>
        <v>#VALUE!</v>
      </c>
      <c r="O1033" s="86"/>
      <c r="P1033" s="223"/>
      <c r="Q1033" s="224"/>
      <c r="R1033" s="135"/>
      <c r="S1033" s="139" cm="1">
        <f t="array" ref="S1033">IF(P1033="",0,IF(OR(O1033=";",P1033="EQU",P1033="ORG"),0,HlpGetInstructionSize(P1033,Q1033,R1033,$AC$12)))</f>
        <v>0</v>
      </c>
      <c r="AA1033" s="66"/>
      <c r="AB1033" s="11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28"/>
      <c r="AD1033" s="129"/>
      <c r="AE1033" s="129"/>
      <c r="AF1033" s="129"/>
      <c r="AG1033" s="129"/>
      <c r="AH1033" s="129"/>
      <c r="AI1033" s="129"/>
      <c r="AJ1033" s="130"/>
    </row>
    <row r="1034" spans="11:36">
      <c r="K1034" s="76"/>
      <c r="L1034" s="48" t="e">
        <f t="shared" si="87"/>
        <v>#VALUE!</v>
      </c>
      <c r="M1034" s="32" t="str">
        <f t="shared" si="86"/>
        <v/>
      </c>
      <c r="N1034" s="63" t="e">
        <f t="shared" ref="N1034:N1070" si="88">N1033+S1033</f>
        <v>#VALUE!</v>
      </c>
      <c r="O1034" s="86"/>
      <c r="P1034" s="223"/>
      <c r="Q1034" s="224"/>
      <c r="R1034" s="135"/>
      <c r="S1034" s="139" cm="1">
        <f t="array" ref="S1034">IF(P1034="",0,IF(OR(O1034=";",P1034="EQU",P1034="ORG"),0,HlpGetInstructionSize(P1034,Q1034,R1034,$AC$12)))</f>
        <v>0</v>
      </c>
      <c r="AA1034" s="66"/>
      <c r="AB1034" s="11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28"/>
      <c r="AD1034" s="129"/>
      <c r="AE1034" s="129"/>
      <c r="AF1034" s="129"/>
      <c r="AG1034" s="129"/>
      <c r="AH1034" s="129"/>
      <c r="AI1034" s="129"/>
      <c r="AJ1034" s="130"/>
    </row>
    <row r="1035" spans="11:36">
      <c r="K1035" s="76"/>
      <c r="L1035" s="48" t="e">
        <f t="shared" si="87"/>
        <v>#VALUE!</v>
      </c>
      <c r="M1035" s="32" t="str">
        <f t="shared" si="86"/>
        <v/>
      </c>
      <c r="N1035" s="63" t="e">
        <f t="shared" si="88"/>
        <v>#VALUE!</v>
      </c>
      <c r="O1035" s="86"/>
      <c r="P1035" s="223"/>
      <c r="Q1035" s="224"/>
      <c r="R1035" s="135"/>
      <c r="S1035" s="139" cm="1">
        <f t="array" ref="S1035">IF(P1035="",0,IF(OR(O1035=";",P1035="EQU",P1035="ORG"),0,HlpGetInstructionSize(P1035,Q1035,R1035,$AC$12)))</f>
        <v>0</v>
      </c>
      <c r="AA1035" s="66"/>
      <c r="AB1035" s="11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28"/>
      <c r="AD1035" s="129"/>
      <c r="AE1035" s="129"/>
      <c r="AF1035" s="129"/>
      <c r="AG1035" s="129"/>
      <c r="AH1035" s="129"/>
      <c r="AI1035" s="129"/>
      <c r="AJ1035" s="130"/>
    </row>
    <row r="1036" spans="11:36">
      <c r="K1036" s="76"/>
      <c r="L1036" s="48" t="e">
        <f t="shared" si="87"/>
        <v>#VALUE!</v>
      </c>
      <c r="M1036" s="32" t="str">
        <f t="shared" si="86"/>
        <v/>
      </c>
      <c r="N1036" s="63" t="e">
        <f t="shared" si="88"/>
        <v>#VALUE!</v>
      </c>
      <c r="O1036" s="86"/>
      <c r="P1036" s="223"/>
      <c r="Q1036" s="224"/>
      <c r="R1036" s="135"/>
      <c r="S1036" s="139" cm="1">
        <f t="array" ref="S1036">IF(P1036="",0,IF(OR(O1036=";",P1036="EQU",P1036="ORG"),0,HlpGetInstructionSize(P1036,Q1036,R1036,$AC$12)))</f>
        <v>0</v>
      </c>
      <c r="AA1036" s="66"/>
      <c r="AB1036" s="11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28"/>
      <c r="AD1036" s="129"/>
      <c r="AE1036" s="129"/>
      <c r="AF1036" s="129"/>
      <c r="AG1036" s="129"/>
      <c r="AH1036" s="129"/>
      <c r="AI1036" s="129"/>
      <c r="AJ1036" s="130"/>
    </row>
    <row r="1037" spans="11:36">
      <c r="K1037" s="76"/>
      <c r="L1037" s="48" t="e">
        <f t="shared" si="87"/>
        <v>#VALUE!</v>
      </c>
      <c r="M1037" s="32" t="str">
        <f t="shared" si="86"/>
        <v/>
      </c>
      <c r="N1037" s="63" t="e">
        <f t="shared" si="88"/>
        <v>#VALUE!</v>
      </c>
      <c r="O1037" s="86"/>
      <c r="P1037" s="223"/>
      <c r="Q1037" s="224"/>
      <c r="R1037" s="135"/>
      <c r="S1037" s="139" cm="1">
        <f t="array" ref="S1037">IF(P1037="",0,IF(OR(O1037=";",P1037="EQU",P1037="ORG"),0,HlpGetInstructionSize(P1037,Q1037,R1037,$AC$12)))</f>
        <v>0</v>
      </c>
      <c r="AA1037" s="66"/>
      <c r="AB1037" s="11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28"/>
      <c r="AD1037" s="129"/>
      <c r="AE1037" s="129"/>
      <c r="AF1037" s="129"/>
      <c r="AG1037" s="129"/>
      <c r="AH1037" s="129"/>
      <c r="AI1037" s="129"/>
      <c r="AJ1037" s="130"/>
    </row>
    <row r="1038" spans="11:36">
      <c r="K1038" s="76"/>
      <c r="L1038" s="48" t="e">
        <f t="shared" si="87"/>
        <v>#VALUE!</v>
      </c>
      <c r="M1038" s="32" t="str">
        <f t="shared" si="86"/>
        <v/>
      </c>
      <c r="N1038" s="63" t="e">
        <f t="shared" si="88"/>
        <v>#VALUE!</v>
      </c>
      <c r="O1038" s="86"/>
      <c r="P1038" s="223"/>
      <c r="Q1038" s="224"/>
      <c r="R1038" s="135"/>
      <c r="S1038" s="139" cm="1">
        <f t="array" ref="S1038">IF(P1038="",0,IF(OR(O1038=";",P1038="EQU",P1038="ORG"),0,HlpGetInstructionSize(P1038,Q1038,R1038,$AC$12)))</f>
        <v>0</v>
      </c>
      <c r="AA1038" s="66"/>
      <c r="AB1038" s="11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28"/>
      <c r="AD1038" s="129"/>
      <c r="AE1038" s="129"/>
      <c r="AF1038" s="129"/>
      <c r="AG1038" s="129"/>
      <c r="AH1038" s="129"/>
      <c r="AI1038" s="129"/>
      <c r="AJ1038" s="130"/>
    </row>
    <row r="1039" spans="11:36">
      <c r="K1039" s="76"/>
      <c r="L1039" s="48" t="e">
        <f t="shared" si="87"/>
        <v>#VALUE!</v>
      </c>
      <c r="M1039" s="32" t="str">
        <f t="shared" si="86"/>
        <v/>
      </c>
      <c r="N1039" s="63" t="e">
        <f t="shared" si="88"/>
        <v>#VALUE!</v>
      </c>
      <c r="O1039" s="86"/>
      <c r="P1039" s="223"/>
      <c r="Q1039" s="224"/>
      <c r="R1039" s="135"/>
      <c r="S1039" s="139" cm="1">
        <f t="array" ref="S1039">IF(P1039="",0,IF(OR(O1039=";",P1039="EQU",P1039="ORG"),0,HlpGetInstructionSize(P1039,Q1039,R1039,$AC$12)))</f>
        <v>0</v>
      </c>
      <c r="AA1039" s="66"/>
      <c r="AB1039" s="11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28"/>
      <c r="AD1039" s="129"/>
      <c r="AE1039" s="129"/>
      <c r="AF1039" s="129"/>
      <c r="AG1039" s="129"/>
      <c r="AH1039" s="129"/>
      <c r="AI1039" s="129"/>
      <c r="AJ1039" s="130"/>
    </row>
    <row r="1040" spans="11:36">
      <c r="K1040" s="76"/>
      <c r="L1040" s="48" t="e">
        <f t="shared" si="87"/>
        <v>#VALUE!</v>
      </c>
      <c r="M1040" s="32" t="str">
        <f t="shared" si="86"/>
        <v/>
      </c>
      <c r="N1040" s="63" t="e">
        <f t="shared" si="88"/>
        <v>#VALUE!</v>
      </c>
      <c r="O1040" s="86"/>
      <c r="P1040" s="223"/>
      <c r="Q1040" s="224"/>
      <c r="R1040" s="135"/>
      <c r="S1040" s="139" cm="1">
        <f t="array" ref="S1040">IF(P1040="",0,IF(OR(O1040=";",P1040="EQU",P1040="ORG"),0,HlpGetInstructionSize(P1040,Q1040,R1040,$AC$12)))</f>
        <v>0</v>
      </c>
      <c r="AA1040" s="66"/>
      <c r="AB1040" s="11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28"/>
      <c r="AD1040" s="129"/>
      <c r="AE1040" s="129"/>
      <c r="AF1040" s="129"/>
      <c r="AG1040" s="129"/>
      <c r="AH1040" s="129"/>
      <c r="AI1040" s="129"/>
      <c r="AJ1040" s="130"/>
    </row>
    <row r="1041" spans="11:36">
      <c r="K1041" s="76"/>
      <c r="L1041" s="48" t="e">
        <f t="shared" si="87"/>
        <v>#VALUE!</v>
      </c>
      <c r="M1041" s="32" t="str">
        <f t="shared" si="86"/>
        <v/>
      </c>
      <c r="N1041" s="63" t="e">
        <f t="shared" si="88"/>
        <v>#VALUE!</v>
      </c>
      <c r="O1041" s="86"/>
      <c r="P1041" s="223"/>
      <c r="Q1041" s="224"/>
      <c r="R1041" s="135"/>
      <c r="S1041" s="139" cm="1">
        <f t="array" ref="S1041">IF(P1041="",0,IF(OR(O1041=";",P1041="EQU",P1041="ORG"),0,HlpGetInstructionSize(P1041,Q1041,R1041,$AC$12)))</f>
        <v>0</v>
      </c>
      <c r="AA1041" s="66"/>
      <c r="AB1041" s="11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28"/>
      <c r="AD1041" s="129"/>
      <c r="AE1041" s="129"/>
      <c r="AF1041" s="129"/>
      <c r="AG1041" s="129"/>
      <c r="AH1041" s="129"/>
      <c r="AI1041" s="129"/>
      <c r="AJ1041" s="130"/>
    </row>
    <row r="1042" spans="11:36">
      <c r="K1042" s="76"/>
      <c r="L1042" s="48" t="e">
        <f t="shared" si="87"/>
        <v>#VALUE!</v>
      </c>
      <c r="M1042" s="32" t="str">
        <f t="shared" si="86"/>
        <v/>
      </c>
      <c r="N1042" s="63" t="e">
        <f t="shared" si="88"/>
        <v>#VALUE!</v>
      </c>
      <c r="O1042" s="86"/>
      <c r="P1042" s="223"/>
      <c r="Q1042" s="224"/>
      <c r="R1042" s="135"/>
      <c r="S1042" s="139" cm="1">
        <f t="array" ref="S1042">IF(P1042="",0,IF(OR(O1042=";",P1042="EQU",P1042="ORG"),0,HlpGetInstructionSize(P1042,Q1042,R1042,$AC$12)))</f>
        <v>0</v>
      </c>
      <c r="AA1042" s="66"/>
      <c r="AB1042" s="11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28"/>
      <c r="AD1042" s="129"/>
      <c r="AE1042" s="129"/>
      <c r="AF1042" s="129"/>
      <c r="AG1042" s="129"/>
      <c r="AH1042" s="129"/>
      <c r="AI1042" s="129"/>
      <c r="AJ1042" s="130"/>
    </row>
    <row r="1043" spans="11:36">
      <c r="K1043" s="76"/>
      <c r="L1043" s="48" t="e">
        <f t="shared" si="87"/>
        <v>#VALUE!</v>
      </c>
      <c r="M1043" s="32" t="str">
        <f t="shared" si="86"/>
        <v/>
      </c>
      <c r="N1043" s="63" t="e">
        <f t="shared" si="88"/>
        <v>#VALUE!</v>
      </c>
      <c r="O1043" s="86"/>
      <c r="P1043" s="223"/>
      <c r="Q1043" s="224"/>
      <c r="R1043" s="135"/>
      <c r="S1043" s="139" cm="1">
        <f t="array" ref="S1043">IF(P1043="",0,IF(OR(O1043=";",P1043="EQU",P1043="ORG"),0,HlpGetInstructionSize(P1043,Q1043,R1043,$AC$12)))</f>
        <v>0</v>
      </c>
      <c r="AA1043" s="66"/>
      <c r="AB1043" s="11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28"/>
      <c r="AD1043" s="129"/>
      <c r="AE1043" s="129"/>
      <c r="AF1043" s="129"/>
      <c r="AG1043" s="129"/>
      <c r="AH1043" s="129"/>
      <c r="AI1043" s="129"/>
      <c r="AJ1043" s="130"/>
    </row>
    <row r="1044" spans="11:36">
      <c r="K1044" s="76"/>
      <c r="L1044" s="48" t="e">
        <f t="shared" si="87"/>
        <v>#VALUE!</v>
      </c>
      <c r="M1044" s="32" t="str">
        <f t="shared" si="86"/>
        <v/>
      </c>
      <c r="N1044" s="63" t="e">
        <f t="shared" si="88"/>
        <v>#VALUE!</v>
      </c>
      <c r="O1044" s="86"/>
      <c r="P1044" s="223"/>
      <c r="Q1044" s="224"/>
      <c r="R1044" s="135"/>
      <c r="S1044" s="139" cm="1">
        <f t="array" ref="S1044">IF(P1044="",0,IF(OR(O1044=";",P1044="EQU",P1044="ORG"),0,HlpGetInstructionSize(P1044,Q1044,R1044,$AC$12)))</f>
        <v>0</v>
      </c>
      <c r="AA1044" s="66"/>
      <c r="AB1044" s="11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28"/>
      <c r="AD1044" s="129"/>
      <c r="AE1044" s="129"/>
      <c r="AF1044" s="129"/>
      <c r="AG1044" s="129"/>
      <c r="AH1044" s="129"/>
      <c r="AI1044" s="129"/>
      <c r="AJ1044" s="130"/>
    </row>
    <row r="1045" spans="11:36">
      <c r="K1045" s="76"/>
      <c r="L1045" s="48" t="e">
        <f t="shared" si="87"/>
        <v>#VALUE!</v>
      </c>
      <c r="M1045" s="32" t="str">
        <f t="shared" si="86"/>
        <v/>
      </c>
      <c r="N1045" s="63" t="e">
        <f t="shared" si="88"/>
        <v>#VALUE!</v>
      </c>
      <c r="O1045" s="86"/>
      <c r="P1045" s="223"/>
      <c r="Q1045" s="224"/>
      <c r="R1045" s="135"/>
      <c r="S1045" s="139" cm="1">
        <f t="array" ref="S1045">IF(P1045="",0,IF(OR(O1045=";",P1045="EQU",P1045="ORG"),0,HlpGetInstructionSize(P1045,Q1045,R1045,$AC$12)))</f>
        <v>0</v>
      </c>
      <c r="AA1045" s="66"/>
      <c r="AB1045" s="11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28"/>
      <c r="AD1045" s="129"/>
      <c r="AE1045" s="129"/>
      <c r="AF1045" s="129"/>
      <c r="AG1045" s="129"/>
      <c r="AH1045" s="129"/>
      <c r="AI1045" s="129"/>
      <c r="AJ1045" s="130"/>
    </row>
    <row r="1046" spans="11:36">
      <c r="K1046" s="76"/>
      <c r="L1046" s="48" t="e">
        <f t="shared" si="87"/>
        <v>#VALUE!</v>
      </c>
      <c r="M1046" s="32" t="str">
        <f t="shared" si="86"/>
        <v/>
      </c>
      <c r="N1046" s="63" t="e">
        <f t="shared" si="88"/>
        <v>#VALUE!</v>
      </c>
      <c r="O1046" s="86"/>
      <c r="P1046" s="223"/>
      <c r="Q1046" s="224"/>
      <c r="R1046" s="135"/>
      <c r="S1046" s="139" cm="1">
        <f t="array" ref="S1046">IF(P1046="",0,IF(OR(O1046=";",P1046="EQU",P1046="ORG"),0,HlpGetInstructionSize(P1046,Q1046,R1046,$AC$12)))</f>
        <v>0</v>
      </c>
      <c r="AA1046" s="66"/>
      <c r="AB1046" s="11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28"/>
      <c r="AD1046" s="129"/>
      <c r="AE1046" s="129"/>
      <c r="AF1046" s="129"/>
      <c r="AG1046" s="129"/>
      <c r="AH1046" s="129"/>
      <c r="AI1046" s="129"/>
      <c r="AJ1046" s="130"/>
    </row>
    <row r="1047" spans="11:36">
      <c r="K1047" s="76"/>
      <c r="L1047" s="48" t="e">
        <f t="shared" si="87"/>
        <v>#VALUE!</v>
      </c>
      <c r="M1047" s="32" t="str">
        <f t="shared" si="86"/>
        <v/>
      </c>
      <c r="N1047" s="63" t="e">
        <f t="shared" si="88"/>
        <v>#VALUE!</v>
      </c>
      <c r="O1047" s="86"/>
      <c r="P1047" s="223"/>
      <c r="Q1047" s="224"/>
      <c r="R1047" s="135"/>
      <c r="S1047" s="139" cm="1">
        <f t="array" ref="S1047">IF(P1047="",0,IF(OR(O1047=";",P1047="EQU",P1047="ORG"),0,HlpGetInstructionSize(P1047,Q1047,R1047,$AC$12)))</f>
        <v>0</v>
      </c>
      <c r="AA1047" s="66"/>
      <c r="AB1047" s="11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28"/>
      <c r="AD1047" s="129"/>
      <c r="AE1047" s="129"/>
      <c r="AF1047" s="129"/>
      <c r="AG1047" s="129"/>
      <c r="AH1047" s="129"/>
      <c r="AI1047" s="129"/>
      <c r="AJ1047" s="130"/>
    </row>
    <row r="1048" spans="11:36">
      <c r="K1048" s="76"/>
      <c r="L1048" s="48" t="e">
        <f t="shared" si="87"/>
        <v>#VALUE!</v>
      </c>
      <c r="M1048" s="32" t="str">
        <f t="shared" si="86"/>
        <v/>
      </c>
      <c r="N1048" s="63" t="e">
        <f t="shared" si="88"/>
        <v>#VALUE!</v>
      </c>
      <c r="O1048" s="86"/>
      <c r="P1048" s="223"/>
      <c r="Q1048" s="224"/>
      <c r="R1048" s="135"/>
      <c r="S1048" s="139" cm="1">
        <f t="array" ref="S1048">IF(P1048="",0,IF(OR(O1048=";",P1048="EQU",P1048="ORG"),0,HlpGetInstructionSize(P1048,Q1048,R1048,$AC$12)))</f>
        <v>0</v>
      </c>
      <c r="AA1048" s="66"/>
      <c r="AB1048" s="11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28"/>
      <c r="AD1048" s="129"/>
      <c r="AE1048" s="129"/>
      <c r="AF1048" s="129"/>
      <c r="AG1048" s="129"/>
      <c r="AH1048" s="129"/>
      <c r="AI1048" s="129"/>
      <c r="AJ1048" s="130"/>
    </row>
    <row r="1049" spans="11:36">
      <c r="K1049" s="76"/>
      <c r="L1049" s="48" t="e">
        <f t="shared" si="87"/>
        <v>#VALUE!</v>
      </c>
      <c r="M1049" s="32" t="str">
        <f t="shared" si="86"/>
        <v/>
      </c>
      <c r="N1049" s="63" t="e">
        <f t="shared" si="88"/>
        <v>#VALUE!</v>
      </c>
      <c r="O1049" s="86"/>
      <c r="P1049" s="223"/>
      <c r="Q1049" s="224"/>
      <c r="R1049" s="135"/>
      <c r="S1049" s="139" cm="1">
        <f t="array" ref="S1049">IF(P1049="",0,IF(OR(O1049=";",P1049="EQU",P1049="ORG"),0,HlpGetInstructionSize(P1049,Q1049,R1049,$AC$12)))</f>
        <v>0</v>
      </c>
      <c r="AA1049" s="66"/>
      <c r="AB1049" s="11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28"/>
      <c r="AD1049" s="129"/>
      <c r="AE1049" s="129"/>
      <c r="AF1049" s="129"/>
      <c r="AG1049" s="129"/>
      <c r="AH1049" s="129"/>
      <c r="AI1049" s="129"/>
      <c r="AJ1049" s="130"/>
    </row>
    <row r="1050" spans="11:36">
      <c r="K1050" s="76"/>
      <c r="L1050" s="48" t="e">
        <f t="shared" si="87"/>
        <v>#VALUE!</v>
      </c>
      <c r="M1050" s="32" t="str">
        <f t="shared" si="86"/>
        <v/>
      </c>
      <c r="N1050" s="63" t="e">
        <f t="shared" si="88"/>
        <v>#VALUE!</v>
      </c>
      <c r="O1050" s="86"/>
      <c r="P1050" s="223"/>
      <c r="Q1050" s="224"/>
      <c r="R1050" s="135"/>
      <c r="S1050" s="139" cm="1">
        <f t="array" ref="S1050">IF(P1050="",0,IF(OR(O1050=";",P1050="EQU",P1050="ORG"),0,HlpGetInstructionSize(P1050,Q1050,R1050,$AC$12)))</f>
        <v>0</v>
      </c>
      <c r="AA1050" s="66"/>
      <c r="AB1050" s="11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28"/>
      <c r="AD1050" s="129"/>
      <c r="AE1050" s="129"/>
      <c r="AF1050" s="129"/>
      <c r="AG1050" s="129"/>
      <c r="AH1050" s="129"/>
      <c r="AI1050" s="129"/>
      <c r="AJ1050" s="130"/>
    </row>
    <row r="1051" spans="11:36">
      <c r="K1051" s="76"/>
      <c r="L1051" s="48" t="e">
        <f t="shared" si="87"/>
        <v>#VALUE!</v>
      </c>
      <c r="M1051" s="32" t="str">
        <f t="shared" si="86"/>
        <v/>
      </c>
      <c r="N1051" s="63" t="e">
        <f t="shared" si="88"/>
        <v>#VALUE!</v>
      </c>
      <c r="O1051" s="86"/>
      <c r="P1051" s="223"/>
      <c r="Q1051" s="224"/>
      <c r="R1051" s="135"/>
      <c r="S1051" s="139" cm="1">
        <f t="array" ref="S1051">IF(P1051="",0,IF(OR(O1051=";",P1051="EQU",P1051="ORG"),0,HlpGetInstructionSize(P1051,Q1051,R1051,$AC$12)))</f>
        <v>0</v>
      </c>
      <c r="AA1051" s="66"/>
      <c r="AB1051" s="11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28"/>
      <c r="AD1051" s="129"/>
      <c r="AE1051" s="129"/>
      <c r="AF1051" s="129"/>
      <c r="AG1051" s="129"/>
      <c r="AH1051" s="129"/>
      <c r="AI1051" s="129"/>
      <c r="AJ1051" s="130"/>
    </row>
    <row r="1052" spans="11:36">
      <c r="K1052" s="76"/>
      <c r="L1052" s="48" t="e">
        <f t="shared" si="87"/>
        <v>#VALUE!</v>
      </c>
      <c r="M1052" s="32" t="str">
        <f t="shared" si="86"/>
        <v/>
      </c>
      <c r="N1052" s="63" t="e">
        <f t="shared" si="88"/>
        <v>#VALUE!</v>
      </c>
      <c r="O1052" s="86"/>
      <c r="P1052" s="223"/>
      <c r="Q1052" s="224"/>
      <c r="R1052" s="135"/>
      <c r="S1052" s="139" cm="1">
        <f t="array" ref="S1052">IF(P1052="",0,IF(OR(O1052=";",P1052="EQU",P1052="ORG"),0,HlpGetInstructionSize(P1052,Q1052,R1052,$AC$12)))</f>
        <v>0</v>
      </c>
      <c r="AA1052" s="66"/>
      <c r="AB1052" s="11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28"/>
      <c r="AD1052" s="129"/>
      <c r="AE1052" s="129"/>
      <c r="AF1052" s="129"/>
      <c r="AG1052" s="129"/>
      <c r="AH1052" s="129"/>
      <c r="AI1052" s="129"/>
      <c r="AJ1052" s="130"/>
    </row>
    <row r="1053" spans="11:36">
      <c r="K1053" s="76"/>
      <c r="L1053" s="48" t="e">
        <f t="shared" si="87"/>
        <v>#VALUE!</v>
      </c>
      <c r="M1053" s="32" t="str">
        <f t="shared" ref="M1053:M1070" si="89">IFERROR(RIGHT("0000"&amp;DEC2HEX(N1053),4),"")</f>
        <v/>
      </c>
      <c r="N1053" s="63" t="e">
        <f t="shared" si="88"/>
        <v>#VALUE!</v>
      </c>
      <c r="O1053" s="86"/>
      <c r="P1053" s="223"/>
      <c r="Q1053" s="224"/>
      <c r="R1053" s="135"/>
      <c r="S1053" s="139" cm="1">
        <f t="array" ref="S1053">IF(P1053="",0,IF(OR(O1053=";",P1053="EQU",P1053="ORG"),0,HlpGetInstructionSize(P1053,Q1053,R1053,$AC$12)))</f>
        <v>0</v>
      </c>
      <c r="AA1053" s="66"/>
      <c r="AB1053" s="11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28"/>
      <c r="AD1053" s="129"/>
      <c r="AE1053" s="129"/>
      <c r="AF1053" s="129"/>
      <c r="AG1053" s="129"/>
      <c r="AH1053" s="129"/>
      <c r="AI1053" s="129"/>
      <c r="AJ1053" s="130"/>
    </row>
    <row r="1054" spans="11:36">
      <c r="K1054" s="76"/>
      <c r="L1054" s="48" t="e">
        <f t="shared" si="87"/>
        <v>#VALUE!</v>
      </c>
      <c r="M1054" s="32" t="str">
        <f t="shared" si="89"/>
        <v/>
      </c>
      <c r="N1054" s="63" t="e">
        <f t="shared" si="88"/>
        <v>#VALUE!</v>
      </c>
      <c r="O1054" s="86"/>
      <c r="P1054" s="223"/>
      <c r="Q1054" s="224"/>
      <c r="R1054" s="135"/>
      <c r="S1054" s="139" cm="1">
        <f t="array" ref="S1054">IF(P1054="",0,IF(OR(O1054=";",P1054="EQU",P1054="ORG"),0,HlpGetInstructionSize(P1054,Q1054,R1054,$AC$12)))</f>
        <v>0</v>
      </c>
      <c r="AA1054" s="66"/>
      <c r="AB1054" s="11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28"/>
      <c r="AD1054" s="129"/>
      <c r="AE1054" s="129"/>
      <c r="AF1054" s="129"/>
      <c r="AG1054" s="129"/>
      <c r="AH1054" s="129"/>
      <c r="AI1054" s="129"/>
      <c r="AJ1054" s="130"/>
    </row>
    <row r="1055" spans="11:36">
      <c r="K1055" s="76"/>
      <c r="L1055" s="48" t="e">
        <f t="shared" si="87"/>
        <v>#VALUE!</v>
      </c>
      <c r="M1055" s="32" t="str">
        <f t="shared" si="89"/>
        <v/>
      </c>
      <c r="N1055" s="63" t="e">
        <f t="shared" si="88"/>
        <v>#VALUE!</v>
      </c>
      <c r="O1055" s="86"/>
      <c r="P1055" s="223"/>
      <c r="Q1055" s="224"/>
      <c r="R1055" s="135"/>
      <c r="S1055" s="139" cm="1">
        <f t="array" ref="S1055">IF(P1055="",0,IF(OR(O1055=";",P1055="EQU",P1055="ORG"),0,HlpGetInstructionSize(P1055,Q1055,R1055,$AC$12)))</f>
        <v>0</v>
      </c>
      <c r="AA1055" s="66"/>
      <c r="AB1055" s="11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28"/>
      <c r="AD1055" s="129"/>
      <c r="AE1055" s="129"/>
      <c r="AF1055" s="129"/>
      <c r="AG1055" s="129"/>
      <c r="AH1055" s="129"/>
      <c r="AI1055" s="129"/>
      <c r="AJ1055" s="130"/>
    </row>
    <row r="1056" spans="11:36">
      <c r="K1056" s="76"/>
      <c r="L1056" s="48" t="e">
        <f t="shared" si="87"/>
        <v>#VALUE!</v>
      </c>
      <c r="M1056" s="32" t="str">
        <f t="shared" si="89"/>
        <v/>
      </c>
      <c r="N1056" s="63" t="e">
        <f t="shared" si="88"/>
        <v>#VALUE!</v>
      </c>
      <c r="O1056" s="86"/>
      <c r="P1056" s="223"/>
      <c r="Q1056" s="224"/>
      <c r="R1056" s="135"/>
      <c r="S1056" s="139" cm="1">
        <f t="array" ref="S1056">IF(P1056="",0,IF(OR(O1056=";",P1056="EQU",P1056="ORG"),0,HlpGetInstructionSize(P1056,Q1056,R1056,$AC$12)))</f>
        <v>0</v>
      </c>
      <c r="AA1056" s="66"/>
      <c r="AB1056" s="11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28"/>
      <c r="AD1056" s="129"/>
      <c r="AE1056" s="129"/>
      <c r="AF1056" s="129"/>
      <c r="AG1056" s="129"/>
      <c r="AH1056" s="129"/>
      <c r="AI1056" s="129"/>
      <c r="AJ1056" s="130"/>
    </row>
    <row r="1057" spans="11:36">
      <c r="K1057" s="76"/>
      <c r="L1057" s="48" t="e">
        <f t="shared" si="87"/>
        <v>#VALUE!</v>
      </c>
      <c r="M1057" s="32" t="str">
        <f t="shared" si="89"/>
        <v/>
      </c>
      <c r="N1057" s="63" t="e">
        <f t="shared" si="88"/>
        <v>#VALUE!</v>
      </c>
      <c r="O1057" s="86"/>
      <c r="P1057" s="223"/>
      <c r="Q1057" s="224"/>
      <c r="R1057" s="135"/>
      <c r="S1057" s="139" cm="1">
        <f t="array" ref="S1057">IF(P1057="",0,IF(OR(O1057=";",P1057="EQU",P1057="ORG"),0,HlpGetInstructionSize(P1057,Q1057,R1057,$AC$12)))</f>
        <v>0</v>
      </c>
      <c r="AA1057" s="66"/>
      <c r="AB1057" s="11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28"/>
      <c r="AD1057" s="129"/>
      <c r="AE1057" s="129"/>
      <c r="AF1057" s="129"/>
      <c r="AG1057" s="129"/>
      <c r="AH1057" s="129"/>
      <c r="AI1057" s="129"/>
      <c r="AJ1057" s="130"/>
    </row>
    <row r="1058" spans="11:36">
      <c r="K1058" s="76"/>
      <c r="L1058" s="48" t="e">
        <f t="shared" si="87"/>
        <v>#VALUE!</v>
      </c>
      <c r="M1058" s="32" t="str">
        <f t="shared" si="89"/>
        <v/>
      </c>
      <c r="N1058" s="63" t="e">
        <f t="shared" si="88"/>
        <v>#VALUE!</v>
      </c>
      <c r="O1058" s="86"/>
      <c r="P1058" s="223"/>
      <c r="Q1058" s="224"/>
      <c r="R1058" s="135"/>
      <c r="S1058" s="139" cm="1">
        <f t="array" ref="S1058">IF(P1058="",0,IF(OR(O1058=";",P1058="EQU",P1058="ORG"),0,HlpGetInstructionSize(P1058,Q1058,R1058,$AC$12)))</f>
        <v>0</v>
      </c>
      <c r="AA1058" s="66"/>
      <c r="AB1058" s="11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28"/>
      <c r="AD1058" s="129"/>
      <c r="AE1058" s="129"/>
      <c r="AF1058" s="129"/>
      <c r="AG1058" s="129"/>
      <c r="AH1058" s="129"/>
      <c r="AI1058" s="129"/>
      <c r="AJ1058" s="130"/>
    </row>
    <row r="1059" spans="11:36">
      <c r="K1059" s="76"/>
      <c r="L1059" s="48" t="e">
        <f t="shared" si="87"/>
        <v>#VALUE!</v>
      </c>
      <c r="M1059" s="32" t="str">
        <f t="shared" si="89"/>
        <v/>
      </c>
      <c r="N1059" s="63" t="e">
        <f t="shared" si="88"/>
        <v>#VALUE!</v>
      </c>
      <c r="O1059" s="86"/>
      <c r="P1059" s="223"/>
      <c r="Q1059" s="224"/>
      <c r="R1059" s="135"/>
      <c r="S1059" s="139" cm="1">
        <f t="array" ref="S1059">IF(P1059="",0,IF(OR(O1059=";",P1059="EQU",P1059="ORG"),0,HlpGetInstructionSize(P1059,Q1059,R1059,$AC$12)))</f>
        <v>0</v>
      </c>
      <c r="AA1059" s="66"/>
      <c r="AB1059" s="11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28"/>
      <c r="AD1059" s="129"/>
      <c r="AE1059" s="129"/>
      <c r="AF1059" s="129"/>
      <c r="AG1059" s="129"/>
      <c r="AH1059" s="129"/>
      <c r="AI1059" s="129"/>
      <c r="AJ1059" s="130"/>
    </row>
    <row r="1060" spans="11:36">
      <c r="K1060" s="76"/>
      <c r="L1060" s="48" t="e">
        <f t="shared" si="87"/>
        <v>#VALUE!</v>
      </c>
      <c r="M1060" s="32" t="str">
        <f t="shared" si="89"/>
        <v/>
      </c>
      <c r="N1060" s="63" t="e">
        <f t="shared" si="88"/>
        <v>#VALUE!</v>
      </c>
      <c r="O1060" s="86"/>
      <c r="P1060" s="223"/>
      <c r="Q1060" s="224"/>
      <c r="R1060" s="135"/>
      <c r="S1060" s="139" cm="1">
        <f t="array" ref="S1060">IF(P1060="",0,IF(OR(O1060=";",P1060="EQU",P1060="ORG"),0,HlpGetInstructionSize(P1060,Q1060,R1060,$AC$12)))</f>
        <v>0</v>
      </c>
      <c r="AA1060" s="66"/>
      <c r="AB1060" s="11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28"/>
      <c r="AD1060" s="129"/>
      <c r="AE1060" s="129"/>
      <c r="AF1060" s="129"/>
      <c r="AG1060" s="129"/>
      <c r="AH1060" s="129"/>
      <c r="AI1060" s="129"/>
      <c r="AJ1060" s="130"/>
    </row>
    <row r="1061" spans="11:36">
      <c r="K1061" s="76"/>
      <c r="L1061" s="48" t="e">
        <f t="shared" si="87"/>
        <v>#VALUE!</v>
      </c>
      <c r="M1061" s="32" t="str">
        <f t="shared" si="89"/>
        <v/>
      </c>
      <c r="N1061" s="63" t="e">
        <f t="shared" si="88"/>
        <v>#VALUE!</v>
      </c>
      <c r="O1061" s="86"/>
      <c r="P1061" s="223"/>
      <c r="Q1061" s="224"/>
      <c r="R1061" s="135"/>
      <c r="S1061" s="139" cm="1">
        <f t="array" ref="S1061">IF(P1061="",0,IF(OR(O1061=";",P1061="EQU",P1061="ORG"),0,HlpGetInstructionSize(P1061,Q1061,R1061,$AC$12)))</f>
        <v>0</v>
      </c>
      <c r="AA1061" s="66"/>
      <c r="AB1061" s="11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28"/>
      <c r="AD1061" s="129"/>
      <c r="AE1061" s="129"/>
      <c r="AF1061" s="129"/>
      <c r="AG1061" s="129"/>
      <c r="AH1061" s="129"/>
      <c r="AI1061" s="129"/>
      <c r="AJ1061" s="130"/>
    </row>
    <row r="1062" spans="11:36">
      <c r="K1062" s="76"/>
      <c r="L1062" s="48" t="e">
        <f t="shared" si="87"/>
        <v>#VALUE!</v>
      </c>
      <c r="M1062" s="32" t="str">
        <f t="shared" si="89"/>
        <v/>
      </c>
      <c r="N1062" s="63" t="e">
        <f t="shared" si="88"/>
        <v>#VALUE!</v>
      </c>
      <c r="O1062" s="86"/>
      <c r="P1062" s="223"/>
      <c r="Q1062" s="224"/>
      <c r="R1062" s="135"/>
      <c r="S1062" s="139" cm="1">
        <f t="array" ref="S1062">IF(P1062="",0,IF(OR(O1062=";",P1062="EQU",P1062="ORG"),0,HlpGetInstructionSize(P1062,Q1062,R1062,$AC$12)))</f>
        <v>0</v>
      </c>
      <c r="AA1062" s="66"/>
      <c r="AB1062" s="11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28"/>
      <c r="AD1062" s="129"/>
      <c r="AE1062" s="129"/>
      <c r="AF1062" s="129"/>
      <c r="AG1062" s="129"/>
      <c r="AH1062" s="129"/>
      <c r="AI1062" s="129"/>
      <c r="AJ1062" s="130"/>
    </row>
    <row r="1063" spans="11:36">
      <c r="K1063" s="76"/>
      <c r="L1063" s="48" t="e">
        <f t="shared" si="87"/>
        <v>#VALUE!</v>
      </c>
      <c r="M1063" s="32" t="str">
        <f t="shared" si="89"/>
        <v/>
      </c>
      <c r="N1063" s="63" t="e">
        <f t="shared" si="88"/>
        <v>#VALUE!</v>
      </c>
      <c r="O1063" s="86"/>
      <c r="P1063" s="223"/>
      <c r="Q1063" s="224"/>
      <c r="R1063" s="135"/>
      <c r="S1063" s="139" cm="1">
        <f t="array" ref="S1063">IF(P1063="",0,IF(OR(O1063=";",P1063="EQU",P1063="ORG"),0,HlpGetInstructionSize(P1063,Q1063,R1063,$AC$12)))</f>
        <v>0</v>
      </c>
      <c r="AA1063" s="66"/>
      <c r="AB1063" s="11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28"/>
      <c r="AD1063" s="129"/>
      <c r="AE1063" s="129"/>
      <c r="AF1063" s="129"/>
      <c r="AG1063" s="129"/>
      <c r="AH1063" s="129"/>
      <c r="AI1063" s="129"/>
      <c r="AJ1063" s="130"/>
    </row>
    <row r="1064" spans="11:36">
      <c r="K1064" s="76"/>
      <c r="L1064" s="48" t="e">
        <f t="shared" si="87"/>
        <v>#VALUE!</v>
      </c>
      <c r="M1064" s="32" t="str">
        <f t="shared" si="89"/>
        <v/>
      </c>
      <c r="N1064" s="63" t="e">
        <f t="shared" si="88"/>
        <v>#VALUE!</v>
      </c>
      <c r="O1064" s="86"/>
      <c r="P1064" s="223"/>
      <c r="Q1064" s="224"/>
      <c r="R1064" s="135"/>
      <c r="S1064" s="139" cm="1">
        <f t="array" ref="S1064">IF(P1064="",0,IF(OR(O1064=";",P1064="EQU",P1064="ORG"),0,HlpGetInstructionSize(P1064,Q1064,R1064,$AC$12)))</f>
        <v>0</v>
      </c>
      <c r="AA1064" s="66"/>
      <c r="AB1064" s="11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28"/>
      <c r="AD1064" s="129"/>
      <c r="AE1064" s="129"/>
      <c r="AF1064" s="129"/>
      <c r="AG1064" s="129"/>
      <c r="AH1064" s="129"/>
      <c r="AI1064" s="129"/>
      <c r="AJ1064" s="130"/>
    </row>
    <row r="1065" spans="11:36">
      <c r="K1065" s="76"/>
      <c r="L1065" s="48" t="e">
        <f t="shared" si="87"/>
        <v>#VALUE!</v>
      </c>
      <c r="M1065" s="32" t="str">
        <f t="shared" si="89"/>
        <v/>
      </c>
      <c r="N1065" s="63" t="e">
        <f t="shared" si="88"/>
        <v>#VALUE!</v>
      </c>
      <c r="O1065" s="86"/>
      <c r="P1065" s="223"/>
      <c r="Q1065" s="224"/>
      <c r="R1065" s="135"/>
      <c r="S1065" s="139" cm="1">
        <f t="array" ref="S1065">IF(P1065="",0,IF(OR(O1065=";",P1065="EQU",P1065="ORG"),0,HlpGetInstructionSize(P1065,Q1065,R1065,$AC$12)))</f>
        <v>0</v>
      </c>
      <c r="AA1065" s="66"/>
      <c r="AB1065" s="11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28"/>
      <c r="AD1065" s="129"/>
      <c r="AE1065" s="129"/>
      <c r="AF1065" s="129"/>
      <c r="AG1065" s="129"/>
      <c r="AH1065" s="129"/>
      <c r="AI1065" s="129"/>
      <c r="AJ1065" s="130"/>
    </row>
    <row r="1066" spans="11:36">
      <c r="K1066" s="76"/>
      <c r="L1066" s="48" t="e">
        <f t="shared" si="87"/>
        <v>#VALUE!</v>
      </c>
      <c r="M1066" s="32" t="str">
        <f t="shared" si="89"/>
        <v/>
      </c>
      <c r="N1066" s="63" t="e">
        <f t="shared" si="88"/>
        <v>#VALUE!</v>
      </c>
      <c r="O1066" s="86"/>
      <c r="P1066" s="223"/>
      <c r="Q1066" s="224"/>
      <c r="R1066" s="135"/>
      <c r="S1066" s="139" cm="1">
        <f t="array" ref="S1066">IF(P1066="",0,IF(OR(O1066=";",P1066="EQU",P1066="ORG"),0,HlpGetInstructionSize(P1066,Q1066,R1066,$AC$12)))</f>
        <v>0</v>
      </c>
      <c r="AA1066" s="66"/>
      <c r="AB1066" s="11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28"/>
      <c r="AD1066" s="129"/>
      <c r="AE1066" s="129"/>
      <c r="AF1066" s="129"/>
      <c r="AG1066" s="129"/>
      <c r="AH1066" s="129"/>
      <c r="AI1066" s="129"/>
      <c r="AJ1066" s="130"/>
    </row>
    <row r="1067" spans="11:36">
      <c r="K1067" s="76"/>
      <c r="L1067" s="48" t="e">
        <f t="shared" si="87"/>
        <v>#VALUE!</v>
      </c>
      <c r="M1067" s="32" t="str">
        <f t="shared" si="89"/>
        <v/>
      </c>
      <c r="N1067" s="63" t="e">
        <f t="shared" si="88"/>
        <v>#VALUE!</v>
      </c>
      <c r="O1067" s="86"/>
      <c r="P1067" s="223"/>
      <c r="Q1067" s="224"/>
      <c r="R1067" s="135"/>
      <c r="S1067" s="139" cm="1">
        <f t="array" ref="S1067">IF(P1067="",0,IF(OR(O1067=";",P1067="EQU",P1067="ORG"),0,HlpGetInstructionSize(P1067,Q1067,R1067,$AC$12)))</f>
        <v>0</v>
      </c>
      <c r="AA1067" s="66"/>
      <c r="AB1067" s="11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28"/>
      <c r="AD1067" s="129"/>
      <c r="AE1067" s="129"/>
      <c r="AF1067" s="129"/>
      <c r="AG1067" s="129"/>
      <c r="AH1067" s="129"/>
      <c r="AI1067" s="129"/>
      <c r="AJ1067" s="130"/>
    </row>
    <row r="1068" spans="11:36">
      <c r="K1068" s="76"/>
      <c r="L1068" s="48" t="e">
        <f t="shared" si="87"/>
        <v>#VALUE!</v>
      </c>
      <c r="M1068" s="32" t="str">
        <f t="shared" si="89"/>
        <v/>
      </c>
      <c r="N1068" s="63" t="e">
        <f t="shared" si="88"/>
        <v>#VALUE!</v>
      </c>
      <c r="O1068" s="86"/>
      <c r="P1068" s="223"/>
      <c r="Q1068" s="224"/>
      <c r="R1068" s="135"/>
      <c r="S1068" s="139" cm="1">
        <f t="array" ref="S1068">IF(P1068="",0,IF(OR(O1068=";",P1068="EQU",P1068="ORG"),0,HlpGetInstructionSize(P1068,Q1068,R1068,$AC$12)))</f>
        <v>0</v>
      </c>
      <c r="AA1068" s="66"/>
      <c r="AB1068" s="11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28"/>
      <c r="AD1068" s="129"/>
      <c r="AE1068" s="129"/>
      <c r="AF1068" s="129"/>
      <c r="AG1068" s="129"/>
      <c r="AH1068" s="129"/>
      <c r="AI1068" s="129"/>
      <c r="AJ1068" s="130"/>
    </row>
    <row r="1069" spans="11:36">
      <c r="K1069" s="76"/>
      <c r="L1069" s="48" t="e">
        <f t="shared" si="87"/>
        <v>#VALUE!</v>
      </c>
      <c r="M1069" s="32" t="str">
        <f t="shared" si="89"/>
        <v/>
      </c>
      <c r="N1069" s="63" t="e">
        <f t="shared" si="88"/>
        <v>#VALUE!</v>
      </c>
      <c r="O1069" s="86"/>
      <c r="P1069" s="223"/>
      <c r="Q1069" s="224"/>
      <c r="R1069" s="135"/>
      <c r="S1069" s="139" cm="1">
        <f t="array" ref="S1069">IF(P1069="",0,IF(OR(O1069=";",P1069="EQU",P1069="ORG"),0,HlpGetInstructionSize(P1069,Q1069,R1069,$AC$12)))</f>
        <v>0</v>
      </c>
      <c r="AA1069" s="66"/>
      <c r="AB1069" s="11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28"/>
      <c r="AD1069" s="129"/>
      <c r="AE1069" s="129"/>
      <c r="AF1069" s="129"/>
      <c r="AG1069" s="129"/>
      <c r="AH1069" s="129"/>
      <c r="AI1069" s="129"/>
      <c r="AJ1069" s="130"/>
    </row>
    <row r="1070" spans="11:36" ht="15.75" thickBot="1">
      <c r="K1070" s="120"/>
      <c r="L1070" s="121" t="e">
        <f t="shared" si="87"/>
        <v>#VALUE!</v>
      </c>
      <c r="M1070" s="122" t="str">
        <f t="shared" si="89"/>
        <v/>
      </c>
      <c r="N1070" s="123" t="e">
        <f t="shared" si="88"/>
        <v>#VALUE!</v>
      </c>
      <c r="O1070" s="124"/>
      <c r="P1070" s="225"/>
      <c r="Q1070" s="226"/>
      <c r="R1070" s="136"/>
      <c r="S1070" s="140" cm="1">
        <f t="array" ref="S1070">IF(P1070="",0,IF(OR(O1070=";",P1070="EQU",P1070="ORG"),0,HlpGetInstructionSize(P1070,Q1070,R1070,$AC$12)))</f>
        <v>0</v>
      </c>
      <c r="AA1070" s="8"/>
      <c r="AB1070" s="11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31"/>
      <c r="AD1070" s="132"/>
      <c r="AE1070" s="132"/>
      <c r="AF1070" s="132"/>
      <c r="AG1070" s="132"/>
      <c r="AH1070" s="132"/>
      <c r="AI1070" s="132"/>
      <c r="AJ1070" s="133"/>
    </row>
  </sheetData>
  <dataConsolidate/>
  <mergeCells count="1">
    <mergeCell ref="F1:W1"/>
  </mergeCells>
  <conditionalFormatting sqref="E1">
    <cfRule type="cellIs" dxfId="704" priority="54" operator="equal">
      <formula>0</formula>
    </cfRule>
    <cfRule type="cellIs" dxfId="703" priority="55" operator="greaterThan">
      <formula>0</formula>
    </cfRule>
  </conditionalFormatting>
  <conditionalFormatting sqref="F1:W1">
    <cfRule type="containsText" dxfId="702" priority="45" operator="containsText" text="Halted">
      <formula>NOT(ISERROR(SEARCH("Halted",F1)))</formula>
    </cfRule>
    <cfRule type="containsText" dxfId="701" priority="52" operator="containsText" text="Error">
      <formula>NOT(ISERROR(SEARCH("Error",F1)))</formula>
    </cfRule>
    <cfRule type="expression" dxfId="700" priority="53">
      <formula>$F$1&lt;&gt;""</formula>
    </cfRule>
  </conditionalFormatting>
  <conditionalFormatting sqref="M7:T7 M8:N1070 M41:R1070">
    <cfRule type="containsText" dxfId="699" priority="33" operator="containsText" text=" ">
      <formula>NOT(ISERROR(SEARCH(" ",M7)))</formula>
    </cfRule>
  </conditionalFormatting>
  <conditionalFormatting sqref="AL5:AM5">
    <cfRule type="cellIs" dxfId="698" priority="31" operator="equal">
      <formula>0</formula>
    </cfRule>
    <cfRule type="cellIs" dxfId="697" priority="32" operator="equal">
      <formula>1</formula>
    </cfRule>
  </conditionalFormatting>
  <conditionalFormatting sqref="H5:H9">
    <cfRule type="cellIs" dxfId="696" priority="29" operator="equal">
      <formula>0</formula>
    </cfRule>
    <cfRule type="cellIs" dxfId="695" priority="30" operator="equal">
      <formula>1</formula>
    </cfRule>
  </conditionalFormatting>
  <conditionalFormatting sqref="AD5:AK5">
    <cfRule type="cellIs" dxfId="694" priority="26" operator="equal">
      <formula>0</formula>
    </cfRule>
    <cfRule type="cellIs" dxfId="693" priority="27" operator="equal">
      <formula>1</formula>
    </cfRule>
  </conditionalFormatting>
  <conditionalFormatting sqref="AA13:AJ13">
    <cfRule type="cellIs" dxfId="692" priority="21" operator="equal">
      <formula>1</formula>
    </cfRule>
  </conditionalFormatting>
  <conditionalFormatting sqref="H18">
    <cfRule type="cellIs" dxfId="691" priority="18" operator="equal">
      <formula>0</formula>
    </cfRule>
    <cfRule type="cellIs" dxfId="690" priority="19" operator="equal">
      <formula>1</formula>
    </cfRule>
  </conditionalFormatting>
  <conditionalFormatting sqref="AK15:AK1070">
    <cfRule type="cellIs" dxfId="689" priority="17" operator="equal">
      <formula>1</formula>
    </cfRule>
  </conditionalFormatting>
  <conditionalFormatting sqref="O40">
    <cfRule type="containsText" dxfId="688" priority="4" operator="containsText" text=" ">
      <formula>NOT(ISERROR(SEARCH(" ",O40)))</formula>
    </cfRule>
  </conditionalFormatting>
  <conditionalFormatting sqref="P41:R1070">
    <cfRule type="expression" dxfId="687" priority="1043">
      <formula>$N41=$E$10</formula>
    </cfRule>
  </conditionalFormatting>
  <conditionalFormatting sqref="K7:T7 K8:N40 K41:R1070 O40">
    <cfRule type="expression" dxfId="686" priority="1044">
      <formula>$E$10=$N7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ForCPUMod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RefreshMemoryTable">
                <anchor moveWithCells="1" sizeWithCells="1">
                  <from>
                    <xdr:col>25</xdr:col>
                    <xdr:colOff>180975</xdr:colOff>
                    <xdr:row>10</xdr:row>
                    <xdr:rowOff>180975</xdr:rowOff>
                  </from>
                  <to>
                    <xdr:col>26</xdr:col>
                    <xdr:colOff>485775</xdr:colOff>
                    <xdr:row>12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G1049"/>
  <sheetViews>
    <sheetView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L9" sqref="L9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4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3" ht="15.75" thickBot="1">
      <c r="B1" s="82" t="s">
        <v>146</v>
      </c>
      <c r="C1" s="82" t="s">
        <v>2346</v>
      </c>
      <c r="D1" s="82" t="s">
        <v>2347</v>
      </c>
      <c r="E1" s="82" t="s">
        <v>2204</v>
      </c>
      <c r="F1" s="82" t="str">
        <f>CPU!B10</f>
        <v>PC</v>
      </c>
      <c r="G1" s="82" t="str">
        <f>CPU!B11</f>
        <v>SP</v>
      </c>
      <c r="H1" s="84" t="str">
        <f>CPU!$B14</f>
        <v>Negative</v>
      </c>
      <c r="I1" s="84" t="str">
        <f>CPU!$B15</f>
        <v>Overflow</v>
      </c>
      <c r="J1" s="84" t="str">
        <f>CPU!$B17</f>
        <v>Break</v>
      </c>
      <c r="K1" s="84" t="str">
        <f>CPU!$B18</f>
        <v>Decimal</v>
      </c>
      <c r="L1" s="84" t="str">
        <f>CPU!$B19</f>
        <v>Interrupt</v>
      </c>
      <c r="M1" s="84" t="str">
        <f>CPU!$B20</f>
        <v>Zero</v>
      </c>
      <c r="N1" s="84" t="str">
        <f>CPU!$B21</f>
        <v>Carry</v>
      </c>
      <c r="Z1" s="74">
        <v>1</v>
      </c>
      <c r="AA1" s="143">
        <v>0</v>
      </c>
      <c r="AB1" s="143">
        <v>1</v>
      </c>
      <c r="AC1" s="143">
        <v>0</v>
      </c>
      <c r="AD1" s="143">
        <v>1</v>
      </c>
      <c r="AE1" s="143">
        <v>0</v>
      </c>
      <c r="AF1" s="143">
        <v>1</v>
      </c>
      <c r="AG1" s="144">
        <v>0</v>
      </c>
    </row>
    <row r="2" spans="1:33" ht="15.75" thickBot="1">
      <c r="B2" s="49" t="str" cm="1">
        <f t="array" aca="1" ref="B2" ca="1">INDIRECT("R_"&amp;B1)</f>
        <v>41</v>
      </c>
      <c r="C2" s="49" t="str" cm="1">
        <f t="array" aca="1" ref="C2" ca="1">INDIRECT("R_"&amp;C1)</f>
        <v>42</v>
      </c>
      <c r="D2" s="49" t="str" cm="1">
        <f t="array" aca="1" ref="D2" ca="1">INDIRECT("R_"&amp;D1)</f>
        <v>43</v>
      </c>
      <c r="E2" s="49" t="str" cm="1">
        <f t="array" aca="1" ref="E2" ca="1">INDIRECT(E1)</f>
        <v>25</v>
      </c>
      <c r="F2" s="49" t="str" cm="1">
        <f t="array" aca="1" ref="F2" ca="1">INDIRECT(F1)</f>
        <v>0839</v>
      </c>
      <c r="G2" s="49" t="str" cm="1">
        <f t="array" aca="1" ref="G2" ca="1">INDIRECT(G1)</f>
        <v>FC</v>
      </c>
      <c r="H2" s="49" cm="1">
        <f t="array" aca="1" ref="H2" ca="1">INDIRECT(H1)</f>
        <v>0</v>
      </c>
      <c r="I2" s="49" cm="1">
        <f t="array" aca="1" ref="I2" ca="1">INDIRECT(I1)</f>
        <v>0</v>
      </c>
      <c r="J2" s="49" cm="1">
        <f t="array" aca="1" ref="J2" ca="1">INDIRECT(J1)</f>
        <v>0</v>
      </c>
      <c r="K2" s="49" cm="1">
        <f t="array" aca="1" ref="K2" ca="1">INDIRECT(K1)</f>
        <v>0</v>
      </c>
      <c r="L2" s="49" cm="1">
        <f t="array" aca="1" ref="L2" ca="1">INDIRECT(L1)</f>
        <v>1</v>
      </c>
      <c r="M2" s="49" cm="1">
        <f t="array" aca="1" ref="M2" ca="1">INDIRECT(M1)</f>
        <v>0</v>
      </c>
      <c r="N2" s="49" cm="1">
        <f t="array" aca="1" ref="N2" ca="1">INDIRECT(N1)</f>
        <v>1</v>
      </c>
      <c r="Z2" s="61" t="s">
        <v>987</v>
      </c>
      <c r="AA2" s="46" t="s">
        <v>988</v>
      </c>
      <c r="AB2" s="46" t="s">
        <v>989</v>
      </c>
      <c r="AC2" s="46" t="s">
        <v>990</v>
      </c>
      <c r="AD2" s="46" t="s">
        <v>991</v>
      </c>
      <c r="AE2" s="46" t="s">
        <v>992</v>
      </c>
      <c r="AF2" s="46" t="s">
        <v>993</v>
      </c>
      <c r="AG2" s="53" t="s">
        <v>994</v>
      </c>
    </row>
    <row r="3" spans="1:33" ht="15.75" thickBot="1">
      <c r="H3" s="45"/>
      <c r="J3" s="74" t="s">
        <v>206</v>
      </c>
      <c r="K3" s="83" t="s">
        <v>207</v>
      </c>
      <c r="M3" s="83" t="s">
        <v>235</v>
      </c>
      <c r="N3" s="45" t="s">
        <v>981</v>
      </c>
      <c r="Z3" s="120">
        <v>1</v>
      </c>
      <c r="AA3" s="121">
        <v>0</v>
      </c>
      <c r="AB3" s="121">
        <v>1</v>
      </c>
      <c r="AC3" s="121">
        <v>0</v>
      </c>
      <c r="AD3" s="121">
        <v>1</v>
      </c>
      <c r="AE3" s="121">
        <v>0</v>
      </c>
      <c r="AF3" s="121">
        <v>1</v>
      </c>
      <c r="AG3" s="145">
        <v>0</v>
      </c>
    </row>
    <row r="4" spans="1:33" ht="15.75" thickBot="1">
      <c r="A4" s="20" t="s">
        <v>306</v>
      </c>
      <c r="B4" s="34" t="s">
        <v>136</v>
      </c>
      <c r="C4" s="34" t="s">
        <v>137</v>
      </c>
      <c r="D4" s="228" t="s">
        <v>125</v>
      </c>
      <c r="E4" s="229" t="s">
        <v>142</v>
      </c>
      <c r="F4" s="228" t="s">
        <v>123</v>
      </c>
      <c r="G4" s="228" t="s">
        <v>124</v>
      </c>
      <c r="H4" s="69" t="s">
        <v>204</v>
      </c>
      <c r="I4" s="69" t="s">
        <v>205</v>
      </c>
      <c r="J4" s="46" t="e">
        <f ca="1">IF(AND(J5:J9),0,1)</f>
        <v>#REF!</v>
      </c>
      <c r="K4" s="222" t="s">
        <v>2353</v>
      </c>
      <c r="L4" s="62" t="s">
        <v>258</v>
      </c>
      <c r="M4" s="20">
        <f>IFERROR(VLOOKUP($A4,$P$6:$S$1048576,3,0),0)</f>
        <v>0</v>
      </c>
      <c r="N4" s="20">
        <f>IFERROR(VLOOKUP($A4,$P$6:$S$1048576,4,0),0)</f>
        <v>0</v>
      </c>
    </row>
    <row r="5" spans="1:33" ht="15.75" customHeight="1" thickBot="1">
      <c r="B5" s="33" t="str">
        <f t="shared" ref="B5:B9" si="0">DEC2HEX(C5)</f>
        <v>0</v>
      </c>
      <c r="C5" s="33">
        <v>0</v>
      </c>
      <c r="D5" s="230"/>
      <c r="E5" s="223" t="s">
        <v>141</v>
      </c>
      <c r="F5" s="224" t="s">
        <v>146</v>
      </c>
      <c r="G5" s="89" t="s">
        <v>180</v>
      </c>
      <c r="H5" s="75" t="s">
        <v>146</v>
      </c>
      <c r="I5" s="70" t="str">
        <f>G5</f>
        <v>AA</v>
      </c>
      <c r="J5" s="79" t="b" cm="1">
        <f t="array" aca="1" ref="J5" ca="1">RIGHT("00"&amp;INDIRECT("R_"&amp;H5),2)=RIGHT("00"&amp;I5,2)</f>
        <v>0</v>
      </c>
      <c r="K5" s="48"/>
      <c r="L5" s="78" t="s">
        <v>259</v>
      </c>
      <c r="P5" s="24" t="s">
        <v>267</v>
      </c>
      <c r="Q5" s="35" t="s">
        <v>380</v>
      </c>
      <c r="R5" s="35" t="s">
        <v>235</v>
      </c>
      <c r="S5" s="187" t="s">
        <v>981</v>
      </c>
      <c r="T5" s="189" t="s">
        <v>1397</v>
      </c>
      <c r="V5" s="236" t="s">
        <v>330</v>
      </c>
      <c r="W5" s="236"/>
      <c r="X5" s="236"/>
      <c r="Y5" s="236"/>
      <c r="Z5" s="236"/>
      <c r="AA5" s="236"/>
      <c r="AB5" s="236"/>
      <c r="AC5" s="237"/>
    </row>
    <row r="6" spans="1:33">
      <c r="B6" s="6" t="str">
        <f t="shared" si="0"/>
        <v>1</v>
      </c>
      <c r="C6" s="6">
        <f>C5+1</f>
        <v>1</v>
      </c>
      <c r="D6" s="227"/>
      <c r="E6" s="227" t="s">
        <v>181</v>
      </c>
      <c r="F6" s="91" t="s">
        <v>144</v>
      </c>
      <c r="G6" s="90" t="s">
        <v>146</v>
      </c>
      <c r="H6" s="60" t="s">
        <v>144</v>
      </c>
      <c r="I6" s="64" t="str">
        <f>G5</f>
        <v>AA</v>
      </c>
      <c r="J6" s="79" t="e" cm="1">
        <f t="array" aca="1" ref="J6" ca="1">RIGHT("00"&amp;INDIRECT("R_"&amp;H6),2)=RIGHT("00"&amp;I6,2)</f>
        <v>#REF!</v>
      </c>
      <c r="K6" s="49"/>
      <c r="L6" s="6"/>
      <c r="P6" s="33" t="s">
        <v>306</v>
      </c>
      <c r="Q6" s="33" t="str">
        <f t="shared" ref="Q6:Q37" si="1">IFERROR(VLOOKUP(P6,$A$4:$L$1048576,12,0),"")</f>
        <v xml:space="preserve">MVI and MOV </v>
      </c>
      <c r="R6" s="33">
        <v>0</v>
      </c>
      <c r="S6" s="188">
        <v>0</v>
      </c>
      <c r="T6" s="190">
        <v>8080</v>
      </c>
      <c r="V6" s="238"/>
      <c r="W6" s="238"/>
      <c r="X6" s="238"/>
      <c r="Y6" s="238"/>
      <c r="Z6" s="238"/>
      <c r="AA6" s="238"/>
      <c r="AB6" s="238"/>
      <c r="AC6" s="238"/>
    </row>
    <row r="7" spans="1:33">
      <c r="B7" s="6" t="str">
        <f t="shared" si="0"/>
        <v>2</v>
      </c>
      <c r="C7" s="6">
        <f t="shared" ref="C7:C9" si="2">C6+1</f>
        <v>2</v>
      </c>
      <c r="D7" s="227"/>
      <c r="E7" s="227" t="s">
        <v>141</v>
      </c>
      <c r="F7" s="91" t="s">
        <v>182</v>
      </c>
      <c r="G7" s="90" t="s">
        <v>185</v>
      </c>
      <c r="H7" s="60" t="s">
        <v>182</v>
      </c>
      <c r="I7" s="64" t="str">
        <f>G7</f>
        <v>55</v>
      </c>
      <c r="J7" s="79" t="e" cm="1">
        <f t="array" aca="1" ref="J7" ca="1">RIGHT("00"&amp;INDIRECT("R_"&amp;H7),2)=RIGHT("00"&amp;I7,2)</f>
        <v>#REF!</v>
      </c>
      <c r="K7" s="49"/>
      <c r="L7" s="6"/>
      <c r="P7" s="6" t="s">
        <v>307</v>
      </c>
      <c r="Q7" s="33" t="str">
        <f t="shared" si="1"/>
        <v>PUSH PSW</v>
      </c>
      <c r="R7" s="33">
        <v>0</v>
      </c>
      <c r="S7" s="188">
        <v>0</v>
      </c>
      <c r="T7" s="190">
        <v>8080</v>
      </c>
      <c r="V7" s="239"/>
      <c r="W7" s="239"/>
      <c r="X7" s="239"/>
      <c r="Y7" s="239"/>
      <c r="Z7" s="239"/>
      <c r="AA7" s="239"/>
      <c r="AB7" s="239"/>
      <c r="AC7" s="239"/>
    </row>
    <row r="8" spans="1:33">
      <c r="B8" s="6" t="str">
        <f t="shared" si="0"/>
        <v>3</v>
      </c>
      <c r="C8" s="6">
        <f t="shared" si="2"/>
        <v>3</v>
      </c>
      <c r="D8" s="227"/>
      <c r="E8" s="227" t="s">
        <v>181</v>
      </c>
      <c r="F8" s="91" t="s">
        <v>183</v>
      </c>
      <c r="G8" s="90" t="s">
        <v>182</v>
      </c>
      <c r="H8" s="60" t="s">
        <v>183</v>
      </c>
      <c r="I8" s="64" t="str">
        <f>G7</f>
        <v>55</v>
      </c>
      <c r="J8" s="79" t="e" cm="1">
        <f t="array" aca="1" ref="J8" ca="1">RIGHT("00"&amp;INDIRECT("R_"&amp;H8),2)=RIGHT("00"&amp;I8,2)</f>
        <v>#REF!</v>
      </c>
      <c r="K8" s="49"/>
      <c r="L8" s="6"/>
      <c r="P8" s="6" t="s">
        <v>308</v>
      </c>
      <c r="Q8" s="33" t="str">
        <f t="shared" si="1"/>
        <v>CALL &amp; RET</v>
      </c>
      <c r="R8" s="33">
        <v>0</v>
      </c>
      <c r="S8" s="188">
        <v>0</v>
      </c>
      <c r="T8" s="190">
        <v>8080</v>
      </c>
      <c r="V8" s="239"/>
      <c r="W8" s="239"/>
      <c r="X8" s="239"/>
      <c r="Y8" s="239"/>
      <c r="Z8" s="239"/>
      <c r="AA8" s="239"/>
      <c r="AB8" s="239"/>
      <c r="AC8" s="239"/>
    </row>
    <row r="9" spans="1:33">
      <c r="B9" s="6" t="str">
        <f t="shared" si="0"/>
        <v>4</v>
      </c>
      <c r="C9" s="6">
        <f t="shared" si="2"/>
        <v>4</v>
      </c>
      <c r="D9" s="227"/>
      <c r="E9" s="227" t="s">
        <v>108</v>
      </c>
      <c r="F9" s="91"/>
      <c r="G9" s="91"/>
      <c r="H9" s="49"/>
      <c r="I9" s="49"/>
      <c r="J9" s="80" t="b">
        <f>IFERROR(FIND("Halted",errMessage)&gt;0,FALSE)</f>
        <v>0</v>
      </c>
      <c r="K9" s="49"/>
      <c r="L9" s="6"/>
      <c r="P9" s="6" t="s">
        <v>310</v>
      </c>
      <c r="Q9" s="33" t="str">
        <f t="shared" si="1"/>
        <v>INR</v>
      </c>
      <c r="R9" s="33">
        <v>0</v>
      </c>
      <c r="S9" s="188">
        <v>0</v>
      </c>
      <c r="T9" s="190">
        <v>8080</v>
      </c>
      <c r="V9" s="239"/>
      <c r="W9" s="239"/>
      <c r="X9" s="239"/>
      <c r="Y9" s="239"/>
      <c r="Z9" s="239"/>
      <c r="AA9" s="239"/>
      <c r="AB9" s="239"/>
      <c r="AC9" s="239"/>
    </row>
    <row r="10" spans="1:33" ht="15.75" thickBot="1">
      <c r="D10" s="156"/>
      <c r="E10" s="156"/>
      <c r="F10" s="156"/>
      <c r="G10" s="156"/>
      <c r="H10" s="45"/>
      <c r="J10" s="45"/>
      <c r="K10" s="45"/>
      <c r="P10" s="6" t="s">
        <v>309</v>
      </c>
      <c r="Q10" s="33" t="str">
        <f t="shared" si="1"/>
        <v>DCR</v>
      </c>
      <c r="R10" s="33">
        <v>0</v>
      </c>
      <c r="S10" s="188">
        <v>0</v>
      </c>
      <c r="T10" s="190">
        <v>8080</v>
      </c>
      <c r="V10" s="239"/>
      <c r="W10" s="239"/>
      <c r="X10" s="239"/>
      <c r="Y10" s="239"/>
      <c r="Z10" s="239"/>
      <c r="AA10" s="239"/>
      <c r="AB10" s="239"/>
      <c r="AC10" s="239"/>
    </row>
    <row r="11" spans="1:33" ht="15.75" thickBot="1">
      <c r="A11" s="20" t="s">
        <v>307</v>
      </c>
      <c r="B11" s="34" t="s">
        <v>136</v>
      </c>
      <c r="C11" s="34" t="s">
        <v>137</v>
      </c>
      <c r="D11" s="228" t="s">
        <v>125</v>
      </c>
      <c r="E11" s="229" t="s">
        <v>142</v>
      </c>
      <c r="F11" s="228" t="s">
        <v>123</v>
      </c>
      <c r="G11" s="228" t="s">
        <v>124</v>
      </c>
      <c r="H11" s="69" t="s">
        <v>204</v>
      </c>
      <c r="I11" s="69" t="s">
        <v>205</v>
      </c>
      <c r="J11" s="46">
        <f ca="1">IF(AND(J12:J14),0,1)</f>
        <v>1</v>
      </c>
      <c r="K11" s="222" t="s">
        <v>2353</v>
      </c>
      <c r="L11" s="62" t="s">
        <v>260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311</v>
      </c>
      <c r="Q11" s="33" t="str">
        <f t="shared" si="1"/>
        <v>Zero Flag Test - Positive</v>
      </c>
      <c r="R11" s="33">
        <v>0</v>
      </c>
      <c r="S11" s="188">
        <v>0</v>
      </c>
      <c r="T11" s="190">
        <v>8080</v>
      </c>
      <c r="V11" s="239"/>
      <c r="W11" s="239"/>
      <c r="X11" s="239"/>
      <c r="Y11" s="239"/>
      <c r="Z11" s="239"/>
      <c r="AA11" s="239"/>
      <c r="AB11" s="239"/>
      <c r="AC11" s="239"/>
    </row>
    <row r="12" spans="1:33">
      <c r="B12" s="33" t="str">
        <f>DEC2HEX(C12)</f>
        <v>0</v>
      </c>
      <c r="C12" s="33">
        <v>0</v>
      </c>
      <c r="D12" s="230"/>
      <c r="E12" s="223" t="s">
        <v>141</v>
      </c>
      <c r="F12" s="224" t="s">
        <v>146</v>
      </c>
      <c r="G12" s="89" t="s">
        <v>140</v>
      </c>
      <c r="H12" s="48" t="s">
        <v>146</v>
      </c>
      <c r="I12" s="75" t="s">
        <v>140</v>
      </c>
      <c r="J12" s="79" t="b" cm="1">
        <f t="array" aca="1" ref="J12" ca="1">RIGHT("00"&amp;INDIRECT("R_"&amp;H12),2)=RIGHT("00"&amp;I12,2)</f>
        <v>0</v>
      </c>
      <c r="K12" s="48"/>
      <c r="L12" s="33" t="s">
        <v>186</v>
      </c>
      <c r="P12" s="6" t="s">
        <v>312</v>
      </c>
      <c r="Q12" s="33" t="str">
        <f t="shared" si="1"/>
        <v>Zero Flag Test - Negative</v>
      </c>
      <c r="R12" s="33">
        <v>0</v>
      </c>
      <c r="S12" s="188">
        <v>0</v>
      </c>
      <c r="T12" s="190">
        <v>8080</v>
      </c>
      <c r="V12" s="239"/>
      <c r="W12" s="239"/>
      <c r="X12" s="239"/>
      <c r="Y12" s="239"/>
      <c r="Z12" s="239"/>
      <c r="AA12" s="239"/>
      <c r="AB12" s="239"/>
      <c r="AC12" s="239"/>
    </row>
    <row r="13" spans="1:33">
      <c r="B13" s="6" t="str">
        <f>DEC2HEX(C13)</f>
        <v>1</v>
      </c>
      <c r="C13" s="6">
        <v>1</v>
      </c>
      <c r="D13" s="230"/>
      <c r="E13" s="223" t="s">
        <v>143</v>
      </c>
      <c r="F13" s="224" t="s">
        <v>159</v>
      </c>
      <c r="G13" s="89"/>
      <c r="H13" s="49"/>
      <c r="I13" s="49"/>
      <c r="J13" s="80" t="b">
        <f>AND(CPU!X9='Unit Tests'!G12&amp;"H",CPU!X8&amp;""="02H",CPU!Y8="Flags",CPU!Y9="A")</f>
        <v>0</v>
      </c>
      <c r="K13" s="49"/>
      <c r="L13" s="6" t="s">
        <v>187</v>
      </c>
      <c r="P13" s="6" t="s">
        <v>313</v>
      </c>
      <c r="Q13" s="33" t="str">
        <f t="shared" si="1"/>
        <v>ORA Test One</v>
      </c>
      <c r="R13" s="33">
        <v>0</v>
      </c>
      <c r="S13" s="188">
        <v>0</v>
      </c>
      <c r="T13" s="190">
        <v>8080</v>
      </c>
      <c r="V13" s="239"/>
      <c r="W13" s="239"/>
      <c r="X13" s="239"/>
      <c r="Y13" s="239"/>
      <c r="Z13" s="239"/>
      <c r="AA13" s="239"/>
      <c r="AB13" s="239"/>
      <c r="AC13" s="239"/>
    </row>
    <row r="14" spans="1:33">
      <c r="B14" s="6" t="str">
        <f>DEC2HEX(C14)</f>
        <v>2</v>
      </c>
      <c r="C14" s="6">
        <v>2</v>
      </c>
      <c r="D14" s="230"/>
      <c r="E14" s="223" t="s">
        <v>184</v>
      </c>
      <c r="F14" s="224"/>
      <c r="G14" s="89"/>
      <c r="H14" s="49"/>
      <c r="I14" s="49"/>
      <c r="J14" s="49"/>
      <c r="K14" s="49"/>
      <c r="L14" s="6"/>
      <c r="P14" s="6" t="s">
        <v>314</v>
      </c>
      <c r="Q14" s="33" t="str">
        <f t="shared" si="1"/>
        <v>ORA Test Two</v>
      </c>
      <c r="R14" s="33">
        <v>0</v>
      </c>
      <c r="S14" s="188">
        <v>0</v>
      </c>
      <c r="T14" s="190">
        <v>8080</v>
      </c>
      <c r="V14" s="239"/>
      <c r="W14" s="239"/>
      <c r="X14" s="239"/>
      <c r="Y14" s="239"/>
      <c r="Z14" s="239"/>
      <c r="AA14" s="239"/>
      <c r="AB14" s="239"/>
      <c r="AC14" s="239"/>
    </row>
    <row r="15" spans="1:33" ht="15.75" thickBot="1">
      <c r="D15" s="156"/>
      <c r="E15" s="156"/>
      <c r="F15" s="156"/>
      <c r="G15" s="156"/>
      <c r="H15" s="45"/>
      <c r="J15" s="45"/>
      <c r="K15" s="45"/>
      <c r="P15" s="6" t="s">
        <v>315</v>
      </c>
      <c r="Q15" s="33" t="str">
        <f t="shared" si="1"/>
        <v>AC Parity and Sign</v>
      </c>
      <c r="R15" s="33">
        <v>0</v>
      </c>
      <c r="S15" s="188">
        <v>0</v>
      </c>
      <c r="T15" s="190">
        <v>8080</v>
      </c>
      <c r="V15" s="239"/>
      <c r="W15" s="239"/>
      <c r="X15" s="239"/>
      <c r="Y15" s="239"/>
      <c r="Z15" s="239"/>
      <c r="AA15" s="239"/>
      <c r="AB15" s="239"/>
      <c r="AC15" s="239"/>
    </row>
    <row r="16" spans="1:33" ht="15.75" thickBot="1">
      <c r="A16" s="20" t="s">
        <v>308</v>
      </c>
      <c r="B16" s="34" t="s">
        <v>136</v>
      </c>
      <c r="C16" s="34" t="s">
        <v>137</v>
      </c>
      <c r="D16" s="228" t="s">
        <v>125</v>
      </c>
      <c r="E16" s="229" t="s">
        <v>142</v>
      </c>
      <c r="F16" s="228" t="s">
        <v>123</v>
      </c>
      <c r="G16" s="228" t="s">
        <v>124</v>
      </c>
      <c r="H16" s="69" t="s">
        <v>204</v>
      </c>
      <c r="I16" s="69" t="s">
        <v>205</v>
      </c>
      <c r="J16" s="46" t="e">
        <f ca="1">IF(AND(J17:J27),0,1)</f>
        <v>#REF!</v>
      </c>
      <c r="K16" s="222" t="s">
        <v>2353</v>
      </c>
      <c r="L16" s="62" t="s">
        <v>261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316</v>
      </c>
      <c r="Q16" s="33" t="str">
        <f t="shared" si="1"/>
        <v>Unit_DCR_AC_SET_00</v>
      </c>
      <c r="R16" s="33">
        <v>0</v>
      </c>
      <c r="S16" s="188">
        <v>0</v>
      </c>
      <c r="T16" s="190">
        <v>8080</v>
      </c>
      <c r="V16" s="239"/>
      <c r="W16" s="239"/>
      <c r="X16" s="239"/>
      <c r="Y16" s="239"/>
      <c r="Z16" s="239"/>
      <c r="AA16" s="239"/>
      <c r="AB16" s="239"/>
      <c r="AC16" s="239"/>
    </row>
    <row r="17" spans="1:29">
      <c r="B17" s="33" t="str">
        <f t="shared" ref="B17:B21" si="3">DEC2HEX(C17)</f>
        <v>0</v>
      </c>
      <c r="C17" s="33">
        <v>0</v>
      </c>
      <c r="D17" s="230"/>
      <c r="E17" s="223" t="s">
        <v>141</v>
      </c>
      <c r="F17" s="224" t="s">
        <v>144</v>
      </c>
      <c r="G17" s="89" t="s">
        <v>201</v>
      </c>
      <c r="H17" s="48"/>
      <c r="I17" s="48"/>
      <c r="J17" s="48"/>
      <c r="K17" s="48"/>
      <c r="L17" s="33" t="s">
        <v>189</v>
      </c>
      <c r="P17" s="6" t="s">
        <v>317</v>
      </c>
      <c r="Q17" s="33" t="str">
        <f t="shared" si="1"/>
        <v>Unit_DCR_AC_SET_10</v>
      </c>
      <c r="R17" s="33">
        <v>0</v>
      </c>
      <c r="S17" s="188">
        <v>0</v>
      </c>
      <c r="T17" s="190">
        <v>8080</v>
      </c>
      <c r="V17" s="239"/>
      <c r="W17" s="239"/>
      <c r="X17" s="239"/>
      <c r="Y17" s="239"/>
      <c r="Z17" s="239"/>
      <c r="AA17" s="239"/>
      <c r="AB17" s="239"/>
      <c r="AC17" s="239"/>
    </row>
    <row r="18" spans="1:29">
      <c r="B18" s="6" t="str">
        <f t="shared" si="3"/>
        <v>1</v>
      </c>
      <c r="C18" s="6">
        <f>C17+1</f>
        <v>1</v>
      </c>
      <c r="D18" s="230"/>
      <c r="E18" s="223" t="s">
        <v>190</v>
      </c>
      <c r="F18" s="224" t="s">
        <v>191</v>
      </c>
      <c r="G18" s="89"/>
      <c r="H18" s="49"/>
      <c r="I18" s="49"/>
      <c r="J18" s="49"/>
      <c r="K18" s="49"/>
      <c r="L18" s="6" t="s">
        <v>192</v>
      </c>
      <c r="P18" s="6" t="s">
        <v>318</v>
      </c>
      <c r="Q18" s="33" t="str">
        <f t="shared" si="1"/>
        <v>Console Print</v>
      </c>
      <c r="R18" s="33">
        <v>0</v>
      </c>
      <c r="S18" s="188">
        <v>0</v>
      </c>
      <c r="T18" s="190">
        <v>8080</v>
      </c>
      <c r="V18" s="239"/>
      <c r="W18" s="239"/>
      <c r="X18" s="239"/>
      <c r="Y18" s="239"/>
      <c r="Z18" s="239"/>
      <c r="AA18" s="239"/>
      <c r="AB18" s="239"/>
      <c r="AC18" s="239"/>
    </row>
    <row r="19" spans="1:29">
      <c r="B19" s="6" t="str">
        <f t="shared" si="3"/>
        <v>2</v>
      </c>
      <c r="C19" s="6">
        <f t="shared" ref="C19:C27" si="4">C18+1</f>
        <v>2</v>
      </c>
      <c r="D19" s="230"/>
      <c r="E19" s="223" t="s">
        <v>141</v>
      </c>
      <c r="F19" s="224" t="s">
        <v>144</v>
      </c>
      <c r="G19" s="89" t="s">
        <v>202</v>
      </c>
      <c r="H19" s="49" t="s">
        <v>144</v>
      </c>
      <c r="I19" s="49">
        <v>22</v>
      </c>
      <c r="J19" s="79" t="e" cm="1">
        <f t="array" aca="1" ref="J19" ca="1">RIGHT("00"&amp;INDIRECT("R_"&amp;H19),2)=RIGHT("00"&amp;I19,2)</f>
        <v>#REF!</v>
      </c>
      <c r="K19" s="49"/>
      <c r="L19" s="6" t="s">
        <v>193</v>
      </c>
      <c r="P19" s="6" t="s">
        <v>319</v>
      </c>
      <c r="Q19" s="33" t="str">
        <f t="shared" si="1"/>
        <v xml:space="preserve"> MOV matrix (no flags)</v>
      </c>
      <c r="R19" s="33">
        <v>0</v>
      </c>
      <c r="S19" s="188">
        <v>0</v>
      </c>
      <c r="T19" s="190">
        <v>8080</v>
      </c>
      <c r="V19" s="239"/>
      <c r="W19" s="239"/>
      <c r="X19" s="239"/>
      <c r="Y19" s="239"/>
      <c r="Z19" s="239"/>
      <c r="AA19" s="239"/>
      <c r="AB19" s="239"/>
      <c r="AC19" s="239"/>
    </row>
    <row r="20" spans="1:29">
      <c r="B20" s="6" t="str">
        <f t="shared" si="3"/>
        <v>3</v>
      </c>
      <c r="C20" s="6">
        <f t="shared" si="4"/>
        <v>3</v>
      </c>
      <c r="D20" s="230"/>
      <c r="E20" s="223" t="s">
        <v>184</v>
      </c>
      <c r="F20" s="224"/>
      <c r="G20" s="89"/>
      <c r="H20" s="49"/>
      <c r="I20" s="49"/>
      <c r="J20" s="49"/>
      <c r="K20" s="49"/>
      <c r="L20" s="6" t="s">
        <v>194</v>
      </c>
      <c r="P20" s="6" t="s">
        <v>320</v>
      </c>
      <c r="Q20" s="33" t="str">
        <f t="shared" si="1"/>
        <v>ORA sets S/Z/P and clears CY/AC</v>
      </c>
      <c r="R20" s="33">
        <v>0</v>
      </c>
      <c r="S20" s="188">
        <v>0</v>
      </c>
      <c r="T20" s="190">
        <v>8080</v>
      </c>
      <c r="V20" s="239"/>
      <c r="W20" s="239"/>
      <c r="X20" s="239"/>
      <c r="Y20" s="239"/>
      <c r="Z20" s="239"/>
      <c r="AA20" s="239"/>
      <c r="AB20" s="239"/>
      <c r="AC20" s="239"/>
    </row>
    <row r="21" spans="1:29">
      <c r="B21" s="6" t="str">
        <f t="shared" si="3"/>
        <v>4</v>
      </c>
      <c r="C21" s="6">
        <f t="shared" si="4"/>
        <v>4</v>
      </c>
      <c r="D21" s="230"/>
      <c r="E21" s="223"/>
      <c r="F21" s="224"/>
      <c r="G21" s="89"/>
      <c r="H21" s="49"/>
      <c r="I21" s="49"/>
      <c r="J21" s="49"/>
      <c r="K21" s="49"/>
      <c r="L21" s="6"/>
      <c r="P21" s="6" t="s">
        <v>321</v>
      </c>
      <c r="Q21" s="33" t="str">
        <f t="shared" si="1"/>
        <v>INR edge cases (AC and Zero transitions)</v>
      </c>
      <c r="R21" s="33">
        <v>0</v>
      </c>
      <c r="S21" s="188">
        <v>0</v>
      </c>
      <c r="T21" s="190">
        <v>8080</v>
      </c>
      <c r="V21" s="239"/>
      <c r="W21" s="239"/>
      <c r="X21" s="239"/>
      <c r="Y21" s="239"/>
      <c r="Z21" s="239"/>
      <c r="AA21" s="239"/>
      <c r="AB21" s="239"/>
      <c r="AC21" s="239"/>
    </row>
    <row r="22" spans="1:29">
      <c r="B22" s="6" t="str">
        <f t="shared" ref="B22:B27" si="5">DEC2HEX(C22)</f>
        <v>5</v>
      </c>
      <c r="C22" s="6">
        <f t="shared" si="4"/>
        <v>5</v>
      </c>
      <c r="D22" s="230" t="s">
        <v>191</v>
      </c>
      <c r="E22" s="223" t="s">
        <v>141</v>
      </c>
      <c r="F22" s="224" t="s">
        <v>182</v>
      </c>
      <c r="G22" s="89" t="s">
        <v>180</v>
      </c>
      <c r="H22" s="49" t="s">
        <v>182</v>
      </c>
      <c r="I22" s="49" t="s">
        <v>180</v>
      </c>
      <c r="J22" s="79" t="e" cm="1">
        <f t="array" aca="1" ref="J22" ca="1">RIGHT("00"&amp;INDIRECT("R_"&amp;H22),2)=RIGHT("00"&amp;I22,2)</f>
        <v>#REF!</v>
      </c>
      <c r="K22" s="49"/>
      <c r="L22" s="6" t="s">
        <v>195</v>
      </c>
      <c r="P22" s="6" t="s">
        <v>322</v>
      </c>
      <c r="Q22" s="33" t="str">
        <f t="shared" si="1"/>
        <v>DCR edge cases (AC/Parity/Sign)</v>
      </c>
      <c r="R22" s="33">
        <v>0</v>
      </c>
      <c r="S22" s="188">
        <v>0</v>
      </c>
      <c r="T22" s="190">
        <v>8080</v>
      </c>
      <c r="V22" s="239"/>
      <c r="W22" s="239"/>
      <c r="X22" s="239"/>
      <c r="Y22" s="239"/>
      <c r="Z22" s="239"/>
      <c r="AA22" s="239"/>
      <c r="AB22" s="239"/>
      <c r="AC22" s="239"/>
    </row>
    <row r="23" spans="1:29">
      <c r="B23" s="6" t="str">
        <f t="shared" si="5"/>
        <v>6</v>
      </c>
      <c r="C23" s="6">
        <f t="shared" si="4"/>
        <v>6</v>
      </c>
      <c r="D23" s="230"/>
      <c r="E23" s="223" t="s">
        <v>190</v>
      </c>
      <c r="F23" s="224" t="s">
        <v>196</v>
      </c>
      <c r="G23" s="89"/>
      <c r="H23" s="49"/>
      <c r="I23" s="49"/>
      <c r="J23" s="49"/>
      <c r="K23" s="49"/>
      <c r="L23" s="6" t="s">
        <v>197</v>
      </c>
      <c r="P23" s="6" t="s">
        <v>323</v>
      </c>
      <c r="Q23" s="33" t="str">
        <f t="shared" si="1"/>
        <v>LXI into B/D/H and SP</v>
      </c>
      <c r="R23" s="33">
        <v>0</v>
      </c>
      <c r="S23" s="188">
        <v>0</v>
      </c>
      <c r="T23" s="190">
        <v>8080</v>
      </c>
      <c r="V23" s="239"/>
      <c r="W23" s="239"/>
      <c r="X23" s="239"/>
      <c r="Y23" s="239"/>
      <c r="Z23" s="239"/>
      <c r="AA23" s="239"/>
      <c r="AB23" s="239"/>
      <c r="AC23" s="239"/>
    </row>
    <row r="24" spans="1:29">
      <c r="B24" s="6" t="str">
        <f t="shared" si="5"/>
        <v>7</v>
      </c>
      <c r="C24" s="6">
        <f t="shared" si="4"/>
        <v>7</v>
      </c>
      <c r="D24" s="230"/>
      <c r="E24" s="223" t="s">
        <v>84</v>
      </c>
      <c r="F24" s="224"/>
      <c r="G24" s="89"/>
      <c r="H24" s="49"/>
      <c r="I24" s="49"/>
      <c r="J24" s="49"/>
      <c r="K24" s="49"/>
      <c r="L24" s="6" t="s">
        <v>198</v>
      </c>
      <c r="P24" s="6" t="s">
        <v>324</v>
      </c>
      <c r="Q24" s="33" t="str">
        <f t="shared" si="1"/>
        <v>PUSH/POP pairs (B&amp;H)</v>
      </c>
      <c r="R24" s="33">
        <v>0</v>
      </c>
      <c r="S24" s="188">
        <v>0</v>
      </c>
      <c r="T24" s="190">
        <v>8080</v>
      </c>
      <c r="V24" s="239"/>
      <c r="W24" s="239"/>
      <c r="X24" s="239"/>
      <c r="Y24" s="239"/>
      <c r="Z24" s="239"/>
      <c r="AA24" s="239"/>
      <c r="AB24" s="239"/>
      <c r="AC24" s="239"/>
    </row>
    <row r="25" spans="1:29">
      <c r="B25" s="6" t="str">
        <f t="shared" si="5"/>
        <v>8</v>
      </c>
      <c r="C25" s="6">
        <f t="shared" si="4"/>
        <v>8</v>
      </c>
      <c r="D25" s="230"/>
      <c r="E25" s="223"/>
      <c r="F25" s="224"/>
      <c r="G25" s="89"/>
      <c r="H25" s="49"/>
      <c r="I25" s="49"/>
      <c r="J25" s="49"/>
      <c r="K25" s="49"/>
      <c r="L25" s="6"/>
      <c r="P25" s="6" t="s">
        <v>342</v>
      </c>
      <c r="Q25" s="33" t="str">
        <f t="shared" si="1"/>
        <v>PUSH/POP PSW round‑trip (flags + A)</v>
      </c>
      <c r="R25" s="33">
        <v>0</v>
      </c>
      <c r="S25" s="188">
        <v>0</v>
      </c>
      <c r="T25" s="190">
        <v>8080</v>
      </c>
      <c r="V25" s="239"/>
      <c r="W25" s="239"/>
      <c r="X25" s="239"/>
      <c r="Y25" s="239"/>
      <c r="Z25" s="239"/>
      <c r="AA25" s="239"/>
      <c r="AB25" s="239"/>
      <c r="AC25" s="239"/>
    </row>
    <row r="26" spans="1:29">
      <c r="B26" s="6" t="str">
        <f t="shared" si="5"/>
        <v>9</v>
      </c>
      <c r="C26" s="6">
        <f t="shared" si="4"/>
        <v>9</v>
      </c>
      <c r="D26" s="230" t="s">
        <v>196</v>
      </c>
      <c r="E26" s="223" t="s">
        <v>141</v>
      </c>
      <c r="F26" s="224" t="s">
        <v>183</v>
      </c>
      <c r="G26" s="89" t="s">
        <v>200</v>
      </c>
      <c r="H26" s="49" t="s">
        <v>183</v>
      </c>
      <c r="I26" s="49" t="s">
        <v>200</v>
      </c>
      <c r="J26" s="79" t="e" cm="1">
        <f t="array" aca="1" ref="J26" ca="1">RIGHT("00"&amp;INDIRECT("R_"&amp;H26),2)=RIGHT("00"&amp;I26,2)</f>
        <v>#REF!</v>
      </c>
      <c r="K26" s="49"/>
      <c r="L26" s="6"/>
      <c r="P26" s="6" t="s">
        <v>344</v>
      </c>
      <c r="Q26" s="33" t="str">
        <f t="shared" si="1"/>
        <v>JMP direct</v>
      </c>
      <c r="R26" s="33">
        <v>0</v>
      </c>
      <c r="S26" s="188">
        <v>0</v>
      </c>
      <c r="T26" s="190">
        <v>8080</v>
      </c>
      <c r="V26" s="239"/>
      <c r="W26" s="239"/>
      <c r="X26" s="239"/>
      <c r="Y26" s="239"/>
      <c r="Z26" s="239"/>
      <c r="AA26" s="239"/>
      <c r="AB26" s="239"/>
      <c r="AC26" s="239"/>
    </row>
    <row r="27" spans="1:29">
      <c r="B27" s="6" t="str">
        <f t="shared" si="5"/>
        <v>A</v>
      </c>
      <c r="C27" s="6">
        <f t="shared" si="4"/>
        <v>10</v>
      </c>
      <c r="D27" s="230"/>
      <c r="E27" s="223" t="s">
        <v>84</v>
      </c>
      <c r="F27" s="224"/>
      <c r="G27" s="89"/>
      <c r="H27" s="49"/>
      <c r="I27" s="49"/>
      <c r="J27" s="80" t="b">
        <f>CPU!Y8=""</f>
        <v>1</v>
      </c>
      <c r="K27" s="49"/>
      <c r="L27" s="6" t="s">
        <v>199</v>
      </c>
      <c r="P27" s="6" t="s">
        <v>345</v>
      </c>
      <c r="Q27" s="33" t="str">
        <f t="shared" si="1"/>
        <v>JZ/JNZ (taken/not taken)</v>
      </c>
      <c r="R27" s="33">
        <v>0</v>
      </c>
      <c r="S27" s="188">
        <v>0</v>
      </c>
      <c r="T27" s="190">
        <v>8080</v>
      </c>
      <c r="V27" s="239"/>
      <c r="W27" s="239"/>
      <c r="X27" s="239"/>
      <c r="Y27" s="239"/>
      <c r="Z27" s="239"/>
      <c r="AA27" s="239"/>
      <c r="AB27" s="239"/>
      <c r="AC27" s="239"/>
    </row>
    <row r="28" spans="1:29" ht="15.75" thickBot="1">
      <c r="D28" s="156"/>
      <c r="E28" s="156"/>
      <c r="F28" s="156"/>
      <c r="G28" s="156"/>
      <c r="H28" s="45"/>
      <c r="J28" s="45"/>
      <c r="K28" s="45"/>
      <c r="P28" s="6" t="s">
        <v>348</v>
      </c>
      <c r="Q28" s="33" t="str">
        <f t="shared" si="1"/>
        <v>JP/JM (Sign)</v>
      </c>
      <c r="R28" s="33">
        <v>0</v>
      </c>
      <c r="S28" s="188">
        <v>0</v>
      </c>
      <c r="T28" s="190">
        <v>8080</v>
      </c>
      <c r="V28" s="239"/>
      <c r="W28" s="239"/>
      <c r="X28" s="239"/>
      <c r="Y28" s="239"/>
      <c r="Z28" s="239"/>
      <c r="AA28" s="239"/>
      <c r="AB28" s="239"/>
      <c r="AC28" s="239"/>
    </row>
    <row r="29" spans="1:29" ht="15.75" thickBot="1">
      <c r="A29" s="20" t="s">
        <v>310</v>
      </c>
      <c r="B29" s="34" t="s">
        <v>136</v>
      </c>
      <c r="C29" s="34" t="s">
        <v>137</v>
      </c>
      <c r="D29" s="228" t="s">
        <v>125</v>
      </c>
      <c r="E29" s="229" t="s">
        <v>142</v>
      </c>
      <c r="F29" s="228" t="s">
        <v>123</v>
      </c>
      <c r="G29" s="228" t="s">
        <v>124</v>
      </c>
      <c r="H29" s="69" t="s">
        <v>204</v>
      </c>
      <c r="I29" s="69" t="s">
        <v>205</v>
      </c>
      <c r="J29" s="46" t="e">
        <f ca="1">IF(AND(J30:J36),0,1)</f>
        <v>#REF!</v>
      </c>
      <c r="K29" s="222" t="s">
        <v>2353</v>
      </c>
      <c r="L29" s="62" t="s">
        <v>208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349</v>
      </c>
      <c r="Q29" s="33" t="str">
        <f t="shared" si="1"/>
        <v>JPE/JPO (Parity)</v>
      </c>
      <c r="R29" s="33">
        <v>0</v>
      </c>
      <c r="S29" s="188">
        <v>0</v>
      </c>
      <c r="T29" s="190">
        <v>8080</v>
      </c>
      <c r="V29" s="239"/>
      <c r="W29" s="239"/>
      <c r="X29" s="239"/>
      <c r="Y29" s="239"/>
      <c r="Z29" s="239"/>
      <c r="AA29" s="239"/>
      <c r="AB29" s="239"/>
      <c r="AC29" s="239"/>
    </row>
    <row r="30" spans="1:29">
      <c r="B30" s="33" t="str">
        <f t="shared" ref="B30:B31" si="6">DEC2HEX(C30)</f>
        <v>0</v>
      </c>
      <c r="C30" s="33">
        <v>0</v>
      </c>
      <c r="D30" s="230" t="s">
        <v>211</v>
      </c>
      <c r="E30" s="223" t="s">
        <v>141</v>
      </c>
      <c r="F30" s="224" t="s">
        <v>146</v>
      </c>
      <c r="G30" s="89" t="s">
        <v>140</v>
      </c>
      <c r="H30" s="48"/>
      <c r="I30" s="75"/>
      <c r="J30" s="49"/>
      <c r="K30" s="48"/>
      <c r="L30" s="33"/>
      <c r="P30" s="6" t="s">
        <v>350</v>
      </c>
      <c r="Q30" s="33" t="str">
        <f t="shared" si="1"/>
        <v>EQU + LXI (symbol resolution)</v>
      </c>
      <c r="R30" s="33">
        <v>0</v>
      </c>
      <c r="S30" s="188">
        <v>0</v>
      </c>
      <c r="T30" s="190">
        <v>8080</v>
      </c>
      <c r="V30" s="239"/>
      <c r="W30" s="239"/>
      <c r="X30" s="239"/>
      <c r="Y30" s="239"/>
      <c r="Z30" s="239"/>
      <c r="AA30" s="239"/>
      <c r="AB30" s="239"/>
      <c r="AC30" s="239"/>
    </row>
    <row r="31" spans="1:29">
      <c r="B31" s="6" t="str">
        <f t="shared" si="6"/>
        <v>1</v>
      </c>
      <c r="C31" s="6">
        <f>C30+1</f>
        <v>1</v>
      </c>
      <c r="D31" s="230"/>
      <c r="E31" s="223" t="s">
        <v>208</v>
      </c>
      <c r="F31" s="224" t="s">
        <v>146</v>
      </c>
      <c r="G31" s="89"/>
      <c r="H31" s="49" t="s">
        <v>146</v>
      </c>
      <c r="I31" s="60" t="s">
        <v>209</v>
      </c>
      <c r="J31" s="79" t="b" cm="1">
        <f t="array" aca="1" ref="J31" ca="1">RIGHT("00"&amp;INDIRECT("R_"&amp;H31),2)=RIGHT("00"&amp;I31,2)</f>
        <v>0</v>
      </c>
      <c r="K31" s="49"/>
      <c r="L31" s="6"/>
      <c r="P31" s="6" t="s">
        <v>374</v>
      </c>
      <c r="Q31" s="33" t="str">
        <f t="shared" si="1"/>
        <v>ORI Label Test</v>
      </c>
      <c r="R31" s="33">
        <v>0</v>
      </c>
      <c r="S31" s="188">
        <v>0</v>
      </c>
      <c r="T31" s="190">
        <v>8080</v>
      </c>
      <c r="V31" s="239"/>
      <c r="W31" s="239"/>
      <c r="X31" s="239"/>
      <c r="Y31" s="239"/>
      <c r="Z31" s="239"/>
      <c r="AA31" s="239"/>
      <c r="AB31" s="239"/>
      <c r="AC31" s="239"/>
    </row>
    <row r="32" spans="1:29">
      <c r="B32" s="6" t="str">
        <f t="shared" ref="B32:B36" si="7">DEC2HEX(C32)</f>
        <v>2</v>
      </c>
      <c r="C32" s="6">
        <f t="shared" ref="C32:C36" si="8">C31+1</f>
        <v>2</v>
      </c>
      <c r="D32" s="230" t="s">
        <v>212</v>
      </c>
      <c r="E32" s="223" t="s">
        <v>141</v>
      </c>
      <c r="F32" s="224" t="s">
        <v>144</v>
      </c>
      <c r="G32" s="89" t="s">
        <v>215</v>
      </c>
      <c r="H32" s="49"/>
      <c r="I32" s="60"/>
      <c r="J32" s="49"/>
      <c r="K32" s="49"/>
      <c r="L32" s="6"/>
      <c r="P32" s="6" t="s">
        <v>376</v>
      </c>
      <c r="Q32" s="33" t="str">
        <f t="shared" si="1"/>
        <v>ORI Immediate</v>
      </c>
      <c r="R32" s="33">
        <v>0</v>
      </c>
      <c r="S32" s="188">
        <v>0</v>
      </c>
      <c r="T32" s="190">
        <v>8080</v>
      </c>
      <c r="V32" s="239"/>
      <c r="W32" s="239"/>
      <c r="X32" s="239"/>
      <c r="Y32" s="239"/>
      <c r="Z32" s="239"/>
      <c r="AA32" s="239"/>
      <c r="AB32" s="239"/>
      <c r="AC32" s="239"/>
    </row>
    <row r="33" spans="1:29">
      <c r="B33" s="6" t="str">
        <f t="shared" si="7"/>
        <v>3</v>
      </c>
      <c r="C33" s="6">
        <f t="shared" si="8"/>
        <v>3</v>
      </c>
      <c r="D33" s="230"/>
      <c r="E33" s="223" t="s">
        <v>208</v>
      </c>
      <c r="F33" s="224" t="s">
        <v>144</v>
      </c>
      <c r="G33" s="89"/>
      <c r="H33" s="49" t="s">
        <v>144</v>
      </c>
      <c r="I33" s="60" t="s">
        <v>210</v>
      </c>
      <c r="J33" s="79" t="e" cm="1">
        <f t="array" aca="1" ref="J33" ca="1">RIGHT("00"&amp;INDIRECT("R_"&amp;H33),2)=RIGHT("00"&amp;I33,2)</f>
        <v>#REF!</v>
      </c>
      <c r="K33" s="49"/>
      <c r="L33" s="6"/>
      <c r="P33" s="6" t="s">
        <v>377</v>
      </c>
      <c r="Q33" s="33" t="str">
        <f t="shared" si="1"/>
        <v>ORI Zero Result</v>
      </c>
      <c r="R33" s="33">
        <v>0</v>
      </c>
      <c r="S33" s="188">
        <v>0</v>
      </c>
      <c r="T33" s="190">
        <v>8080</v>
      </c>
      <c r="V33" s="239"/>
      <c r="W33" s="239"/>
      <c r="X33" s="239"/>
      <c r="Y33" s="239"/>
      <c r="Z33" s="239"/>
      <c r="AA33" s="239"/>
      <c r="AB33" s="239"/>
      <c r="AC33" s="239"/>
    </row>
    <row r="34" spans="1:29">
      <c r="B34" s="6" t="str">
        <f t="shared" si="7"/>
        <v>4</v>
      </c>
      <c r="C34" s="6">
        <f t="shared" si="8"/>
        <v>4</v>
      </c>
      <c r="D34" s="230" t="s">
        <v>213</v>
      </c>
      <c r="E34" s="223" t="s">
        <v>141</v>
      </c>
      <c r="F34" s="224" t="s">
        <v>182</v>
      </c>
      <c r="G34" s="89" t="s">
        <v>214</v>
      </c>
      <c r="H34" s="49"/>
      <c r="I34" s="60"/>
      <c r="J34" s="49"/>
      <c r="K34" s="49"/>
      <c r="L34" s="6"/>
      <c r="P34" s="6" t="s">
        <v>382</v>
      </c>
      <c r="Q34" s="33" t="str">
        <f t="shared" si="1"/>
        <v>ADD (register) with Aux Carry</v>
      </c>
      <c r="R34" s="33">
        <v>0</v>
      </c>
      <c r="S34" s="188">
        <v>0</v>
      </c>
      <c r="T34" s="190">
        <v>8080</v>
      </c>
      <c r="V34" s="239"/>
      <c r="W34" s="239"/>
      <c r="X34" s="239"/>
      <c r="Y34" s="239"/>
      <c r="Z34" s="239"/>
      <c r="AA34" s="239"/>
      <c r="AB34" s="239"/>
      <c r="AC34" s="239"/>
    </row>
    <row r="35" spans="1:29">
      <c r="B35" s="6" t="str">
        <f t="shared" si="7"/>
        <v>5</v>
      </c>
      <c r="C35" s="6">
        <f t="shared" si="8"/>
        <v>5</v>
      </c>
      <c r="D35" s="230"/>
      <c r="E35" s="223" t="s">
        <v>208</v>
      </c>
      <c r="F35" s="224" t="s">
        <v>182</v>
      </c>
      <c r="G35" s="89"/>
      <c r="H35" s="49" t="s">
        <v>182</v>
      </c>
      <c r="I35" s="60" t="s">
        <v>216</v>
      </c>
      <c r="J35" s="79" t="e" cm="1">
        <f t="array" aca="1" ref="J35" ca="1">RIGHT("00"&amp;INDIRECT("R_"&amp;H35),2)=RIGHT("00"&amp;I35,2)</f>
        <v>#REF!</v>
      </c>
      <c r="K35" s="49"/>
      <c r="L35" s="6"/>
      <c r="P35" s="6" t="s">
        <v>383</v>
      </c>
      <c r="Q35" s="33" t="str">
        <f t="shared" si="1"/>
        <v>ADD (register) with full Carry and Zero</v>
      </c>
      <c r="R35" s="33">
        <v>0</v>
      </c>
      <c r="S35" s="188">
        <v>0</v>
      </c>
      <c r="T35" s="190">
        <v>8080</v>
      </c>
      <c r="V35" s="239"/>
      <c r="W35" s="239"/>
      <c r="X35" s="239"/>
      <c r="Y35" s="239"/>
      <c r="Z35" s="239"/>
      <c r="AA35" s="239"/>
      <c r="AB35" s="239"/>
      <c r="AC35" s="239"/>
    </row>
    <row r="36" spans="1:29">
      <c r="B36" s="6" t="str">
        <f t="shared" si="7"/>
        <v>6</v>
      </c>
      <c r="C36" s="6">
        <f t="shared" si="8"/>
        <v>6</v>
      </c>
      <c r="D36" s="230"/>
      <c r="E36" s="223" t="s">
        <v>184</v>
      </c>
      <c r="F36" s="224"/>
      <c r="G36" s="89"/>
      <c r="H36" s="49"/>
      <c r="I36" s="60"/>
      <c r="J36" s="49"/>
      <c r="K36" s="49"/>
      <c r="L36" s="6"/>
      <c r="P36" s="6" t="s">
        <v>384</v>
      </c>
      <c r="Q36" s="33" t="str">
        <f t="shared" si="1"/>
        <v>ADI (immediate)</v>
      </c>
      <c r="R36" s="33">
        <v>0</v>
      </c>
      <c r="S36" s="188">
        <v>0</v>
      </c>
      <c r="T36" s="190">
        <v>8080</v>
      </c>
    </row>
    <row r="37" spans="1:29" ht="15.75" thickBot="1">
      <c r="D37" s="156"/>
      <c r="E37" s="156"/>
      <c r="F37" s="156"/>
      <c r="G37" s="156"/>
      <c r="H37" s="45"/>
      <c r="J37" s="45"/>
      <c r="K37" s="45"/>
      <c r="P37" s="6" t="s">
        <v>385</v>
      </c>
      <c r="Q37" s="33" t="str">
        <f t="shared" si="1"/>
        <v>ANA (register)</v>
      </c>
      <c r="R37" s="33">
        <v>0</v>
      </c>
      <c r="S37" s="188">
        <v>0</v>
      </c>
      <c r="T37" s="190">
        <v>8080</v>
      </c>
    </row>
    <row r="38" spans="1:29" ht="15.75" thickBot="1">
      <c r="A38" s="20" t="s">
        <v>309</v>
      </c>
      <c r="B38" s="34" t="s">
        <v>136</v>
      </c>
      <c r="C38" s="34" t="s">
        <v>137</v>
      </c>
      <c r="D38" s="228" t="s">
        <v>125</v>
      </c>
      <c r="E38" s="229" t="s">
        <v>142</v>
      </c>
      <c r="F38" s="228" t="s">
        <v>123</v>
      </c>
      <c r="G38" s="228" t="s">
        <v>124</v>
      </c>
      <c r="H38" s="69" t="s">
        <v>204</v>
      </c>
      <c r="I38" s="69" t="s">
        <v>205</v>
      </c>
      <c r="J38" s="46" t="e">
        <f ca="1">IF(AND(J39:J47),0,1)</f>
        <v>#REF!</v>
      </c>
      <c r="K38" s="222" t="s">
        <v>2353</v>
      </c>
      <c r="L38" s="62" t="s">
        <v>232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386</v>
      </c>
      <c r="Q38" s="33" t="str">
        <f t="shared" ref="Q38:Q69" si="9">IFERROR(VLOOKUP(P38,$A$4:$L$1048576,12,0),"")</f>
        <v>ANI (immediate) → Zero case</v>
      </c>
      <c r="R38" s="33">
        <v>0</v>
      </c>
      <c r="S38" s="188">
        <v>0</v>
      </c>
      <c r="T38" s="190">
        <v>8080</v>
      </c>
    </row>
    <row r="39" spans="1:29">
      <c r="B39" s="33" t="str">
        <f t="shared" ref="B39:B43" si="10">DEC2HEX(C39)</f>
        <v>0</v>
      </c>
      <c r="C39" s="33">
        <v>0</v>
      </c>
      <c r="D39" s="230"/>
      <c r="E39" s="223" t="s">
        <v>141</v>
      </c>
      <c r="F39" s="224" t="s">
        <v>146</v>
      </c>
      <c r="G39" s="89" t="s">
        <v>210</v>
      </c>
      <c r="H39" s="48"/>
      <c r="I39" s="75"/>
      <c r="J39" s="49"/>
      <c r="K39" s="48"/>
      <c r="L39" s="33"/>
      <c r="P39" s="6" t="s">
        <v>387</v>
      </c>
      <c r="Q39" s="33" t="str">
        <f t="shared" si="9"/>
        <v>CPI (immediate) → Borrow (A &lt; data)</v>
      </c>
      <c r="R39" s="33">
        <v>0</v>
      </c>
      <c r="S39" s="188">
        <v>0</v>
      </c>
      <c r="T39" s="190">
        <v>8080</v>
      </c>
    </row>
    <row r="40" spans="1:29">
      <c r="B40" s="6" t="str">
        <f t="shared" si="10"/>
        <v>1</v>
      </c>
      <c r="C40" s="6">
        <f>C39+1</f>
        <v>1</v>
      </c>
      <c r="D40" s="230"/>
      <c r="E40" s="223" t="s">
        <v>232</v>
      </c>
      <c r="F40" s="224" t="s">
        <v>146</v>
      </c>
      <c r="G40" s="89"/>
      <c r="H40" s="48" t="s">
        <v>146</v>
      </c>
      <c r="I40" s="75" t="s">
        <v>209</v>
      </c>
      <c r="J40" s="79" t="b" cm="1">
        <f t="array" aca="1" ref="J40" ca="1">RIGHT("00"&amp;INDIRECT("R_"&amp;H40),2)=RIGHT("00"&amp;I40,2)</f>
        <v>0</v>
      </c>
      <c r="K40" s="48"/>
      <c r="L40" s="33"/>
      <c r="P40" s="6" t="s">
        <v>388</v>
      </c>
      <c r="Q40" s="33" t="str">
        <f t="shared" si="9"/>
        <v>ADC r (with carry-in)</v>
      </c>
      <c r="R40" s="33">
        <v>0</v>
      </c>
      <c r="S40" s="188">
        <v>0</v>
      </c>
      <c r="T40" s="190">
        <v>8080</v>
      </c>
    </row>
    <row r="41" spans="1:29">
      <c r="B41" s="6" t="str">
        <f t="shared" si="10"/>
        <v>2</v>
      </c>
      <c r="C41" s="6">
        <f t="shared" ref="C41:C43" si="11">C40+1</f>
        <v>2</v>
      </c>
      <c r="D41" s="230"/>
      <c r="E41" s="223" t="s">
        <v>141</v>
      </c>
      <c r="F41" s="224" t="s">
        <v>144</v>
      </c>
      <c r="G41" s="89" t="s">
        <v>209</v>
      </c>
      <c r="H41" s="48"/>
      <c r="I41" s="75"/>
      <c r="J41" s="49"/>
      <c r="K41" s="48"/>
      <c r="L41" s="33"/>
      <c r="P41" s="6" t="s">
        <v>389</v>
      </c>
      <c r="Q41" s="33" t="str">
        <f t="shared" si="9"/>
        <v>ACI imm (with carry-in)</v>
      </c>
      <c r="R41" s="33">
        <v>0</v>
      </c>
      <c r="S41" s="188">
        <v>0</v>
      </c>
      <c r="T41" s="190">
        <v>8080</v>
      </c>
    </row>
    <row r="42" spans="1:29">
      <c r="B42" s="6" t="str">
        <f t="shared" si="10"/>
        <v>3</v>
      </c>
      <c r="C42" s="6">
        <f t="shared" si="11"/>
        <v>3</v>
      </c>
      <c r="D42" s="230"/>
      <c r="E42" s="223" t="s">
        <v>232</v>
      </c>
      <c r="F42" s="224" t="s">
        <v>144</v>
      </c>
      <c r="G42" s="89"/>
      <c r="H42" s="48" t="s">
        <v>144</v>
      </c>
      <c r="I42" s="75" t="s">
        <v>140</v>
      </c>
      <c r="J42" s="79" t="e" cm="1">
        <f t="array" aca="1" ref="J42" ca="1">RIGHT("00"&amp;INDIRECT("R_"&amp;H42),2)=RIGHT("00"&amp;I42,2)</f>
        <v>#REF!</v>
      </c>
      <c r="K42" s="48"/>
      <c r="L42" s="33"/>
      <c r="P42" s="6" t="s">
        <v>390</v>
      </c>
      <c r="Q42" s="33" t="str">
        <f t="shared" si="9"/>
        <v>SUB r (AC borrow)</v>
      </c>
      <c r="R42" s="33">
        <v>0</v>
      </c>
      <c r="S42" s="188">
        <v>0</v>
      </c>
      <c r="T42" s="190">
        <v>8080</v>
      </c>
    </row>
    <row r="43" spans="1:29">
      <c r="B43" s="6" t="str">
        <f t="shared" si="10"/>
        <v>4</v>
      </c>
      <c r="C43" s="6">
        <f t="shared" si="11"/>
        <v>4</v>
      </c>
      <c r="D43" s="230"/>
      <c r="E43" s="223" t="s">
        <v>141</v>
      </c>
      <c r="F43" s="224" t="s">
        <v>182</v>
      </c>
      <c r="G43" s="89" t="s">
        <v>231</v>
      </c>
      <c r="H43" s="48"/>
      <c r="I43" s="75"/>
      <c r="J43" s="49"/>
      <c r="K43" s="48"/>
      <c r="L43" s="33"/>
      <c r="P43" s="6" t="s">
        <v>391</v>
      </c>
      <c r="Q43" s="33" t="str">
        <f t="shared" si="9"/>
        <v>SUI imm (borrow -&gt; CY=1)</v>
      </c>
      <c r="R43" s="33">
        <v>0</v>
      </c>
      <c r="S43" s="188">
        <v>0</v>
      </c>
      <c r="T43" s="190">
        <v>8080</v>
      </c>
    </row>
    <row r="44" spans="1:29">
      <c r="B44" s="6" t="str">
        <f t="shared" ref="B44:B47" si="12">DEC2HEX(C44)</f>
        <v>5</v>
      </c>
      <c r="C44" s="6">
        <f>C43+1</f>
        <v>5</v>
      </c>
      <c r="D44" s="230"/>
      <c r="E44" s="223" t="s">
        <v>232</v>
      </c>
      <c r="F44" s="224" t="s">
        <v>182</v>
      </c>
      <c r="G44" s="89"/>
      <c r="H44" s="48" t="s">
        <v>182</v>
      </c>
      <c r="I44" s="75" t="s">
        <v>263</v>
      </c>
      <c r="J44" s="79" t="e" cm="1">
        <f t="array" aca="1" ref="J44" ca="1">RIGHT("00"&amp;INDIRECT("R_"&amp;H44),2)=RIGHT("00"&amp;I44,2)</f>
        <v>#REF!</v>
      </c>
      <c r="K44" s="48"/>
      <c r="L44" s="33"/>
      <c r="P44" s="6" t="s">
        <v>433</v>
      </c>
      <c r="Q44" s="33" t="str">
        <f t="shared" si="9"/>
        <v>SBB r (includes carry)</v>
      </c>
      <c r="R44" s="33">
        <v>0</v>
      </c>
      <c r="S44" s="188">
        <v>0</v>
      </c>
      <c r="T44" s="190">
        <v>8080</v>
      </c>
    </row>
    <row r="45" spans="1:29">
      <c r="B45" s="6" t="str">
        <f t="shared" si="12"/>
        <v>6</v>
      </c>
      <c r="C45" s="6">
        <f>C44+1</f>
        <v>6</v>
      </c>
      <c r="D45" s="230"/>
      <c r="E45" s="223" t="s">
        <v>141</v>
      </c>
      <c r="F45" s="224" t="s">
        <v>183</v>
      </c>
      <c r="G45" s="89" t="s">
        <v>233</v>
      </c>
      <c r="H45" s="48"/>
      <c r="I45" s="75"/>
      <c r="J45" s="49"/>
      <c r="K45" s="48"/>
      <c r="L45" s="33"/>
      <c r="P45" s="6" t="s">
        <v>434</v>
      </c>
      <c r="Q45" s="33" t="str">
        <f t="shared" si="9"/>
        <v>SBI imm (includes carry)</v>
      </c>
      <c r="R45" s="33">
        <v>0</v>
      </c>
      <c r="S45" s="188">
        <v>0</v>
      </c>
      <c r="T45" s="190">
        <v>8080</v>
      </c>
    </row>
    <row r="46" spans="1:29">
      <c r="B46" s="6" t="str">
        <f t="shared" si="12"/>
        <v>7</v>
      </c>
      <c r="C46" s="6">
        <f>C45+1</f>
        <v>7</v>
      </c>
      <c r="D46" s="230"/>
      <c r="E46" s="223" t="s">
        <v>232</v>
      </c>
      <c r="F46" s="224" t="s">
        <v>183</v>
      </c>
      <c r="G46" s="89"/>
      <c r="H46" s="48" t="s">
        <v>183</v>
      </c>
      <c r="I46" s="75" t="s">
        <v>234</v>
      </c>
      <c r="J46" s="79" t="e" cm="1">
        <f t="array" aca="1" ref="J46" ca="1">RIGHT("00"&amp;INDIRECT("R_"&amp;H46),2)=RIGHT("00"&amp;I46,2)</f>
        <v>#REF!</v>
      </c>
      <c r="K46" s="48"/>
      <c r="L46" s="33"/>
      <c r="P46" s="6" t="s">
        <v>435</v>
      </c>
      <c r="Q46" s="33" t="str">
        <f t="shared" si="9"/>
        <v>XRA r (clears CY/AC)</v>
      </c>
      <c r="R46" s="33">
        <v>0</v>
      </c>
      <c r="S46" s="188">
        <v>0</v>
      </c>
      <c r="T46" s="190">
        <v>8080</v>
      </c>
    </row>
    <row r="47" spans="1:29">
      <c r="B47" s="6" t="str">
        <f t="shared" si="12"/>
        <v>8</v>
      </c>
      <c r="C47" s="6">
        <f>C46+1</f>
        <v>8</v>
      </c>
      <c r="D47" s="230"/>
      <c r="E47" s="223" t="s">
        <v>184</v>
      </c>
      <c r="F47" s="224"/>
      <c r="G47" s="89"/>
      <c r="H47" s="48"/>
      <c r="I47" s="75"/>
      <c r="J47" s="49"/>
      <c r="K47" s="48"/>
      <c r="L47" s="33"/>
      <c r="P47" s="6" t="s">
        <v>436</v>
      </c>
      <c r="Q47" s="33" t="str">
        <f t="shared" si="9"/>
        <v>XRI imm</v>
      </c>
      <c r="R47" s="33">
        <v>0</v>
      </c>
      <c r="S47" s="188">
        <v>0</v>
      </c>
      <c r="T47" s="190">
        <v>8080</v>
      </c>
    </row>
    <row r="48" spans="1:29" ht="15.75" thickBot="1">
      <c r="D48" s="156"/>
      <c r="E48" s="156"/>
      <c r="F48" s="156"/>
      <c r="G48" s="156"/>
      <c r="H48" s="45"/>
      <c r="J48" s="45"/>
      <c r="K48" s="45"/>
      <c r="P48" s="6" t="s">
        <v>437</v>
      </c>
      <c r="Q48" s="33" t="str">
        <f t="shared" si="9"/>
        <v>RLC + RRC carry behavior</v>
      </c>
      <c r="R48" s="33">
        <v>0</v>
      </c>
      <c r="S48" s="188">
        <v>0</v>
      </c>
      <c r="T48" s="190">
        <v>8080</v>
      </c>
    </row>
    <row r="49" spans="1:20" ht="15.75" thickBot="1">
      <c r="A49" s="20" t="s">
        <v>311</v>
      </c>
      <c r="B49" s="34" t="s">
        <v>136</v>
      </c>
      <c r="C49" s="34" t="s">
        <v>137</v>
      </c>
      <c r="D49" s="228" t="s">
        <v>125</v>
      </c>
      <c r="E49" s="229" t="s">
        <v>142</v>
      </c>
      <c r="F49" s="228" t="s">
        <v>123</v>
      </c>
      <c r="G49" s="228" t="s">
        <v>124</v>
      </c>
      <c r="H49" s="69" t="s">
        <v>204</v>
      </c>
      <c r="I49" s="69" t="s">
        <v>205</v>
      </c>
      <c r="J49" s="46">
        <f ca="1">IF(AND(J50:J55),0,1)</f>
        <v>1</v>
      </c>
      <c r="K49" s="222" t="s">
        <v>2353</v>
      </c>
      <c r="L49" s="62" t="s">
        <v>254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438</v>
      </c>
      <c r="Q49" s="33" t="str">
        <f t="shared" si="9"/>
        <v>RAL + RAR through carry</v>
      </c>
      <c r="R49" s="33">
        <v>0</v>
      </c>
      <c r="S49" s="188">
        <v>0</v>
      </c>
      <c r="T49" s="190">
        <v>8080</v>
      </c>
    </row>
    <row r="50" spans="1:20">
      <c r="B50" s="33" t="str">
        <f t="shared" ref="B50:B51" si="13">DEC2HEX(C50)</f>
        <v>0</v>
      </c>
      <c r="C50" s="33">
        <v>0</v>
      </c>
      <c r="D50" s="230"/>
      <c r="E50" s="223" t="s">
        <v>141</v>
      </c>
      <c r="F50" s="224" t="s">
        <v>146</v>
      </c>
      <c r="G50" s="89">
        <v>1</v>
      </c>
      <c r="H50" s="48"/>
      <c r="I50" s="75"/>
      <c r="J50" s="49"/>
      <c r="K50" s="48"/>
      <c r="L50" s="33" t="s">
        <v>246</v>
      </c>
      <c r="P50" s="6" t="s">
        <v>439</v>
      </c>
      <c r="Q50" s="33" t="str">
        <f t="shared" si="9"/>
        <v>CMA (flags unaffected)</v>
      </c>
      <c r="R50" s="33">
        <v>0</v>
      </c>
      <c r="S50" s="188">
        <v>0</v>
      </c>
      <c r="T50" s="190">
        <v>8080</v>
      </c>
    </row>
    <row r="51" spans="1:20">
      <c r="B51" s="6" t="str">
        <f t="shared" si="13"/>
        <v>1</v>
      </c>
      <c r="C51" s="6">
        <f>C50+1</f>
        <v>1</v>
      </c>
      <c r="D51" s="230"/>
      <c r="E51" s="223" t="s">
        <v>232</v>
      </c>
      <c r="F51" s="224" t="s">
        <v>146</v>
      </c>
      <c r="G51" s="89"/>
      <c r="H51" s="48" t="s">
        <v>146</v>
      </c>
      <c r="I51" s="75" t="s">
        <v>209</v>
      </c>
      <c r="J51" s="79" t="b" cm="1">
        <f t="array" aca="1" ref="J51" ca="1">RIGHT("00"&amp;INDIRECT("R_"&amp;H51),2)=RIGHT("00"&amp;I51,2)</f>
        <v>0</v>
      </c>
      <c r="K51" s="48"/>
      <c r="L51" s="33" t="s">
        <v>247</v>
      </c>
      <c r="P51" s="6" t="s">
        <v>440</v>
      </c>
      <c r="Q51" s="33" t="str">
        <f t="shared" si="9"/>
        <v>STC then CMC toggle</v>
      </c>
      <c r="R51" s="33">
        <v>0</v>
      </c>
      <c r="S51" s="188">
        <v>0</v>
      </c>
      <c r="T51" s="190">
        <v>8080</v>
      </c>
    </row>
    <row r="52" spans="1:20">
      <c r="B52" s="6" t="str">
        <f t="shared" ref="B52:B55" si="14">DEC2HEX(C52)</f>
        <v>2</v>
      </c>
      <c r="C52" s="6">
        <f t="shared" ref="C52:C55" si="15">C51+1</f>
        <v>2</v>
      </c>
      <c r="D52" s="230"/>
      <c r="E52" s="223" t="s">
        <v>248</v>
      </c>
      <c r="F52" s="224" t="s">
        <v>249</v>
      </c>
      <c r="G52" s="89"/>
      <c r="H52" s="48" t="s">
        <v>266</v>
      </c>
      <c r="I52" s="48">
        <v>1</v>
      </c>
      <c r="J52" s="81" t="b" cm="1">
        <f t="array" aca="1" ref="J52" ca="1">INDIRECT(H52)=I52</f>
        <v>0</v>
      </c>
      <c r="K52" s="48"/>
      <c r="L52" s="33" t="s">
        <v>250</v>
      </c>
      <c r="P52" s="6" t="s">
        <v>441</v>
      </c>
      <c r="Q52" s="33" t="str">
        <f t="shared" si="9"/>
        <v>INX/DCX + DAD</v>
      </c>
      <c r="R52" s="33">
        <v>0</v>
      </c>
      <c r="S52" s="188">
        <v>0</v>
      </c>
      <c r="T52" s="190">
        <v>8080</v>
      </c>
    </row>
    <row r="53" spans="1:20">
      <c r="B53" s="6" t="str">
        <f t="shared" si="14"/>
        <v>3</v>
      </c>
      <c r="C53" s="6">
        <f t="shared" si="15"/>
        <v>3</v>
      </c>
      <c r="D53" s="230"/>
      <c r="E53" s="223" t="s">
        <v>108</v>
      </c>
      <c r="F53" s="224"/>
      <c r="G53" s="89"/>
      <c r="H53" s="48"/>
      <c r="I53" s="48"/>
      <c r="J53" s="49"/>
      <c r="K53" s="48"/>
      <c r="L53" s="33"/>
      <c r="P53" s="6" t="s">
        <v>467</v>
      </c>
      <c r="Q53" s="33" t="str">
        <f t="shared" si="9"/>
        <v>DAA (09+09 =&gt; 18 BCD)</v>
      </c>
      <c r="R53" s="33">
        <v>0</v>
      </c>
      <c r="S53" s="188">
        <v>0</v>
      </c>
      <c r="T53" s="190">
        <v>8080</v>
      </c>
    </row>
    <row r="54" spans="1:20">
      <c r="B54" s="6" t="str">
        <f t="shared" si="14"/>
        <v>4</v>
      </c>
      <c r="C54" s="6">
        <f t="shared" si="15"/>
        <v>4</v>
      </c>
      <c r="D54" s="230" t="s">
        <v>249</v>
      </c>
      <c r="E54" s="223" t="s">
        <v>141</v>
      </c>
      <c r="F54" s="224" t="s">
        <v>144</v>
      </c>
      <c r="G54" s="89">
        <v>5</v>
      </c>
      <c r="H54" s="48" t="s">
        <v>144</v>
      </c>
      <c r="I54" s="75" t="s">
        <v>253</v>
      </c>
      <c r="J54" s="49"/>
      <c r="K54" s="48"/>
      <c r="L54" s="33" t="s">
        <v>251</v>
      </c>
      <c r="P54" s="6" t="s">
        <v>468</v>
      </c>
      <c r="Q54" s="33" t="str">
        <f t="shared" si="9"/>
        <v>XCHG swap DE &lt;-&gt; HL</v>
      </c>
      <c r="R54" s="33">
        <v>0</v>
      </c>
      <c r="S54" s="188">
        <v>0</v>
      </c>
      <c r="T54" s="190">
        <v>8080</v>
      </c>
    </row>
    <row r="55" spans="1:20">
      <c r="B55" s="6" t="str">
        <f t="shared" si="14"/>
        <v>5</v>
      </c>
      <c r="C55" s="6">
        <f t="shared" si="15"/>
        <v>5</v>
      </c>
      <c r="D55" s="230"/>
      <c r="E55" s="223" t="s">
        <v>184</v>
      </c>
      <c r="F55" s="224"/>
      <c r="G55" s="89"/>
      <c r="H55" s="48"/>
      <c r="I55" s="75"/>
      <c r="J55" s="49"/>
      <c r="K55" s="48"/>
      <c r="L55" s="33" t="s">
        <v>252</v>
      </c>
      <c r="P55" s="6" t="s">
        <v>469</v>
      </c>
      <c r="Q55" s="33" t="str">
        <f t="shared" si="9"/>
        <v>SPHL (SP=HL)</v>
      </c>
      <c r="R55" s="33">
        <v>0</v>
      </c>
      <c r="S55" s="188">
        <v>0</v>
      </c>
      <c r="T55" s="190">
        <v>8080</v>
      </c>
    </row>
    <row r="56" spans="1:20" ht="15.75" thickBot="1">
      <c r="D56" s="156"/>
      <c r="E56" s="156"/>
      <c r="F56" s="156"/>
      <c r="G56" s="156"/>
      <c r="P56" s="6" t="s">
        <v>470</v>
      </c>
      <c r="Q56" s="33" t="str">
        <f t="shared" si="9"/>
        <v>PCHL jump via HL</v>
      </c>
      <c r="R56" s="33">
        <v>0</v>
      </c>
      <c r="S56" s="188">
        <v>0</v>
      </c>
      <c r="T56" s="190">
        <v>8080</v>
      </c>
    </row>
    <row r="57" spans="1:20" ht="15.75" thickBot="1">
      <c r="A57" s="20" t="s">
        <v>312</v>
      </c>
      <c r="B57" s="34" t="s">
        <v>136</v>
      </c>
      <c r="C57" s="34" t="s">
        <v>137</v>
      </c>
      <c r="D57" s="228" t="s">
        <v>125</v>
      </c>
      <c r="E57" s="229" t="s">
        <v>142</v>
      </c>
      <c r="F57" s="228" t="s">
        <v>123</v>
      </c>
      <c r="G57" s="228" t="s">
        <v>124</v>
      </c>
      <c r="H57" s="69" t="s">
        <v>204</v>
      </c>
      <c r="I57" s="69" t="s">
        <v>205</v>
      </c>
      <c r="J57" s="46" t="e">
        <f ca="1">IF(AND(J58:J64),0,1)</f>
        <v>#REF!</v>
      </c>
      <c r="K57" s="222" t="s">
        <v>2353</v>
      </c>
      <c r="L57" s="62" t="s">
        <v>255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471</v>
      </c>
      <c r="Q57" s="33" t="str">
        <f t="shared" si="9"/>
        <v>CZ + RZ (conditional call/ret)</v>
      </c>
      <c r="R57" s="33">
        <v>0</v>
      </c>
      <c r="S57" s="188">
        <v>0</v>
      </c>
      <c r="T57" s="190">
        <v>8080</v>
      </c>
    </row>
    <row r="58" spans="1:20">
      <c r="B58" s="33" t="str">
        <f t="shared" ref="B58:B60" si="16">DEC2HEX(C58)</f>
        <v>0</v>
      </c>
      <c r="C58" s="33">
        <v>0</v>
      </c>
      <c r="D58" s="230"/>
      <c r="E58" s="223" t="s">
        <v>141</v>
      </c>
      <c r="F58" s="224" t="s">
        <v>146</v>
      </c>
      <c r="G58" s="89" t="s">
        <v>209</v>
      </c>
      <c r="H58" s="48"/>
      <c r="I58" s="75"/>
      <c r="J58" s="49"/>
      <c r="K58" s="48"/>
      <c r="L58" s="33" t="s">
        <v>246</v>
      </c>
      <c r="P58" s="6" t="s">
        <v>472</v>
      </c>
      <c r="Q58" s="33" t="str">
        <f t="shared" si="9"/>
        <v>PRI Test</v>
      </c>
      <c r="R58" s="33">
        <v>0</v>
      </c>
      <c r="S58" s="188">
        <v>0</v>
      </c>
      <c r="T58" s="190">
        <v>8080</v>
      </c>
    </row>
    <row r="59" spans="1:20">
      <c r="B59" s="6" t="str">
        <f t="shared" si="16"/>
        <v>1</v>
      </c>
      <c r="C59" s="6">
        <f>C58+1</f>
        <v>1</v>
      </c>
      <c r="D59" s="230"/>
      <c r="E59" s="223" t="s">
        <v>141</v>
      </c>
      <c r="F59" s="224" t="s">
        <v>144</v>
      </c>
      <c r="G59" s="89" t="s">
        <v>209</v>
      </c>
      <c r="H59" s="48" t="s">
        <v>144</v>
      </c>
      <c r="I59" s="75" t="s">
        <v>209</v>
      </c>
      <c r="J59" s="79" t="e" cm="1">
        <f t="array" aca="1" ref="J59" ca="1">RIGHT("00"&amp;INDIRECT("R_"&amp;H59),2)=RIGHT("00"&amp;I59,2)</f>
        <v>#REF!</v>
      </c>
      <c r="K59" s="48"/>
      <c r="L59" s="33"/>
      <c r="P59" s="6" t="s">
        <v>983</v>
      </c>
      <c r="Q59" s="33" t="str">
        <f t="shared" si="9"/>
        <v>PRT Test</v>
      </c>
      <c r="R59" s="33">
        <v>0</v>
      </c>
      <c r="S59" s="188">
        <v>0</v>
      </c>
      <c r="T59" s="190">
        <v>8080</v>
      </c>
    </row>
    <row r="60" spans="1:20">
      <c r="B60" s="6" t="str">
        <f t="shared" si="16"/>
        <v>2</v>
      </c>
      <c r="C60" s="6">
        <f t="shared" ref="C60" si="17">C59+1</f>
        <v>2</v>
      </c>
      <c r="D60" s="230"/>
      <c r="E60" s="223" t="s">
        <v>208</v>
      </c>
      <c r="F60" s="224" t="s">
        <v>146</v>
      </c>
      <c r="G60" s="89"/>
      <c r="H60" s="48" t="s">
        <v>146</v>
      </c>
      <c r="I60" s="75" t="s">
        <v>210</v>
      </c>
      <c r="J60" s="79" t="b" cm="1">
        <f t="array" aca="1" ref="J60" ca="1">RIGHT("00"&amp;INDIRECT("R_"&amp;H60),2)=RIGHT("00"&amp;I60,2)</f>
        <v>0</v>
      </c>
      <c r="K60" s="48"/>
      <c r="L60" s="33" t="s">
        <v>256</v>
      </c>
      <c r="P60" s="6" t="s">
        <v>995</v>
      </c>
      <c r="Q60" s="33" t="str">
        <f t="shared" si="9"/>
        <v>IN / OUT / Switch / Light</v>
      </c>
      <c r="R60" s="33">
        <v>0</v>
      </c>
      <c r="S60" s="188">
        <v>0</v>
      </c>
      <c r="T60" s="190">
        <v>8080</v>
      </c>
    </row>
    <row r="61" spans="1:20">
      <c r="B61" s="6" t="str">
        <f t="shared" ref="B61:B64" si="18">DEC2HEX(C61)</f>
        <v>3</v>
      </c>
      <c r="C61" s="6">
        <f t="shared" ref="C61:C64" si="19">C60+1</f>
        <v>3</v>
      </c>
      <c r="D61" s="230"/>
      <c r="E61" s="223" t="s">
        <v>248</v>
      </c>
      <c r="F61" s="224" t="s">
        <v>249</v>
      </c>
      <c r="G61" s="89"/>
      <c r="H61" s="48" t="s">
        <v>266</v>
      </c>
      <c r="I61" s="48">
        <v>0</v>
      </c>
      <c r="J61" s="81" t="b" cm="1">
        <f t="array" aca="1" ref="J61" ca="1">INDIRECT(H61)=I61</f>
        <v>1</v>
      </c>
      <c r="K61" s="48"/>
      <c r="L61" s="33" t="s">
        <v>250</v>
      </c>
      <c r="P61" s="6" t="s">
        <v>1013</v>
      </c>
      <c r="Q61" s="33" t="str">
        <f t="shared" si="9"/>
        <v>MOV M</v>
      </c>
      <c r="R61" s="33">
        <v>0</v>
      </c>
      <c r="S61" s="188">
        <v>0</v>
      </c>
      <c r="T61" s="190">
        <v>8080</v>
      </c>
    </row>
    <row r="62" spans="1:20">
      <c r="B62" s="6" t="str">
        <f t="shared" si="18"/>
        <v>4</v>
      </c>
      <c r="C62" s="6">
        <f t="shared" si="19"/>
        <v>4</v>
      </c>
      <c r="D62" s="230"/>
      <c r="E62" s="223" t="s">
        <v>184</v>
      </c>
      <c r="F62" s="224"/>
      <c r="G62" s="89"/>
      <c r="H62" s="48"/>
      <c r="I62" s="48"/>
      <c r="J62" s="49"/>
      <c r="K62" s="48"/>
      <c r="L62" s="33"/>
      <c r="P62" s="6" t="s">
        <v>1014</v>
      </c>
      <c r="Q62" s="33" t="str">
        <f t="shared" si="9"/>
        <v>MOV M with Carry</v>
      </c>
      <c r="R62" s="33">
        <v>0</v>
      </c>
      <c r="S62" s="188">
        <v>0</v>
      </c>
      <c r="T62" s="190">
        <v>8080</v>
      </c>
    </row>
    <row r="63" spans="1:20">
      <c r="B63" s="6" t="str">
        <f t="shared" si="18"/>
        <v>5</v>
      </c>
      <c r="C63" s="6">
        <f t="shared" si="19"/>
        <v>5</v>
      </c>
      <c r="D63" s="230" t="s">
        <v>249</v>
      </c>
      <c r="E63" s="223" t="s">
        <v>141</v>
      </c>
      <c r="F63" s="224" t="s">
        <v>144</v>
      </c>
      <c r="G63" s="89">
        <v>5</v>
      </c>
      <c r="H63" s="48" t="s">
        <v>144</v>
      </c>
      <c r="I63" s="75">
        <v>0</v>
      </c>
      <c r="J63" s="79" t="e" cm="1">
        <f t="array" aca="1" ref="J63" ca="1">RIGHT("00"&amp;INDIRECT("R_"&amp;H63),2)=RIGHT("00"&amp;I63,2)</f>
        <v>#REF!</v>
      </c>
      <c r="K63" s="48"/>
      <c r="L63" s="33" t="s">
        <v>251</v>
      </c>
      <c r="P63" s="6" t="s">
        <v>1053</v>
      </c>
      <c r="Q63" s="33" t="str">
        <f t="shared" si="9"/>
        <v>DAA carry case: 99 + 99 → 98 with carry</v>
      </c>
      <c r="R63" s="33">
        <v>0</v>
      </c>
      <c r="S63" s="188">
        <v>0</v>
      </c>
      <c r="T63" s="190">
        <v>8080</v>
      </c>
    </row>
    <row r="64" spans="1:20">
      <c r="B64" s="6" t="str">
        <f t="shared" si="18"/>
        <v>6</v>
      </c>
      <c r="C64" s="6">
        <f t="shared" si="19"/>
        <v>6</v>
      </c>
      <c r="D64" s="230"/>
      <c r="E64" s="223" t="s">
        <v>108</v>
      </c>
      <c r="F64" s="224"/>
      <c r="G64" s="89"/>
      <c r="H64" s="48"/>
      <c r="I64" s="48"/>
      <c r="J64" s="49"/>
      <c r="K64" s="48"/>
      <c r="L64" s="33" t="s">
        <v>257</v>
      </c>
      <c r="P64" s="6" t="s">
        <v>1056</v>
      </c>
      <c r="Q64" s="33" t="str">
        <f t="shared" si="9"/>
        <v>DAA 15+27 =&gt; 42</v>
      </c>
      <c r="R64" s="33">
        <v>0</v>
      </c>
      <c r="S64" s="188">
        <v>0</v>
      </c>
      <c r="T64" s="190">
        <v>8080</v>
      </c>
    </row>
    <row r="65" spans="1:20" ht="15.75" thickBot="1">
      <c r="D65" s="156"/>
      <c r="E65" s="156"/>
      <c r="F65" s="156"/>
      <c r="G65" s="156"/>
      <c r="H65" s="45"/>
      <c r="J65" s="45"/>
      <c r="K65" s="45"/>
      <c r="P65" s="6" t="s">
        <v>1057</v>
      </c>
      <c r="Q65" s="33" t="str">
        <f t="shared" si="9"/>
        <v>DAA 09+01 =&gt; 10</v>
      </c>
      <c r="R65" s="33">
        <v>0</v>
      </c>
      <c r="S65" s="188">
        <v>0</v>
      </c>
      <c r="T65" s="190">
        <v>8080</v>
      </c>
    </row>
    <row r="66" spans="1:20" ht="15.75" thickBot="1">
      <c r="A66" s="20" t="s">
        <v>313</v>
      </c>
      <c r="B66" s="34" t="s">
        <v>136</v>
      </c>
      <c r="C66" s="34" t="s">
        <v>137</v>
      </c>
      <c r="D66" s="228" t="s">
        <v>125</v>
      </c>
      <c r="E66" s="229" t="s">
        <v>142</v>
      </c>
      <c r="F66" s="228" t="s">
        <v>123</v>
      </c>
      <c r="G66" s="228" t="s">
        <v>124</v>
      </c>
      <c r="H66" s="47" t="s">
        <v>245</v>
      </c>
      <c r="I66" s="69" t="s">
        <v>205</v>
      </c>
      <c r="J66" s="46" t="e">
        <f ca="1">IF(AND(J67:J72),0,1)</f>
        <v>#REF!</v>
      </c>
      <c r="K66" s="222" t="s">
        <v>2353</v>
      </c>
      <c r="L66" s="62" t="s">
        <v>268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1058</v>
      </c>
      <c r="Q66" s="33" t="str">
        <f t="shared" si="9"/>
        <v>STA + LDA round-trip (direct)</v>
      </c>
      <c r="R66" s="33">
        <v>0</v>
      </c>
      <c r="S66" s="188">
        <v>0</v>
      </c>
      <c r="T66" s="190">
        <v>8080</v>
      </c>
    </row>
    <row r="67" spans="1:20">
      <c r="B67" s="33" t="str">
        <f t="shared" ref="B67:B69" si="20">DEC2HEX(C67)</f>
        <v>0</v>
      </c>
      <c r="C67" s="33">
        <v>0</v>
      </c>
      <c r="D67" s="230"/>
      <c r="E67" s="223" t="s">
        <v>141</v>
      </c>
      <c r="F67" s="224" t="s">
        <v>146</v>
      </c>
      <c r="G67" s="89" t="s">
        <v>263</v>
      </c>
      <c r="H67" s="48" t="s">
        <v>146</v>
      </c>
      <c r="I67" s="48" t="s">
        <v>140</v>
      </c>
      <c r="J67" s="49"/>
      <c r="K67" s="48"/>
      <c r="L67" s="33"/>
      <c r="P67" s="6" t="s">
        <v>1059</v>
      </c>
      <c r="Q67" s="33" t="str">
        <f t="shared" si="9"/>
        <v>SHLD + LHLD round-trip (direct)</v>
      </c>
      <c r="R67" s="33">
        <v>0</v>
      </c>
      <c r="S67" s="188">
        <v>0</v>
      </c>
      <c r="T67" s="190">
        <v>8080</v>
      </c>
    </row>
    <row r="68" spans="1:20">
      <c r="B68" s="6" t="str">
        <f t="shared" si="20"/>
        <v>1</v>
      </c>
      <c r="C68" s="6">
        <f>C67+1</f>
        <v>1</v>
      </c>
      <c r="D68" s="230"/>
      <c r="E68" s="223" t="s">
        <v>141</v>
      </c>
      <c r="F68" s="224" t="s">
        <v>144</v>
      </c>
      <c r="G68" s="89" t="s">
        <v>264</v>
      </c>
      <c r="H68" s="48"/>
      <c r="I68" s="75"/>
      <c r="J68" s="49"/>
      <c r="K68" s="48"/>
      <c r="L68" s="33"/>
      <c r="P68" s="6" t="s">
        <v>1060</v>
      </c>
      <c r="Q68" s="33" t="str">
        <f t="shared" si="9"/>
        <v>STAX/LDAX via BC</v>
      </c>
      <c r="R68" s="33">
        <v>0</v>
      </c>
      <c r="S68" s="188">
        <v>0</v>
      </c>
      <c r="T68" s="190">
        <v>8080</v>
      </c>
    </row>
    <row r="69" spans="1:20">
      <c r="B69" s="6" t="str">
        <f t="shared" si="20"/>
        <v>2</v>
      </c>
      <c r="C69" s="6">
        <f t="shared" ref="C69" si="21">C68+1</f>
        <v>2</v>
      </c>
      <c r="D69" s="230"/>
      <c r="E69" s="223" t="s">
        <v>262</v>
      </c>
      <c r="F69" s="224" t="s">
        <v>144</v>
      </c>
      <c r="G69" s="89"/>
      <c r="H69" s="48" t="s">
        <v>144</v>
      </c>
      <c r="I69" s="48" t="s">
        <v>140</v>
      </c>
      <c r="J69" s="79" t="e" cm="1">
        <f t="array" aca="1" ref="J69" ca="1">RIGHT("00"&amp;INDIRECT("R_"&amp;H69),2)=RIGHT("00"&amp;I69,2)</f>
        <v>#REF!</v>
      </c>
      <c r="K69" s="48"/>
      <c r="L69" s="33"/>
      <c r="P69" s="6" t="s">
        <v>1061</v>
      </c>
      <c r="Q69" s="33" t="str">
        <f t="shared" si="9"/>
        <v>STAX/LDAX via DE</v>
      </c>
      <c r="R69" s="33">
        <v>0</v>
      </c>
      <c r="S69" s="188">
        <v>0</v>
      </c>
      <c r="T69" s="190">
        <v>8080</v>
      </c>
    </row>
    <row r="70" spans="1:20">
      <c r="B70" s="6" t="str">
        <f t="shared" ref="B70:B72" si="22">DEC2HEX(C70)</f>
        <v>3</v>
      </c>
      <c r="C70" s="6">
        <f t="shared" ref="C70:C72" si="23">C69+1</f>
        <v>3</v>
      </c>
      <c r="D70" s="230"/>
      <c r="E70" s="223" t="s">
        <v>181</v>
      </c>
      <c r="F70" s="224" t="s">
        <v>144</v>
      </c>
      <c r="G70" s="89" t="s">
        <v>146</v>
      </c>
      <c r="H70" s="48" t="s">
        <v>115</v>
      </c>
      <c r="I70" s="75">
        <v>0</v>
      </c>
      <c r="J70" s="81" t="b" cm="1">
        <f t="array" aca="1" ref="J70" ca="1">INDIRECT(H70)=I70</f>
        <v>0</v>
      </c>
      <c r="K70" s="48"/>
      <c r="L70" s="33"/>
      <c r="P70" s="6" t="s">
        <v>1062</v>
      </c>
      <c r="Q70" s="33" t="str">
        <f t="shared" ref="Q70:Q101" si="24">IFERROR(VLOOKUP(P70,$A$4:$L$1048576,12,0),"")</f>
        <v>XTHL swaps HL with (SP),(SP+1)</v>
      </c>
      <c r="R70" s="33">
        <v>0</v>
      </c>
      <c r="S70" s="188">
        <v>0</v>
      </c>
      <c r="T70" s="190">
        <v>8080</v>
      </c>
    </row>
    <row r="71" spans="1:20">
      <c r="B71" s="6" t="str">
        <f t="shared" si="22"/>
        <v>4</v>
      </c>
      <c r="C71" s="6">
        <f t="shared" si="23"/>
        <v>4</v>
      </c>
      <c r="D71" s="230"/>
      <c r="E71" s="223" t="s">
        <v>184</v>
      </c>
      <c r="F71" s="224"/>
      <c r="G71" s="89"/>
      <c r="H71" s="48" t="s">
        <v>120</v>
      </c>
      <c r="I71" s="75">
        <v>1</v>
      </c>
      <c r="J71" s="81" t="e" cm="1">
        <f t="array" aca="1" ref="J71" ca="1">INDIRECT(H71)=I71</f>
        <v>#REF!</v>
      </c>
      <c r="K71" s="48"/>
      <c r="L71" s="33"/>
      <c r="P71" s="6" t="s">
        <v>1063</v>
      </c>
      <c r="Q71" s="33" t="str">
        <f t="shared" si="24"/>
        <v>CC (call if carry) taken</v>
      </c>
      <c r="R71" s="33">
        <v>0</v>
      </c>
      <c r="S71" s="188">
        <v>0</v>
      </c>
      <c r="T71" s="190">
        <v>8080</v>
      </c>
    </row>
    <row r="72" spans="1:20">
      <c r="B72" s="6" t="str">
        <f t="shared" si="22"/>
        <v>5</v>
      </c>
      <c r="C72" s="6">
        <f t="shared" si="23"/>
        <v>5</v>
      </c>
      <c r="D72" s="230"/>
      <c r="E72" s="223"/>
      <c r="F72" s="224"/>
      <c r="G72" s="89"/>
      <c r="H72" s="48" t="s">
        <v>119</v>
      </c>
      <c r="I72" s="75">
        <v>0</v>
      </c>
      <c r="J72" s="81" t="b" cm="1">
        <f t="array" aca="1" ref="J72" ca="1">INDIRECT(H72)=I72</f>
        <v>1</v>
      </c>
      <c r="K72" s="48"/>
      <c r="L72" s="33"/>
      <c r="P72" s="6" t="s">
        <v>1064</v>
      </c>
      <c r="Q72" s="33" t="str">
        <f t="shared" si="24"/>
        <v>CNC (call if no carry) taken</v>
      </c>
      <c r="R72" s="33">
        <v>0</v>
      </c>
      <c r="S72" s="188">
        <v>0</v>
      </c>
      <c r="T72" s="190">
        <v>8080</v>
      </c>
    </row>
    <row r="73" spans="1:20" ht="15.75" thickBot="1">
      <c r="D73" s="156"/>
      <c r="E73" s="156"/>
      <c r="F73" s="156"/>
      <c r="G73" s="156"/>
      <c r="H73" s="45"/>
      <c r="J73" s="45"/>
      <c r="K73" s="45"/>
      <c r="P73" s="6" t="s">
        <v>1065</v>
      </c>
      <c r="Q73" s="33" t="str">
        <f t="shared" si="24"/>
        <v>CNZ (call if not zero) taken</v>
      </c>
      <c r="R73" s="33">
        <v>0</v>
      </c>
      <c r="S73" s="188">
        <v>0</v>
      </c>
      <c r="T73" s="190">
        <v>8080</v>
      </c>
    </row>
    <row r="74" spans="1:20" ht="15.75" thickBot="1">
      <c r="A74" s="20" t="s">
        <v>314</v>
      </c>
      <c r="B74" s="34" t="s">
        <v>136</v>
      </c>
      <c r="C74" s="34" t="s">
        <v>137</v>
      </c>
      <c r="D74" s="228" t="s">
        <v>125</v>
      </c>
      <c r="E74" s="229" t="s">
        <v>142</v>
      </c>
      <c r="F74" s="228" t="s">
        <v>123</v>
      </c>
      <c r="G74" s="228" t="s">
        <v>124</v>
      </c>
      <c r="H74" s="47" t="s">
        <v>245</v>
      </c>
      <c r="I74" s="69" t="s">
        <v>205</v>
      </c>
      <c r="J74" s="46">
        <f ca="1">IFERROR(IF(AND(J75:J81),0,1),0)</f>
        <v>0</v>
      </c>
      <c r="K74" s="222" t="s">
        <v>2353</v>
      </c>
      <c r="L74" s="62" t="s">
        <v>269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1066</v>
      </c>
      <c r="Q74" s="33" t="str">
        <f t="shared" si="24"/>
        <v>CP (call if plus) taken</v>
      </c>
      <c r="R74" s="33">
        <v>0</v>
      </c>
      <c r="S74" s="188">
        <v>0</v>
      </c>
      <c r="T74" s="190">
        <v>8080</v>
      </c>
    </row>
    <row r="75" spans="1:20">
      <c r="B75" s="33" t="str">
        <f t="shared" ref="B75:B77" si="25">DEC2HEX(C75)</f>
        <v>0</v>
      </c>
      <c r="C75" s="33">
        <v>0</v>
      </c>
      <c r="D75" s="230"/>
      <c r="E75" s="223" t="s">
        <v>141</v>
      </c>
      <c r="F75" s="224" t="s">
        <v>146</v>
      </c>
      <c r="G75" s="89" t="s">
        <v>180</v>
      </c>
      <c r="H75" s="48"/>
      <c r="I75" s="48"/>
      <c r="J75" s="49"/>
      <c r="K75" s="48"/>
      <c r="L75" s="33" t="s">
        <v>270</v>
      </c>
      <c r="P75" s="6" t="s">
        <v>1067</v>
      </c>
      <c r="Q75" s="33" t="str">
        <f t="shared" si="24"/>
        <v>CM (call if minus) taken</v>
      </c>
      <c r="R75" s="33">
        <v>0</v>
      </c>
      <c r="S75" s="188">
        <v>0</v>
      </c>
      <c r="T75" s="190">
        <v>8080</v>
      </c>
    </row>
    <row r="76" spans="1:20">
      <c r="B76" s="6" t="str">
        <f t="shared" si="25"/>
        <v>1</v>
      </c>
      <c r="C76" s="6">
        <f>C75+1</f>
        <v>1</v>
      </c>
      <c r="D76" s="230"/>
      <c r="E76" s="223" t="s">
        <v>262</v>
      </c>
      <c r="F76" s="224" t="s">
        <v>146</v>
      </c>
      <c r="G76" s="89"/>
      <c r="H76" s="48"/>
      <c r="I76" s="48"/>
      <c r="J76" s="49"/>
      <c r="K76" s="48"/>
      <c r="L76" s="33" t="s">
        <v>271</v>
      </c>
      <c r="P76" s="6" t="s">
        <v>1068</v>
      </c>
      <c r="Q76" s="33" t="str">
        <f t="shared" si="24"/>
        <v>CPE (call if parity even) taken</v>
      </c>
      <c r="R76" s="33">
        <v>0</v>
      </c>
      <c r="S76" s="188">
        <v>0</v>
      </c>
      <c r="T76" s="190">
        <v>8080</v>
      </c>
    </row>
    <row r="77" spans="1:20">
      <c r="B77" s="6" t="str">
        <f t="shared" si="25"/>
        <v>2</v>
      </c>
      <c r="C77" s="6">
        <f t="shared" ref="C77" si="26">C76+1</f>
        <v>2</v>
      </c>
      <c r="D77" s="230"/>
      <c r="E77" s="223"/>
      <c r="F77" s="224"/>
      <c r="G77" s="89"/>
      <c r="H77" s="48" t="s">
        <v>116</v>
      </c>
      <c r="I77" s="48">
        <v>1</v>
      </c>
      <c r="J77" s="81" t="e" cm="1">
        <f t="array" aca="1" ref="J77" ca="1">INDIRECT(H77)=I77</f>
        <v>#REF!</v>
      </c>
      <c r="K77" s="48"/>
      <c r="L77" s="33" t="s">
        <v>272</v>
      </c>
      <c r="P77" s="6" t="s">
        <v>1069</v>
      </c>
      <c r="Q77" s="33" t="str">
        <f t="shared" si="24"/>
        <v>CPO (call if parity odd) taken</v>
      </c>
      <c r="R77" s="33">
        <v>0</v>
      </c>
      <c r="S77" s="188">
        <v>0</v>
      </c>
      <c r="T77" s="190">
        <v>8080</v>
      </c>
    </row>
    <row r="78" spans="1:20">
      <c r="B78" s="6" t="str">
        <f t="shared" ref="B78:B81" si="27">DEC2HEX(C78)</f>
        <v>3</v>
      </c>
      <c r="C78" s="6">
        <f t="shared" ref="C78:C81" si="28">C77+1</f>
        <v>3</v>
      </c>
      <c r="D78" s="230"/>
      <c r="E78" s="223" t="s">
        <v>141</v>
      </c>
      <c r="F78" s="224" t="s">
        <v>146</v>
      </c>
      <c r="G78" s="89">
        <v>0</v>
      </c>
      <c r="H78" s="48" t="s">
        <v>146</v>
      </c>
      <c r="I78" s="75" t="s">
        <v>209</v>
      </c>
      <c r="J78" s="79" t="b" cm="1">
        <f t="array" aca="1" ref="J78" ca="1">RIGHT("00"&amp;INDIRECT("R_"&amp;H78),2)=RIGHT("00"&amp;I78,2)</f>
        <v>0</v>
      </c>
      <c r="K78" s="48"/>
      <c r="L78" s="33"/>
      <c r="P78" s="6" t="s">
        <v>1070</v>
      </c>
      <c r="Q78" s="33" t="str">
        <f t="shared" si="24"/>
        <v>RNZ (return if not zero) taken</v>
      </c>
      <c r="R78" s="33">
        <v>0</v>
      </c>
      <c r="S78" s="188">
        <v>0</v>
      </c>
      <c r="T78" s="190">
        <v>8080</v>
      </c>
    </row>
    <row r="79" spans="1:20">
      <c r="B79" s="6" t="str">
        <f t="shared" si="27"/>
        <v>4</v>
      </c>
      <c r="C79" s="6">
        <f t="shared" si="28"/>
        <v>4</v>
      </c>
      <c r="D79" s="230"/>
      <c r="E79" s="223" t="s">
        <v>141</v>
      </c>
      <c r="F79" s="224" t="s">
        <v>182</v>
      </c>
      <c r="G79" s="89">
        <v>0</v>
      </c>
      <c r="H79" s="48" t="s">
        <v>182</v>
      </c>
      <c r="I79" s="75" t="s">
        <v>209</v>
      </c>
      <c r="J79" s="79" t="e" cm="1">
        <f t="array" aca="1" ref="J79" ca="1">RIGHT("00"&amp;INDIRECT("R_"&amp;H79),2)=RIGHT("00"&amp;I79,2)</f>
        <v>#REF!</v>
      </c>
      <c r="K79" s="48"/>
      <c r="L79" s="33"/>
      <c r="P79" s="6" t="s">
        <v>1071</v>
      </c>
      <c r="Q79" s="33" t="str">
        <f t="shared" si="24"/>
        <v>RNC (return if no carry) taken</v>
      </c>
      <c r="R79" s="33">
        <v>0</v>
      </c>
      <c r="S79" s="188">
        <v>0</v>
      </c>
      <c r="T79" s="190">
        <v>8080</v>
      </c>
    </row>
    <row r="80" spans="1:20">
      <c r="B80" s="6" t="str">
        <f t="shared" si="27"/>
        <v>5</v>
      </c>
      <c r="C80" s="6">
        <f t="shared" si="28"/>
        <v>5</v>
      </c>
      <c r="D80" s="230"/>
      <c r="E80" s="223" t="s">
        <v>262</v>
      </c>
      <c r="F80" s="224" t="s">
        <v>182</v>
      </c>
      <c r="G80" s="89"/>
      <c r="H80" s="48" t="s">
        <v>119</v>
      </c>
      <c r="I80" s="48">
        <v>1</v>
      </c>
      <c r="J80" s="81" t="b" cm="1">
        <f t="array" aca="1" ref="J80" ca="1">INDIRECT(H80)=I80</f>
        <v>0</v>
      </c>
      <c r="K80" s="48"/>
      <c r="L80" s="33" t="s">
        <v>273</v>
      </c>
      <c r="P80" s="6" t="s">
        <v>1072</v>
      </c>
      <c r="Q80" s="33" t="str">
        <f t="shared" si="24"/>
        <v>RP (return if plus) taken</v>
      </c>
      <c r="R80" s="33">
        <v>0</v>
      </c>
      <c r="S80" s="188">
        <v>0</v>
      </c>
      <c r="T80" s="190">
        <v>8080</v>
      </c>
    </row>
    <row r="81" spans="1:20">
      <c r="B81" s="6" t="str">
        <f t="shared" si="27"/>
        <v>6</v>
      </c>
      <c r="C81" s="6">
        <f t="shared" si="28"/>
        <v>6</v>
      </c>
      <c r="D81" s="230"/>
      <c r="E81" s="223" t="s">
        <v>184</v>
      </c>
      <c r="F81" s="224"/>
      <c r="G81" s="89"/>
      <c r="H81" s="48"/>
      <c r="I81" s="48"/>
      <c r="J81" s="49"/>
      <c r="K81" s="48"/>
      <c r="L81" s="33"/>
      <c r="P81" s="6" t="s">
        <v>1073</v>
      </c>
      <c r="Q81" s="33" t="str">
        <f t="shared" si="24"/>
        <v>RM (return if minus) taken</v>
      </c>
      <c r="R81" s="33">
        <v>0</v>
      </c>
      <c r="S81" s="188">
        <v>0</v>
      </c>
      <c r="T81" s="190">
        <v>8080</v>
      </c>
    </row>
    <row r="82" spans="1:20" ht="15.75" thickBot="1">
      <c r="D82" s="156"/>
      <c r="E82" s="156"/>
      <c r="F82" s="156"/>
      <c r="G82" s="156"/>
      <c r="H82" s="45"/>
      <c r="J82" s="45"/>
      <c r="K82" s="45"/>
      <c r="P82" s="6" t="s">
        <v>1074</v>
      </c>
      <c r="Q82" s="33" t="str">
        <f t="shared" si="24"/>
        <v>RPE (return if parity even) taken</v>
      </c>
      <c r="R82" s="33">
        <v>0</v>
      </c>
      <c r="S82" s="188">
        <v>0</v>
      </c>
      <c r="T82" s="190">
        <v>8080</v>
      </c>
    </row>
    <row r="83" spans="1:20" ht="15.75" thickBot="1">
      <c r="A83" s="20" t="s">
        <v>315</v>
      </c>
      <c r="B83" s="34" t="s">
        <v>136</v>
      </c>
      <c r="C83" s="34" t="s">
        <v>137</v>
      </c>
      <c r="D83" s="228" t="s">
        <v>125</v>
      </c>
      <c r="E83" s="229" t="s">
        <v>142</v>
      </c>
      <c r="F83" s="228" t="s">
        <v>123</v>
      </c>
      <c r="G83" s="228" t="s">
        <v>124</v>
      </c>
      <c r="H83" s="47" t="s">
        <v>245</v>
      </c>
      <c r="I83" s="69" t="s">
        <v>205</v>
      </c>
      <c r="J83" s="46">
        <f ca="1">IFERROR(IF(AND(J84:J95),0,1),0)</f>
        <v>0</v>
      </c>
      <c r="K83" s="222" t="s">
        <v>2353</v>
      </c>
      <c r="L83" s="62" t="s">
        <v>274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1075</v>
      </c>
      <c r="Q83" s="33" t="str">
        <f t="shared" si="24"/>
        <v>RPO (return if parity odd) taken</v>
      </c>
      <c r="R83" s="33">
        <v>0</v>
      </c>
      <c r="S83" s="188">
        <v>0</v>
      </c>
      <c r="T83" s="190">
        <v>8080</v>
      </c>
    </row>
    <row r="84" spans="1:20">
      <c r="B84" s="33" t="str">
        <f t="shared" ref="B84:B86" si="29">DEC2HEX(C84)</f>
        <v>0</v>
      </c>
      <c r="C84" s="33">
        <v>0</v>
      </c>
      <c r="D84" s="230"/>
      <c r="E84" s="223" t="s">
        <v>141</v>
      </c>
      <c r="F84" s="224" t="s">
        <v>146</v>
      </c>
      <c r="G84" s="89" t="s">
        <v>263</v>
      </c>
      <c r="H84" s="48" t="s">
        <v>144</v>
      </c>
      <c r="I84" s="75" t="s">
        <v>231</v>
      </c>
      <c r="J84" s="79" t="e" cm="1">
        <f t="array" aca="1" ref="J84" ca="1">RIGHT("00"&amp;INDIRECT("R_"&amp;H84),2)=RIGHT("00"&amp;I84,2)</f>
        <v>#REF!</v>
      </c>
      <c r="K84" s="48"/>
      <c r="L84" s="33"/>
      <c r="P84" s="6" t="s">
        <v>1076</v>
      </c>
      <c r="Q84" s="33" t="str">
        <f t="shared" si="24"/>
        <v>JNC (jump if no carry) taken</v>
      </c>
      <c r="R84" s="33">
        <v>0</v>
      </c>
      <c r="S84" s="188">
        <v>0</v>
      </c>
      <c r="T84" s="190">
        <v>8080</v>
      </c>
    </row>
    <row r="85" spans="1:20">
      <c r="B85" s="6" t="str">
        <f t="shared" si="29"/>
        <v>1</v>
      </c>
      <c r="C85" s="6">
        <f>C84+1</f>
        <v>1</v>
      </c>
      <c r="D85" s="230"/>
      <c r="E85" s="223" t="s">
        <v>208</v>
      </c>
      <c r="F85" s="224" t="s">
        <v>146</v>
      </c>
      <c r="G85" s="89"/>
      <c r="H85" s="48" t="s">
        <v>182</v>
      </c>
      <c r="I85" s="75" t="s">
        <v>209</v>
      </c>
      <c r="J85" s="79" t="e" cm="1">
        <f t="array" aca="1" ref="J85" ca="1">RIGHT("00"&amp;INDIRECT("R_"&amp;H85),2)=RIGHT("00"&amp;I85,2)</f>
        <v>#REF!</v>
      </c>
      <c r="K85" s="48"/>
      <c r="L85" s="33"/>
      <c r="P85" s="6" t="s">
        <v>1077</v>
      </c>
      <c r="Q85" s="33" t="str">
        <f t="shared" si="24"/>
        <v>INX/DCX on D, H, SP (forms)</v>
      </c>
      <c r="R85" s="33">
        <v>0</v>
      </c>
      <c r="S85" s="188">
        <v>0</v>
      </c>
      <c r="T85" s="190">
        <v>8080</v>
      </c>
    </row>
    <row r="86" spans="1:20">
      <c r="B86" s="6" t="str">
        <f t="shared" si="29"/>
        <v>2</v>
      </c>
      <c r="C86" s="6">
        <f t="shared" ref="C86" si="30">C85+1</f>
        <v>2</v>
      </c>
      <c r="D86" s="230"/>
      <c r="E86" s="223" t="s">
        <v>181</v>
      </c>
      <c r="F86" s="224" t="s">
        <v>144</v>
      </c>
      <c r="G86" s="89" t="s">
        <v>146</v>
      </c>
      <c r="H86" s="48" t="s">
        <v>183</v>
      </c>
      <c r="I86" s="75" t="s">
        <v>216</v>
      </c>
      <c r="J86" s="79" t="e" cm="1">
        <f t="array" aca="1" ref="J86" ca="1">RIGHT("00"&amp;INDIRECT("R_"&amp;H86),2)=RIGHT("00"&amp;I86,2)</f>
        <v>#REF!</v>
      </c>
      <c r="K86" s="48"/>
      <c r="L86" s="33"/>
      <c r="P86" s="6" t="s">
        <v>1078</v>
      </c>
      <c r="Q86" s="33" t="str">
        <f t="shared" si="24"/>
        <v>DAD on B, H, SP (forms)</v>
      </c>
      <c r="R86" s="33">
        <v>0</v>
      </c>
      <c r="S86" s="188">
        <v>0</v>
      </c>
      <c r="T86" s="190">
        <v>8080</v>
      </c>
    </row>
    <row r="87" spans="1:20">
      <c r="B87" s="6" t="str">
        <f t="shared" ref="B87:B95" si="31">DEC2HEX(C87)</f>
        <v>3</v>
      </c>
      <c r="C87" s="6">
        <f t="shared" ref="C87:C95" si="32">C86+1</f>
        <v>3</v>
      </c>
      <c r="D87" s="230"/>
      <c r="E87" s="223" t="s">
        <v>141</v>
      </c>
      <c r="F87" s="224" t="s">
        <v>146</v>
      </c>
      <c r="G87" s="89">
        <v>1</v>
      </c>
      <c r="H87" s="48" t="s">
        <v>120</v>
      </c>
      <c r="I87" s="75">
        <v>1</v>
      </c>
      <c r="J87" s="81" t="e" cm="1">
        <f t="array" aca="1" ref="J87" ca="1">INDIRECT(H87)=I87</f>
        <v>#REF!</v>
      </c>
      <c r="K87" s="48"/>
      <c r="L87" s="33"/>
      <c r="P87" s="6" t="s">
        <v>1079</v>
      </c>
      <c r="Q87" s="33" t="str">
        <f t="shared" si="24"/>
        <v>PUSH/POP DE pair</v>
      </c>
      <c r="R87" s="33">
        <v>0</v>
      </c>
      <c r="S87" s="188">
        <v>0</v>
      </c>
      <c r="T87" s="190">
        <v>8080</v>
      </c>
    </row>
    <row r="88" spans="1:20">
      <c r="B88" s="6" t="str">
        <f t="shared" si="31"/>
        <v>4</v>
      </c>
      <c r="C88" s="6">
        <f t="shared" si="32"/>
        <v>4</v>
      </c>
      <c r="D88" s="230"/>
      <c r="E88" s="223" t="s">
        <v>232</v>
      </c>
      <c r="F88" s="224" t="s">
        <v>146</v>
      </c>
      <c r="G88" s="89"/>
      <c r="H88" s="48" t="s">
        <v>122</v>
      </c>
      <c r="I88" s="75">
        <v>0</v>
      </c>
      <c r="J88" s="81" t="e" cm="1">
        <f t="array" aca="1" ref="J88" ca="1">INDIRECT(H88)=I88</f>
        <v>#REF!</v>
      </c>
      <c r="K88" s="48"/>
      <c r="L88" s="33"/>
      <c r="P88" s="6" t="s">
        <v>1080</v>
      </c>
      <c r="Q88" s="33" t="str">
        <f t="shared" si="24"/>
        <v>Z80 Shadow Register &amp; Exchange</v>
      </c>
      <c r="R88" s="33">
        <v>0</v>
      </c>
      <c r="S88" s="188">
        <v>0</v>
      </c>
      <c r="T88" s="190">
        <v>8080</v>
      </c>
    </row>
    <row r="89" spans="1:20">
      <c r="B89" s="6" t="str">
        <f t="shared" si="31"/>
        <v>5</v>
      </c>
      <c r="C89" s="6">
        <f t="shared" si="32"/>
        <v>5</v>
      </c>
      <c r="D89" s="230"/>
      <c r="E89" s="223" t="s">
        <v>181</v>
      </c>
      <c r="F89" s="224" t="s">
        <v>182</v>
      </c>
      <c r="G89" s="89" t="s">
        <v>146</v>
      </c>
      <c r="H89" s="48" t="s">
        <v>116</v>
      </c>
      <c r="I89" s="48">
        <v>0</v>
      </c>
      <c r="J89" s="81" t="e" cm="1">
        <f t="array" aca="1" ref="J89" ca="1">INDIRECT(H89)=I89</f>
        <v>#REF!</v>
      </c>
      <c r="K89" s="48"/>
      <c r="L89" s="33"/>
      <c r="P89" s="6" t="s">
        <v>1081</v>
      </c>
      <c r="Q89" s="33" t="str">
        <f t="shared" si="24"/>
        <v>Z80 Shift with Carry</v>
      </c>
      <c r="R89" s="33">
        <v>0</v>
      </c>
      <c r="S89" s="188">
        <v>0</v>
      </c>
      <c r="T89" s="190">
        <v>8080</v>
      </c>
    </row>
    <row r="90" spans="1:20">
      <c r="B90" s="6" t="str">
        <f t="shared" si="31"/>
        <v>6</v>
      </c>
      <c r="C90" s="6">
        <f t="shared" si="32"/>
        <v>6</v>
      </c>
      <c r="D90" s="230"/>
      <c r="E90" s="223" t="s">
        <v>141</v>
      </c>
      <c r="F90" s="224" t="s">
        <v>146</v>
      </c>
      <c r="G90" s="89">
        <v>80</v>
      </c>
      <c r="H90" s="48" t="s">
        <v>119</v>
      </c>
      <c r="I90" s="48">
        <v>0</v>
      </c>
      <c r="J90" s="81" t="b" cm="1">
        <f t="array" aca="1" ref="J90" ca="1">INDIRECT(H90)=I90</f>
        <v>1</v>
      </c>
      <c r="K90" s="48"/>
      <c r="L90" s="33"/>
      <c r="P90" s="6" t="s">
        <v>1082</v>
      </c>
      <c r="Q90" s="33" t="str">
        <f t="shared" si="24"/>
        <v>Z80 Shift with no Carry</v>
      </c>
      <c r="R90" s="33">
        <v>0</v>
      </c>
      <c r="S90" s="188">
        <v>0</v>
      </c>
      <c r="T90" s="190">
        <v>8080</v>
      </c>
    </row>
    <row r="91" spans="1:20">
      <c r="B91" s="6" t="str">
        <f t="shared" si="31"/>
        <v>7</v>
      </c>
      <c r="C91" s="6">
        <f t="shared" si="32"/>
        <v>7</v>
      </c>
      <c r="D91" s="230"/>
      <c r="E91" s="223" t="s">
        <v>262</v>
      </c>
      <c r="F91" s="224" t="s">
        <v>146</v>
      </c>
      <c r="G91" s="89"/>
      <c r="H91" s="48" t="s">
        <v>265</v>
      </c>
      <c r="I91" s="75" t="s">
        <v>276</v>
      </c>
      <c r="J91" s="79" t="e" cm="1">
        <f t="array" aca="1" ref="J91" ca="1">RIGHT("00"&amp;INDIRECT("R_"&amp;H91),2)=RIGHT("00"&amp;I91,2)</f>
        <v>#REF!</v>
      </c>
      <c r="K91" s="48"/>
      <c r="L91" s="33" t="s">
        <v>278</v>
      </c>
      <c r="P91" s="6" t="s">
        <v>1083</v>
      </c>
      <c r="Q91" s="33" t="str">
        <f t="shared" si="24"/>
        <v>Z80 Bit Set No Zero</v>
      </c>
      <c r="R91" s="33">
        <v>0</v>
      </c>
      <c r="S91" s="188">
        <v>0</v>
      </c>
      <c r="T91" s="190">
        <v>8080</v>
      </c>
    </row>
    <row r="92" spans="1:20">
      <c r="B92" s="6" t="str">
        <f t="shared" si="31"/>
        <v>8</v>
      </c>
      <c r="C92" s="6">
        <f t="shared" si="32"/>
        <v>8</v>
      </c>
      <c r="D92" s="230"/>
      <c r="E92" s="223" t="s">
        <v>181</v>
      </c>
      <c r="F92" s="224" t="s">
        <v>183</v>
      </c>
      <c r="G92" s="89" t="s">
        <v>146</v>
      </c>
      <c r="H92" s="48"/>
      <c r="I92" s="48"/>
      <c r="J92" s="49"/>
      <c r="K92" s="48"/>
      <c r="L92" s="33"/>
      <c r="P92" s="6" t="s">
        <v>1084</v>
      </c>
      <c r="Q92" s="33" t="str">
        <f t="shared" si="24"/>
        <v>Z80 Bit Zero Set</v>
      </c>
      <c r="R92" s="33">
        <v>0</v>
      </c>
      <c r="S92" s="188">
        <v>0</v>
      </c>
      <c r="T92" s="190">
        <v>8080</v>
      </c>
    </row>
    <row r="93" spans="1:20">
      <c r="B93" s="6" t="str">
        <f t="shared" si="31"/>
        <v>9</v>
      </c>
      <c r="C93" s="6">
        <f t="shared" si="32"/>
        <v>9</v>
      </c>
      <c r="D93" s="230"/>
      <c r="E93" s="223" t="s">
        <v>143</v>
      </c>
      <c r="F93" s="224" t="s">
        <v>159</v>
      </c>
      <c r="G93" s="89"/>
      <c r="H93" s="48"/>
      <c r="I93" s="48"/>
      <c r="J93" s="49"/>
      <c r="K93" s="48"/>
      <c r="L93" s="33" t="s">
        <v>277</v>
      </c>
      <c r="P93" s="6" t="s">
        <v>1085</v>
      </c>
      <c r="Q93" s="33" t="str">
        <f t="shared" si="24"/>
        <v>Z80 LD Offset</v>
      </c>
      <c r="R93" s="33">
        <v>0</v>
      </c>
      <c r="S93" s="188">
        <v>0</v>
      </c>
      <c r="T93" s="190">
        <v>8080</v>
      </c>
    </row>
    <row r="94" spans="1:20">
      <c r="B94" s="6" t="str">
        <f t="shared" si="31"/>
        <v>A</v>
      </c>
      <c r="C94" s="6">
        <f t="shared" si="32"/>
        <v>10</v>
      </c>
      <c r="D94" s="230"/>
      <c r="E94" s="223" t="s">
        <v>275</v>
      </c>
      <c r="F94" s="224" t="s">
        <v>183</v>
      </c>
      <c r="G94" s="89"/>
      <c r="H94" s="48"/>
      <c r="I94" s="48"/>
      <c r="J94" s="49"/>
      <c r="K94" s="48"/>
      <c r="L94" s="33"/>
      <c r="P94" s="6" t="s">
        <v>1154</v>
      </c>
      <c r="Q94" s="33" t="str">
        <f t="shared" si="24"/>
        <v>Claude ANA Helper</v>
      </c>
      <c r="R94" s="33">
        <v>0</v>
      </c>
      <c r="S94" s="188">
        <v>0</v>
      </c>
      <c r="T94" s="190">
        <v>8080</v>
      </c>
    </row>
    <row r="95" spans="1:20">
      <c r="B95" s="6" t="str">
        <f t="shared" si="31"/>
        <v>B</v>
      </c>
      <c r="C95" s="6">
        <f t="shared" si="32"/>
        <v>11</v>
      </c>
      <c r="D95" s="230"/>
      <c r="E95" s="223" t="s">
        <v>184</v>
      </c>
      <c r="F95" s="224"/>
      <c r="G95" s="89"/>
      <c r="H95" s="48"/>
      <c r="I95" s="48"/>
      <c r="J95" s="49"/>
      <c r="K95" s="48"/>
      <c r="L95" s="33"/>
      <c r="P95" s="6" t="s">
        <v>1155</v>
      </c>
      <c r="Q95" s="33" t="str">
        <f t="shared" si="24"/>
        <v>Claude ANI Helper</v>
      </c>
      <c r="R95" s="33">
        <v>0</v>
      </c>
      <c r="S95" s="188">
        <v>0</v>
      </c>
      <c r="T95" s="190">
        <v>8080</v>
      </c>
    </row>
    <row r="96" spans="1:20" ht="15.75" thickBot="1">
      <c r="D96" s="156"/>
      <c r="E96" s="156"/>
      <c r="F96" s="156"/>
      <c r="G96" s="156"/>
      <c r="H96" s="45"/>
      <c r="J96" s="45"/>
      <c r="K96" s="45"/>
      <c r="P96" s="6" t="s">
        <v>1156</v>
      </c>
      <c r="Q96" s="33" t="str">
        <f t="shared" si="24"/>
        <v>Claude ORA Helper</v>
      </c>
      <c r="R96" s="33">
        <v>0</v>
      </c>
      <c r="S96" s="188">
        <v>0</v>
      </c>
      <c r="T96" s="190">
        <v>8080</v>
      </c>
    </row>
    <row r="97" spans="1:20" ht="15.75" thickBot="1">
      <c r="A97" s="20" t="s">
        <v>316</v>
      </c>
      <c r="B97" s="34" t="s">
        <v>136</v>
      </c>
      <c r="C97" s="34" t="s">
        <v>137</v>
      </c>
      <c r="D97" s="228" t="s">
        <v>125</v>
      </c>
      <c r="E97" s="229" t="s">
        <v>142</v>
      </c>
      <c r="F97" s="228" t="s">
        <v>123</v>
      </c>
      <c r="G97" s="228" t="s">
        <v>124</v>
      </c>
      <c r="H97" s="47" t="s">
        <v>245</v>
      </c>
      <c r="I97" s="69" t="s">
        <v>205</v>
      </c>
      <c r="J97" s="46">
        <f ca="1">IFERROR(IF(AND(J98:J103),0,1),0)</f>
        <v>0</v>
      </c>
      <c r="K97" s="222" t="s">
        <v>2353</v>
      </c>
      <c r="L97" s="62" t="s">
        <v>279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1157</v>
      </c>
      <c r="Q97" s="33" t="str">
        <f t="shared" si="24"/>
        <v>Claude ORI Helper</v>
      </c>
      <c r="R97" s="33">
        <v>0</v>
      </c>
      <c r="S97" s="188">
        <v>0</v>
      </c>
      <c r="T97" s="190">
        <v>8080</v>
      </c>
    </row>
    <row r="98" spans="1:20">
      <c r="B98" s="33" t="str">
        <f t="shared" ref="B98:B103" si="33">DEC2HEX(C98)</f>
        <v>0</v>
      </c>
      <c r="C98" s="33">
        <v>0</v>
      </c>
      <c r="D98" s="230"/>
      <c r="E98" s="223" t="s">
        <v>141</v>
      </c>
      <c r="F98" s="224" t="s">
        <v>146</v>
      </c>
      <c r="G98" s="89" t="s">
        <v>209</v>
      </c>
      <c r="H98" s="48"/>
      <c r="I98" s="75"/>
      <c r="J98" s="49"/>
      <c r="K98" s="48"/>
      <c r="L98" s="33"/>
      <c r="P98" s="6" t="s">
        <v>1158</v>
      </c>
      <c r="Q98" s="33" t="str">
        <f t="shared" si="24"/>
        <v>Claude XRA Helper</v>
      </c>
      <c r="R98" s="33">
        <v>0</v>
      </c>
      <c r="S98" s="188">
        <v>0</v>
      </c>
      <c r="T98" s="190">
        <v>8080</v>
      </c>
    </row>
    <row r="99" spans="1:20">
      <c r="B99" s="6" t="str">
        <f t="shared" si="33"/>
        <v>1</v>
      </c>
      <c r="C99" s="6">
        <f>C98+1</f>
        <v>1</v>
      </c>
      <c r="D99" s="230"/>
      <c r="E99" s="223" t="s">
        <v>232</v>
      </c>
      <c r="F99" s="224" t="s">
        <v>146</v>
      </c>
      <c r="G99" s="89" t="s">
        <v>280</v>
      </c>
      <c r="H99" s="48" t="s">
        <v>146</v>
      </c>
      <c r="I99" s="75" t="s">
        <v>140</v>
      </c>
      <c r="J99" s="79" t="b" cm="1">
        <f t="array" aca="1" ref="J99" ca="1">RIGHT("00"&amp;INDIRECT("R_"&amp;H99),2)=RIGHT("00"&amp;I99,2)</f>
        <v>0</v>
      </c>
      <c r="K99" s="48"/>
      <c r="L99" s="33"/>
      <c r="P99" s="6" t="s">
        <v>1159</v>
      </c>
      <c r="Q99" s="33" t="str">
        <f t="shared" si="24"/>
        <v>Claude XRI Helper</v>
      </c>
      <c r="R99" s="33">
        <v>0</v>
      </c>
      <c r="S99" s="188">
        <v>0</v>
      </c>
      <c r="T99" s="190">
        <v>8080</v>
      </c>
    </row>
    <row r="100" spans="1:20">
      <c r="B100" s="6" t="str">
        <f t="shared" si="33"/>
        <v>2</v>
      </c>
      <c r="C100" s="6">
        <f t="shared" ref="C100:C111" si="34">C99+1</f>
        <v>2</v>
      </c>
      <c r="D100" s="230"/>
      <c r="E100" s="223"/>
      <c r="F100" s="224" t="s">
        <v>280</v>
      </c>
      <c r="G100" s="89" t="s">
        <v>280</v>
      </c>
      <c r="H100" s="48" t="s">
        <v>122</v>
      </c>
      <c r="I100" s="75">
        <v>1</v>
      </c>
      <c r="J100" s="81" t="e" cm="1">
        <f t="array" aca="1" ref="J100" ca="1">INDIRECT(H100)=I100</f>
        <v>#REF!</v>
      </c>
      <c r="K100" s="48"/>
      <c r="L100" s="33"/>
      <c r="P100" s="6" t="s">
        <v>1160</v>
      </c>
      <c r="Q100" s="33" t="str">
        <f t="shared" si="24"/>
        <v>Claude CMP Not Equal Helper</v>
      </c>
      <c r="R100" s="33">
        <v>0</v>
      </c>
      <c r="S100" s="188">
        <v>0</v>
      </c>
      <c r="T100" s="190">
        <v>8080</v>
      </c>
    </row>
    <row r="101" spans="1:20">
      <c r="B101" s="6" t="str">
        <f t="shared" si="33"/>
        <v>3</v>
      </c>
      <c r="C101" s="6">
        <f t="shared" si="34"/>
        <v>3</v>
      </c>
      <c r="D101" s="230"/>
      <c r="E101" s="223"/>
      <c r="F101" s="224" t="s">
        <v>280</v>
      </c>
      <c r="G101" s="89" t="s">
        <v>280</v>
      </c>
      <c r="H101" s="48" t="s">
        <v>120</v>
      </c>
      <c r="I101" s="75">
        <v>1</v>
      </c>
      <c r="J101" s="81" t="e" cm="1">
        <f t="array" aca="1" ref="J101" ca="1">INDIRECT(H101)=I101</f>
        <v>#REF!</v>
      </c>
      <c r="K101" s="48"/>
      <c r="L101" s="33" t="s">
        <v>281</v>
      </c>
      <c r="P101" s="6" t="s">
        <v>1161</v>
      </c>
      <c r="Q101" s="33" t="str">
        <f t="shared" si="24"/>
        <v>Claude CMP Equal Helper</v>
      </c>
      <c r="R101" s="33">
        <v>0</v>
      </c>
      <c r="S101" s="188">
        <v>0</v>
      </c>
      <c r="T101" s="190">
        <v>8080</v>
      </c>
    </row>
    <row r="102" spans="1:20">
      <c r="B102" s="6" t="str">
        <f t="shared" si="33"/>
        <v>4</v>
      </c>
      <c r="C102" s="6">
        <f t="shared" si="34"/>
        <v>4</v>
      </c>
      <c r="D102" s="230"/>
      <c r="E102" s="223"/>
      <c r="F102" s="224" t="s">
        <v>280</v>
      </c>
      <c r="G102" s="89" t="s">
        <v>280</v>
      </c>
      <c r="H102" s="48" t="s">
        <v>116</v>
      </c>
      <c r="I102" s="75">
        <v>1</v>
      </c>
      <c r="J102" s="81" t="e" cm="1">
        <f t="array" aca="1" ref="J102" ca="1">INDIRECT(H102)=I102</f>
        <v>#REF!</v>
      </c>
      <c r="K102" s="48"/>
      <c r="L102" s="33" t="s">
        <v>282</v>
      </c>
      <c r="P102" s="6" t="s">
        <v>1181</v>
      </c>
      <c r="Q102" s="33" t="str">
        <f t="shared" ref="Q102:Q116" si="35">IFERROR(VLOOKUP(P102,$A$4:$L$1048576,12,0),"")</f>
        <v>Claude CPI Helper</v>
      </c>
      <c r="R102" s="33">
        <v>0</v>
      </c>
      <c r="S102" s="188">
        <v>0</v>
      </c>
      <c r="T102" s="190">
        <v>8080</v>
      </c>
    </row>
    <row r="103" spans="1:20">
      <c r="B103" s="6" t="str">
        <f t="shared" si="33"/>
        <v>5</v>
      </c>
      <c r="C103" s="6">
        <f t="shared" si="34"/>
        <v>5</v>
      </c>
      <c r="D103" s="230"/>
      <c r="E103" s="223" t="s">
        <v>184</v>
      </c>
      <c r="F103" s="224"/>
      <c r="G103" s="89"/>
      <c r="H103" s="48"/>
      <c r="I103" s="48"/>
      <c r="J103" s="49"/>
      <c r="K103" s="48"/>
      <c r="L103" s="33"/>
      <c r="P103" s="6" t="s">
        <v>1196</v>
      </c>
      <c r="Q103" s="33" t="str">
        <f t="shared" si="35"/>
        <v>VBA Based</v>
      </c>
      <c r="R103" s="33">
        <v>0</v>
      </c>
      <c r="S103" s="188">
        <v>0</v>
      </c>
      <c r="T103" s="190"/>
    </row>
    <row r="104" spans="1:20" ht="15.75" thickBot="1">
      <c r="D104" s="156"/>
      <c r="E104" s="156"/>
      <c r="F104" s="156"/>
      <c r="G104" s="156"/>
      <c r="P104" s="6" t="s">
        <v>1183</v>
      </c>
      <c r="Q104" s="33" t="str">
        <f t="shared" si="35"/>
        <v>6510 LDA/LDX/LDY immediate + flags</v>
      </c>
      <c r="R104" s="33">
        <v>0</v>
      </c>
      <c r="S104" s="188">
        <v>0</v>
      </c>
      <c r="T104" s="191">
        <v>6510</v>
      </c>
    </row>
    <row r="105" spans="1:20" ht="15.75" thickBot="1">
      <c r="A105" s="20" t="s">
        <v>317</v>
      </c>
      <c r="B105" s="34" t="s">
        <v>136</v>
      </c>
      <c r="C105" s="34" t="s">
        <v>137</v>
      </c>
      <c r="D105" s="228" t="s">
        <v>125</v>
      </c>
      <c r="E105" s="229" t="s">
        <v>142</v>
      </c>
      <c r="F105" s="228" t="s">
        <v>123</v>
      </c>
      <c r="G105" s="228" t="s">
        <v>124</v>
      </c>
      <c r="H105" s="47" t="s">
        <v>245</v>
      </c>
      <c r="I105" s="69" t="s">
        <v>205</v>
      </c>
      <c r="J105" s="46">
        <f ca="1">IFERROR(IF(AND(J106:J111),0,1),0)</f>
        <v>0</v>
      </c>
      <c r="K105" s="222" t="s">
        <v>2353</v>
      </c>
      <c r="L105" s="62" t="s">
        <v>283</v>
      </c>
      <c r="M105" s="20">
        <f>IFERROR(VLOOKUP($A105,$P$6:$S$1048576,3,0),0)</f>
        <v>0</v>
      </c>
      <c r="N105" s="20">
        <f>IFERROR(VLOOKUP($A105,$P$6:$S$1048576,4,0),0)</f>
        <v>0</v>
      </c>
      <c r="P105" s="6" t="s">
        <v>1182</v>
      </c>
      <c r="Q105" s="33" t="str">
        <f t="shared" si="35"/>
        <v>6510 TAX/TAY/TXA/TYA transfers</v>
      </c>
      <c r="R105" s="33">
        <v>0</v>
      </c>
      <c r="S105" s="188">
        <v>0</v>
      </c>
      <c r="T105" s="191">
        <v>6510</v>
      </c>
    </row>
    <row r="106" spans="1:20">
      <c r="B106" s="33" t="str">
        <f t="shared" ref="B106:B111" si="36">DEC2HEX(C106)</f>
        <v>0</v>
      </c>
      <c r="C106" s="33">
        <v>0</v>
      </c>
      <c r="D106" s="230"/>
      <c r="E106" s="223" t="s">
        <v>141</v>
      </c>
      <c r="F106" s="224" t="s">
        <v>146</v>
      </c>
      <c r="G106" s="89" t="s">
        <v>231</v>
      </c>
      <c r="H106" s="48"/>
      <c r="I106" s="75"/>
      <c r="J106" s="49"/>
      <c r="K106" s="48"/>
      <c r="L106" s="33" t="s">
        <v>284</v>
      </c>
      <c r="P106" s="6" t="s">
        <v>1184</v>
      </c>
      <c r="Q106" s="33" t="str">
        <f t="shared" si="35"/>
        <v>6510 ADC no carry / carry out / overflow</v>
      </c>
      <c r="R106" s="33">
        <v>0</v>
      </c>
      <c r="S106" s="188">
        <v>0</v>
      </c>
      <c r="T106" s="191">
        <v>6510</v>
      </c>
    </row>
    <row r="107" spans="1:20">
      <c r="B107" s="6" t="str">
        <f t="shared" si="36"/>
        <v>1</v>
      </c>
      <c r="C107" s="6">
        <f>C106+1</f>
        <v>1</v>
      </c>
      <c r="D107" s="230"/>
      <c r="E107" s="223" t="s">
        <v>232</v>
      </c>
      <c r="F107" s="224" t="s">
        <v>146</v>
      </c>
      <c r="G107" s="89"/>
      <c r="H107" s="48" t="s">
        <v>146</v>
      </c>
      <c r="I107" s="75" t="s">
        <v>263</v>
      </c>
      <c r="J107" s="79" t="b" cm="1">
        <f t="array" aca="1" ref="J107" ca="1">RIGHT("00"&amp;INDIRECT("R_"&amp;H107),2)=RIGHT("00"&amp;I107,2)</f>
        <v>0</v>
      </c>
      <c r="K107" s="48"/>
      <c r="L107" s="33" t="s">
        <v>285</v>
      </c>
      <c r="P107" s="6" t="s">
        <v>1185</v>
      </c>
      <c r="Q107" s="33" t="str">
        <f t="shared" si="35"/>
        <v>6510 SBC basic (SEC before SBC)</v>
      </c>
      <c r="R107" s="33">
        <v>0</v>
      </c>
      <c r="S107" s="188">
        <v>0</v>
      </c>
      <c r="T107" s="191">
        <v>6510</v>
      </c>
    </row>
    <row r="108" spans="1:20">
      <c r="B108" s="6" t="str">
        <f t="shared" si="36"/>
        <v>2</v>
      </c>
      <c r="C108" s="6">
        <f t="shared" si="34"/>
        <v>2</v>
      </c>
      <c r="D108" s="230"/>
      <c r="E108" s="223"/>
      <c r="F108" s="224"/>
      <c r="G108" s="89"/>
      <c r="H108" s="48" t="s">
        <v>122</v>
      </c>
      <c r="I108" s="75">
        <v>1</v>
      </c>
      <c r="J108" s="81" t="e" cm="1">
        <f t="array" aca="1" ref="J108" ca="1">INDIRECT(H108)=I108</f>
        <v>#REF!</v>
      </c>
      <c r="K108" s="48"/>
      <c r="L108" s="33" t="s">
        <v>286</v>
      </c>
      <c r="P108" s="6" t="s">
        <v>1186</v>
      </c>
      <c r="Q108" s="33" t="str">
        <f t="shared" si="35"/>
        <v>6510 INX/INY/DEX/DEY wrap and flags</v>
      </c>
      <c r="R108" s="33">
        <v>0</v>
      </c>
      <c r="S108" s="188">
        <v>0</v>
      </c>
      <c r="T108" s="191">
        <v>6510</v>
      </c>
    </row>
    <row r="109" spans="1:20">
      <c r="B109" s="6" t="str">
        <f t="shared" si="36"/>
        <v>3</v>
      </c>
      <c r="C109" s="6">
        <f t="shared" si="34"/>
        <v>3</v>
      </c>
      <c r="D109" s="230"/>
      <c r="E109" s="223"/>
      <c r="F109" s="224"/>
      <c r="G109" s="89"/>
      <c r="H109" s="48" t="s">
        <v>120</v>
      </c>
      <c r="I109" s="75">
        <v>0</v>
      </c>
      <c r="J109" s="81" t="e" cm="1">
        <f t="array" aca="1" ref="J109" ca="1">INDIRECT(H109)=I109</f>
        <v>#REF!</v>
      </c>
      <c r="K109" s="48"/>
      <c r="L109" s="33" t="s">
        <v>287</v>
      </c>
      <c r="P109" s="6" t="s">
        <v>1187</v>
      </c>
      <c r="Q109" s="33" t="str">
        <f t="shared" si="35"/>
        <v>6510 AND/ORA/EOR logic</v>
      </c>
      <c r="R109" s="33">
        <v>0</v>
      </c>
      <c r="S109" s="188">
        <v>0</v>
      </c>
      <c r="T109" s="191">
        <v>6510</v>
      </c>
    </row>
    <row r="110" spans="1:20">
      <c r="B110" s="6" t="str">
        <f t="shared" si="36"/>
        <v>4</v>
      </c>
      <c r="C110" s="6">
        <f t="shared" si="34"/>
        <v>4</v>
      </c>
      <c r="D110" s="230"/>
      <c r="E110" s="223"/>
      <c r="F110" s="224"/>
      <c r="G110" s="89"/>
      <c r="H110" s="48" t="s">
        <v>116</v>
      </c>
      <c r="I110" s="75">
        <v>1</v>
      </c>
      <c r="J110" s="81" t="e" cm="1">
        <f t="array" aca="1" ref="J110" ca="1">INDIRECT(H110)=I110</f>
        <v>#REF!</v>
      </c>
      <c r="K110" s="48"/>
      <c r="L110" s="33" t="s">
        <v>288</v>
      </c>
      <c r="P110" s="6" t="s">
        <v>1188</v>
      </c>
      <c r="Q110" s="33" t="str">
        <f t="shared" si="35"/>
        <v>6510 ASL/LSR carry and flags</v>
      </c>
      <c r="R110" s="33">
        <v>0</v>
      </c>
      <c r="S110" s="188">
        <v>0</v>
      </c>
      <c r="T110" s="191">
        <v>6510</v>
      </c>
    </row>
    <row r="111" spans="1:20">
      <c r="B111" s="6" t="str">
        <f t="shared" si="36"/>
        <v>5</v>
      </c>
      <c r="C111" s="6">
        <f t="shared" si="34"/>
        <v>5</v>
      </c>
      <c r="D111" s="230"/>
      <c r="E111" s="223" t="s">
        <v>184</v>
      </c>
      <c r="F111" s="224"/>
      <c r="G111" s="89"/>
      <c r="H111" s="48"/>
      <c r="I111" s="48"/>
      <c r="J111" s="49"/>
      <c r="K111" s="48"/>
      <c r="L111" s="33"/>
      <c r="P111" s="6" t="s">
        <v>1189</v>
      </c>
      <c r="Q111" s="33" t="str">
        <f t="shared" si="35"/>
        <v>6510 ROL/ROR through carry</v>
      </c>
      <c r="R111" s="33">
        <v>0</v>
      </c>
      <c r="S111" s="188">
        <v>0</v>
      </c>
      <c r="T111" s="191">
        <v>6510</v>
      </c>
    </row>
    <row r="112" spans="1:20" ht="15.75" thickBot="1">
      <c r="D112" s="156"/>
      <c r="E112" s="156"/>
      <c r="F112" s="156"/>
      <c r="G112" s="156"/>
      <c r="H112" s="45"/>
      <c r="J112" s="45"/>
      <c r="K112" s="45"/>
      <c r="P112" s="6" t="s">
        <v>1190</v>
      </c>
      <c r="Q112" s="33" t="str">
        <f t="shared" si="35"/>
        <v>6510 CMP flags without changing A</v>
      </c>
      <c r="R112" s="33">
        <v>0</v>
      </c>
      <c r="S112" s="188">
        <v>0</v>
      </c>
      <c r="T112" s="191">
        <v>6510</v>
      </c>
    </row>
    <row r="113" spans="1:20" ht="15.75" thickBot="1">
      <c r="A113" s="20" t="s">
        <v>318</v>
      </c>
      <c r="B113" s="34" t="s">
        <v>136</v>
      </c>
      <c r="C113" s="34" t="s">
        <v>137</v>
      </c>
      <c r="D113" s="228" t="s">
        <v>125</v>
      </c>
      <c r="E113" s="229" t="s">
        <v>142</v>
      </c>
      <c r="F113" s="228" t="s">
        <v>123</v>
      </c>
      <c r="G113" s="228" t="s">
        <v>124</v>
      </c>
      <c r="H113" s="47" t="s">
        <v>245</v>
      </c>
      <c r="I113" s="69" t="s">
        <v>205</v>
      </c>
      <c r="J113" s="46">
        <f>IFERROR(IF(AND(J114:J123),0,1),0)</f>
        <v>1</v>
      </c>
      <c r="K113" s="222" t="s">
        <v>2353</v>
      </c>
      <c r="L113" s="62" t="s">
        <v>304</v>
      </c>
      <c r="M113" s="20">
        <f>IFERROR(VLOOKUP($A113,$P$6:$S$1048576,3,0),0)</f>
        <v>0</v>
      </c>
      <c r="N113" s="20">
        <f>IFERROR(VLOOKUP($A113,$P$6:$S$1048576,4,0),0)</f>
        <v>0</v>
      </c>
      <c r="P113" s="6" t="s">
        <v>1191</v>
      </c>
      <c r="Q113" s="33" t="str">
        <f t="shared" si="35"/>
        <v>6510 PHA/PLA stack round-trip</v>
      </c>
      <c r="R113" s="33">
        <v>0</v>
      </c>
      <c r="S113" s="188">
        <v>0</v>
      </c>
      <c r="T113" s="191">
        <v>6510</v>
      </c>
    </row>
    <row r="114" spans="1:20">
      <c r="B114" s="33" t="str">
        <f t="shared" ref="B114:B119" si="37">DEC2HEX(C114)</f>
        <v>0</v>
      </c>
      <c r="C114" s="33">
        <v>0</v>
      </c>
      <c r="D114" s="230"/>
      <c r="E114" s="223" t="s">
        <v>289</v>
      </c>
      <c r="F114" s="224" t="s">
        <v>303</v>
      </c>
      <c r="G114" s="89" t="s">
        <v>290</v>
      </c>
      <c r="H114" s="48"/>
      <c r="I114" s="75"/>
      <c r="J114" s="49"/>
      <c r="K114" s="48"/>
      <c r="L114" s="33"/>
      <c r="P114" s="6" t="s">
        <v>1192</v>
      </c>
      <c r="Q114" s="33" t="str">
        <f t="shared" si="35"/>
        <v>6510 JSR/RTS subroutine call</v>
      </c>
      <c r="R114" s="33">
        <v>0</v>
      </c>
      <c r="S114" s="188">
        <v>0</v>
      </c>
      <c r="T114" s="191">
        <v>6510</v>
      </c>
    </row>
    <row r="115" spans="1:20">
      <c r="B115" s="33" t="str">
        <f t="shared" si="37"/>
        <v>1</v>
      </c>
      <c r="C115" s="33">
        <f>C114+1</f>
        <v>1</v>
      </c>
      <c r="D115" s="230"/>
      <c r="E115" s="223" t="s">
        <v>190</v>
      </c>
      <c r="F115" s="224" t="s">
        <v>240</v>
      </c>
      <c r="G115" s="89"/>
      <c r="H115" s="48"/>
      <c r="I115" s="75"/>
      <c r="J115" s="49"/>
      <c r="K115" s="48"/>
      <c r="L115" s="33"/>
      <c r="P115" s="6" t="s">
        <v>1193</v>
      </c>
      <c r="Q115" s="33" t="str">
        <f t="shared" si="35"/>
        <v>6510 BEQ/BNE branches taken and not taken</v>
      </c>
      <c r="R115" s="33">
        <v>0</v>
      </c>
      <c r="S115" s="188">
        <v>0</v>
      </c>
      <c r="T115" s="191">
        <v>6510</v>
      </c>
    </row>
    <row r="116" spans="1:20">
      <c r="B116" s="33" t="str">
        <f t="shared" si="37"/>
        <v>2</v>
      </c>
      <c r="C116" s="33">
        <f t="shared" ref="C116:C123" si="38">C115+1</f>
        <v>2</v>
      </c>
      <c r="D116" s="230"/>
      <c r="E116" s="223" t="s">
        <v>190</v>
      </c>
      <c r="F116" s="224" t="s">
        <v>244</v>
      </c>
      <c r="G116" s="89" t="s">
        <v>300</v>
      </c>
      <c r="H116" s="48" t="s">
        <v>305</v>
      </c>
      <c r="I116" s="75" t="s">
        <v>331</v>
      </c>
      <c r="J116" s="85" t="b">
        <f>NOT(ISERROR(FIND(I116,consoleText)))</f>
        <v>0</v>
      </c>
      <c r="K116" s="48"/>
      <c r="L116" s="33"/>
      <c r="P116" s="6" t="s">
        <v>1194</v>
      </c>
      <c r="Q116" s="33" t="str">
        <f t="shared" si="35"/>
        <v>6510 BCC/BCS carry branches</v>
      </c>
      <c r="R116" s="33">
        <v>0</v>
      </c>
      <c r="S116" s="188">
        <v>0</v>
      </c>
      <c r="T116" s="191">
        <v>6510</v>
      </c>
    </row>
    <row r="117" spans="1:20">
      <c r="B117" s="33" t="str">
        <f t="shared" si="37"/>
        <v>3</v>
      </c>
      <c r="C117" s="33">
        <f t="shared" si="38"/>
        <v>3</v>
      </c>
      <c r="D117" s="230"/>
      <c r="E117" s="223" t="s">
        <v>190</v>
      </c>
      <c r="F117" s="224" t="s">
        <v>239</v>
      </c>
      <c r="G117" s="89" t="s">
        <v>301</v>
      </c>
      <c r="H117" s="48"/>
      <c r="I117" s="75"/>
      <c r="J117" s="49"/>
      <c r="K117" s="48"/>
      <c r="L117" s="33"/>
      <c r="P117" s="6" t="s">
        <v>2435</v>
      </c>
      <c r="Q117" s="33" t="str">
        <f t="shared" ref="Q117" si="39">IFERROR(VLOOKUP(P117,$A$4:$L$1048576,12,0),"")</f>
        <v>6510 Memory Swap</v>
      </c>
      <c r="R117" s="33">
        <v>0</v>
      </c>
      <c r="S117" s="188">
        <v>0</v>
      </c>
      <c r="T117" s="191">
        <v>6510</v>
      </c>
    </row>
    <row r="118" spans="1:20">
      <c r="B118" s="33" t="str">
        <f t="shared" si="37"/>
        <v>4</v>
      </c>
      <c r="C118" s="33">
        <f t="shared" si="38"/>
        <v>4</v>
      </c>
      <c r="D118" s="230"/>
      <c r="E118" s="223" t="s">
        <v>289</v>
      </c>
      <c r="F118" s="224" t="s">
        <v>303</v>
      </c>
      <c r="G118" s="89" t="s">
        <v>293</v>
      </c>
      <c r="H118" s="48"/>
      <c r="I118" s="75"/>
      <c r="J118" s="49"/>
      <c r="K118" s="48"/>
      <c r="L118" s="33"/>
      <c r="P118" s="6" t="s">
        <v>2437</v>
      </c>
      <c r="Q118" s="33" t="str">
        <f t="shared" ref="Q118:Q125" si="40">IFERROR(VLOOKUP(P118,$A$4:$L$1048576,12,0),"")</f>
        <v>6510 Memory Swap Loop</v>
      </c>
      <c r="R118" s="33">
        <v>0</v>
      </c>
      <c r="S118" s="188">
        <v>0</v>
      </c>
      <c r="T118" s="191">
        <v>6510</v>
      </c>
    </row>
    <row r="119" spans="1:20">
      <c r="B119" s="33" t="str">
        <f t="shared" si="37"/>
        <v>5</v>
      </c>
      <c r="C119" s="33">
        <f t="shared" si="38"/>
        <v>5</v>
      </c>
      <c r="D119" s="230"/>
      <c r="E119" s="223" t="s">
        <v>190</v>
      </c>
      <c r="F119" s="224" t="s">
        <v>240</v>
      </c>
      <c r="G119" s="89"/>
      <c r="H119" s="48"/>
      <c r="I119" s="75"/>
      <c r="J119" s="49"/>
      <c r="K119" s="48"/>
      <c r="L119" s="33"/>
      <c r="P119" s="6" t="s">
        <v>2438</v>
      </c>
      <c r="Q119" s="33" t="str">
        <f t="shared" si="40"/>
        <v/>
      </c>
      <c r="R119" s="33">
        <v>0</v>
      </c>
      <c r="S119" s="188">
        <v>0</v>
      </c>
      <c r="T119" s="191"/>
    </row>
    <row r="120" spans="1:20">
      <c r="B120" s="33" t="str">
        <f t="shared" ref="B120:B123" si="41">DEC2HEX(C120)</f>
        <v>6</v>
      </c>
      <c r="C120" s="33">
        <f t="shared" si="38"/>
        <v>6</v>
      </c>
      <c r="D120" s="230"/>
      <c r="E120" s="223" t="s">
        <v>190</v>
      </c>
      <c r="F120" s="224" t="s">
        <v>243</v>
      </c>
      <c r="G120" s="89" t="s">
        <v>302</v>
      </c>
      <c r="H120" s="48"/>
      <c r="I120" s="75"/>
      <c r="J120" s="49"/>
      <c r="K120" s="48"/>
      <c r="L120" s="33"/>
      <c r="P120" s="6" t="s">
        <v>2439</v>
      </c>
      <c r="Q120" s="33" t="str">
        <f t="shared" si="40"/>
        <v/>
      </c>
      <c r="R120" s="33">
        <v>0</v>
      </c>
      <c r="S120" s="188">
        <v>0</v>
      </c>
      <c r="T120" s="191"/>
    </row>
    <row r="121" spans="1:20">
      <c r="B121" s="33" t="str">
        <f t="shared" si="41"/>
        <v>7</v>
      </c>
      <c r="C121" s="33">
        <f t="shared" si="38"/>
        <v>7</v>
      </c>
      <c r="D121" s="230"/>
      <c r="E121" s="223" t="s">
        <v>184</v>
      </c>
      <c r="F121" s="224"/>
      <c r="G121" s="89"/>
      <c r="H121" s="48"/>
      <c r="I121" s="75"/>
      <c r="J121" s="49"/>
      <c r="K121" s="48"/>
      <c r="L121" s="33"/>
      <c r="P121" s="6" t="s">
        <v>2440</v>
      </c>
      <c r="Q121" s="33" t="str">
        <f t="shared" si="40"/>
        <v/>
      </c>
      <c r="R121" s="33">
        <v>0</v>
      </c>
      <c r="S121" s="188">
        <v>0</v>
      </c>
      <c r="T121" s="191"/>
    </row>
    <row r="122" spans="1:20">
      <c r="B122" s="33" t="str">
        <f t="shared" si="41"/>
        <v>8</v>
      </c>
      <c r="C122" s="33">
        <f t="shared" si="38"/>
        <v>8</v>
      </c>
      <c r="D122" s="230" t="s">
        <v>290</v>
      </c>
      <c r="E122" s="223" t="s">
        <v>292</v>
      </c>
      <c r="F122" s="224" t="s">
        <v>291</v>
      </c>
      <c r="G122" s="89"/>
      <c r="H122" s="48" t="s">
        <v>305</v>
      </c>
      <c r="I122" s="75" t="s">
        <v>291</v>
      </c>
      <c r="J122" s="85" t="b">
        <f>NOT(ISERROR(FIND(I122,consoleText)))</f>
        <v>0</v>
      </c>
      <c r="K122" s="48"/>
      <c r="L122" s="33"/>
      <c r="P122" s="6" t="s">
        <v>2441</v>
      </c>
      <c r="Q122" s="33" t="str">
        <f t="shared" si="40"/>
        <v/>
      </c>
      <c r="R122" s="33">
        <v>0</v>
      </c>
      <c r="S122" s="188">
        <v>0</v>
      </c>
      <c r="T122" s="191"/>
    </row>
    <row r="123" spans="1:20">
      <c r="B123" s="33" t="str">
        <f t="shared" si="41"/>
        <v>9</v>
      </c>
      <c r="C123" s="33">
        <f t="shared" si="38"/>
        <v>9</v>
      </c>
      <c r="D123" s="230" t="s">
        <v>293</v>
      </c>
      <c r="E123" s="223" t="s">
        <v>292</v>
      </c>
      <c r="F123" s="224" t="s">
        <v>294</v>
      </c>
      <c r="G123" s="89"/>
      <c r="H123" s="48" t="s">
        <v>305</v>
      </c>
      <c r="I123" s="75" t="s">
        <v>294</v>
      </c>
      <c r="J123" s="85" t="b">
        <f>NOT(ISERROR(FIND(I123,consoleText)))</f>
        <v>0</v>
      </c>
      <c r="K123" s="48"/>
      <c r="L123" s="33"/>
      <c r="P123" s="6" t="s">
        <v>2442</v>
      </c>
      <c r="Q123" s="33" t="str">
        <f t="shared" si="40"/>
        <v/>
      </c>
      <c r="R123" s="33">
        <v>0</v>
      </c>
      <c r="S123" s="188">
        <v>0</v>
      </c>
      <c r="T123" s="191"/>
    </row>
    <row r="124" spans="1:20" ht="15.75" thickBot="1">
      <c r="D124" s="156"/>
      <c r="E124" s="156"/>
      <c r="F124" s="156"/>
      <c r="G124" s="156"/>
      <c r="H124" s="45"/>
      <c r="J124" s="45"/>
      <c r="K124" s="45"/>
      <c r="P124" s="6" t="s">
        <v>2443</v>
      </c>
      <c r="Q124" s="33" t="str">
        <f t="shared" si="40"/>
        <v/>
      </c>
      <c r="R124" s="33">
        <v>0</v>
      </c>
      <c r="S124" s="188">
        <v>0</v>
      </c>
      <c r="T124" s="191"/>
    </row>
    <row r="125" spans="1:20" ht="15.75" thickBot="1">
      <c r="A125" s="20" t="s">
        <v>319</v>
      </c>
      <c r="B125" s="34" t="s">
        <v>136</v>
      </c>
      <c r="C125" s="34" t="s">
        <v>137</v>
      </c>
      <c r="D125" s="228" t="s">
        <v>125</v>
      </c>
      <c r="E125" s="229" t="s">
        <v>142</v>
      </c>
      <c r="F125" s="228" t="s">
        <v>123</v>
      </c>
      <c r="G125" s="228" t="s">
        <v>124</v>
      </c>
      <c r="H125" s="47" t="s">
        <v>245</v>
      </c>
      <c r="I125" s="69" t="s">
        <v>205</v>
      </c>
      <c r="J125" s="46">
        <f ca="1">IFERROR(IF(AND(J126:J133),0,1),0)</f>
        <v>0</v>
      </c>
      <c r="K125" s="222" t="s">
        <v>2353</v>
      </c>
      <c r="L125" s="62" t="s">
        <v>328</v>
      </c>
      <c r="M125" s="20">
        <f>IFERROR(VLOOKUP($A125,$P$6:$S$1048576,3,0),0)</f>
        <v>0</v>
      </c>
      <c r="N125" s="20">
        <f>IFERROR(VLOOKUP($A125,$P$6:$S$1048576,4,0),0)</f>
        <v>0</v>
      </c>
      <c r="P125" s="6" t="s">
        <v>2444</v>
      </c>
      <c r="Q125" s="33" t="str">
        <f t="shared" si="40"/>
        <v/>
      </c>
      <c r="R125" s="33">
        <v>0</v>
      </c>
      <c r="S125" s="188">
        <v>0</v>
      </c>
      <c r="T125" s="191"/>
    </row>
    <row r="126" spans="1:20">
      <c r="A126" t="s">
        <v>259</v>
      </c>
      <c r="B126" s="33" t="str">
        <f t="shared" ref="B126:B133" si="42">DEC2HEX(C126)</f>
        <v>0</v>
      </c>
      <c r="C126" s="33">
        <v>0</v>
      </c>
      <c r="D126" s="230"/>
      <c r="E126" s="223" t="s">
        <v>141</v>
      </c>
      <c r="F126" s="224" t="s">
        <v>146</v>
      </c>
      <c r="G126" s="89" t="s">
        <v>325</v>
      </c>
      <c r="H126" s="48" t="s">
        <v>146</v>
      </c>
      <c r="I126" s="75" t="s">
        <v>325</v>
      </c>
      <c r="J126" s="79" t="b" cm="1">
        <f t="array" aca="1" ref="J126" ca="1">RIGHT("00"&amp;INDIRECT("R_"&amp;H126),2)=RIGHT("00"&amp;I126,2)</f>
        <v>0</v>
      </c>
      <c r="K126" s="48"/>
      <c r="L126" s="33"/>
    </row>
    <row r="127" spans="1:20">
      <c r="A127" t="s">
        <v>259</v>
      </c>
      <c r="B127" s="33" t="str">
        <f t="shared" si="42"/>
        <v>1</v>
      </c>
      <c r="C127" s="33">
        <v>1</v>
      </c>
      <c r="D127" s="230"/>
      <c r="E127" s="223" t="s">
        <v>141</v>
      </c>
      <c r="F127" s="224" t="s">
        <v>144</v>
      </c>
      <c r="G127" s="89">
        <v>12</v>
      </c>
      <c r="H127" s="48" t="s">
        <v>144</v>
      </c>
      <c r="I127" s="75">
        <v>12</v>
      </c>
      <c r="J127" s="79" t="e" cm="1">
        <f t="array" aca="1" ref="J127" ca="1">RIGHT("00"&amp;INDIRECT("R_"&amp;H127),2)=RIGHT("00"&amp;I127,2)</f>
        <v>#REF!</v>
      </c>
      <c r="K127" s="48"/>
      <c r="L127" s="33"/>
    </row>
    <row r="128" spans="1:20">
      <c r="A128" t="s">
        <v>259</v>
      </c>
      <c r="B128" s="33" t="str">
        <f t="shared" si="42"/>
        <v>2</v>
      </c>
      <c r="C128" s="33">
        <v>2</v>
      </c>
      <c r="D128" s="230"/>
      <c r="E128" s="223" t="s">
        <v>141</v>
      </c>
      <c r="F128" s="224" t="s">
        <v>182</v>
      </c>
      <c r="G128" s="89" t="s">
        <v>326</v>
      </c>
      <c r="H128" s="48" t="s">
        <v>182</v>
      </c>
      <c r="I128" s="75" t="s">
        <v>326</v>
      </c>
      <c r="J128" s="79" t="e" cm="1">
        <f t="array" aca="1" ref="J128" ca="1">RIGHT("00"&amp;INDIRECT("R_"&amp;H128),2)=RIGHT("00"&amp;I128,2)</f>
        <v>#REF!</v>
      </c>
      <c r="K128" s="48"/>
      <c r="L128" s="33"/>
    </row>
    <row r="129" spans="1:14">
      <c r="A129" t="s">
        <v>259</v>
      </c>
      <c r="B129" s="33" t="str">
        <f t="shared" si="42"/>
        <v>3</v>
      </c>
      <c r="C129" s="33">
        <v>3</v>
      </c>
      <c r="D129" s="230"/>
      <c r="E129" s="223" t="s">
        <v>181</v>
      </c>
      <c r="F129" s="224" t="s">
        <v>183</v>
      </c>
      <c r="G129" s="89" t="s">
        <v>144</v>
      </c>
      <c r="H129" s="48" t="s">
        <v>183</v>
      </c>
      <c r="I129" s="75">
        <v>12</v>
      </c>
      <c r="J129" s="79" t="e" cm="1">
        <f t="array" aca="1" ref="J129" ca="1">RIGHT("00"&amp;INDIRECT("R_"&amp;H129),2)=RIGHT("00"&amp;I129,2)</f>
        <v>#REF!</v>
      </c>
      <c r="K129" s="48"/>
      <c r="L129" s="33"/>
    </row>
    <row r="130" spans="1:14">
      <c r="A130" t="s">
        <v>259</v>
      </c>
      <c r="B130" s="33" t="str">
        <f t="shared" si="42"/>
        <v>4</v>
      </c>
      <c r="C130" s="33">
        <v>4</v>
      </c>
      <c r="D130" s="230"/>
      <c r="E130" s="223" t="s">
        <v>181</v>
      </c>
      <c r="F130" s="224" t="s">
        <v>265</v>
      </c>
      <c r="G130" s="89" t="s">
        <v>182</v>
      </c>
      <c r="H130" s="48" t="s">
        <v>265</v>
      </c>
      <c r="I130" s="75" t="s">
        <v>326</v>
      </c>
      <c r="J130" s="79" t="e" cm="1">
        <f t="array" aca="1" ref="J130" ca="1">RIGHT("00"&amp;INDIRECT("R_"&amp;H130),2)=RIGHT("00"&amp;I130,2)</f>
        <v>#REF!</v>
      </c>
      <c r="K130" s="48"/>
      <c r="L130" s="33"/>
    </row>
    <row r="131" spans="1:14">
      <c r="A131" t="s">
        <v>259</v>
      </c>
      <c r="B131" s="33" t="str">
        <f t="shared" si="42"/>
        <v>5</v>
      </c>
      <c r="C131" s="33">
        <v>5</v>
      </c>
      <c r="D131" s="230"/>
      <c r="E131" s="223" t="s">
        <v>181</v>
      </c>
      <c r="F131" s="224" t="s">
        <v>303</v>
      </c>
      <c r="G131" s="89" t="s">
        <v>146</v>
      </c>
      <c r="H131" s="48" t="s">
        <v>303</v>
      </c>
      <c r="I131" s="75" t="s">
        <v>325</v>
      </c>
      <c r="J131" s="79" t="e" cm="1">
        <f t="array" aca="1" ref="J131" ca="1">RIGHT("00"&amp;INDIRECT("R_"&amp;H131),2)=RIGHT("00"&amp;I131,2)</f>
        <v>#REF!</v>
      </c>
      <c r="K131" s="48"/>
      <c r="L131" s="33"/>
    </row>
    <row r="132" spans="1:14">
      <c r="B132" s="33" t="str">
        <f t="shared" ref="B132" si="43">DEC2HEX(C132)</f>
        <v>6</v>
      </c>
      <c r="C132" s="33">
        <v>6</v>
      </c>
      <c r="D132" s="230"/>
      <c r="E132" s="223" t="s">
        <v>181</v>
      </c>
      <c r="F132" s="224" t="s">
        <v>327</v>
      </c>
      <c r="G132" s="89" t="s">
        <v>303</v>
      </c>
      <c r="H132" s="48" t="s">
        <v>327</v>
      </c>
      <c r="I132" s="75" t="s">
        <v>325</v>
      </c>
      <c r="J132" s="79" t="e" cm="1">
        <f t="array" aca="1" ref="J132" ca="1">RIGHT("00"&amp;INDIRECT("R_"&amp;H132),2)=RIGHT("00"&amp;I132,2)</f>
        <v>#REF!</v>
      </c>
      <c r="K132" s="48"/>
      <c r="L132" s="33"/>
    </row>
    <row r="133" spans="1:14">
      <c r="B133" s="33" t="str">
        <f t="shared" si="42"/>
        <v>7</v>
      </c>
      <c r="C133" s="33">
        <v>7</v>
      </c>
      <c r="D133" s="230"/>
      <c r="E133" s="223" t="s">
        <v>184</v>
      </c>
      <c r="F133" s="224"/>
      <c r="G133" s="89"/>
      <c r="H133" s="48"/>
      <c r="I133" s="75"/>
      <c r="J133" s="48"/>
      <c r="K133" s="48"/>
      <c r="L133" s="33"/>
    </row>
    <row r="134" spans="1:14" ht="15.75" thickBot="1">
      <c r="D134" s="156"/>
      <c r="E134" s="156"/>
      <c r="F134" s="156"/>
      <c r="G134" s="156"/>
      <c r="H134" s="45"/>
      <c r="J134" s="45"/>
      <c r="K134" s="45"/>
    </row>
    <row r="135" spans="1:14" ht="15.75" thickBot="1">
      <c r="A135" s="20" t="s">
        <v>320</v>
      </c>
      <c r="B135" s="34" t="s">
        <v>136</v>
      </c>
      <c r="C135" s="34" t="s">
        <v>137</v>
      </c>
      <c r="D135" s="228" t="s">
        <v>125</v>
      </c>
      <c r="E135" s="229" t="s">
        <v>142</v>
      </c>
      <c r="F135" s="228" t="s">
        <v>123</v>
      </c>
      <c r="G135" s="228" t="s">
        <v>124</v>
      </c>
      <c r="H135" s="47" t="s">
        <v>245</v>
      </c>
      <c r="I135" s="69" t="s">
        <v>205</v>
      </c>
      <c r="J135" s="46">
        <f ca="1">IFERROR(IF(AND(J136:J146),0,1),0)</f>
        <v>0</v>
      </c>
      <c r="K135" s="222" t="s">
        <v>2353</v>
      </c>
      <c r="L135" s="62" t="s">
        <v>329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3" t="str">
        <f t="shared" ref="B136:B146" si="44">DEC2HEX(C136)</f>
        <v>0</v>
      </c>
      <c r="C136" s="33">
        <v>0</v>
      </c>
      <c r="D136" s="230"/>
      <c r="E136" s="223" t="s">
        <v>141</v>
      </c>
      <c r="F136" s="224" t="s">
        <v>146</v>
      </c>
      <c r="G136" s="89" t="s">
        <v>215</v>
      </c>
      <c r="H136" s="48" t="s">
        <v>146</v>
      </c>
      <c r="I136" s="75">
        <v>81</v>
      </c>
      <c r="J136" s="79" t="b" cm="1">
        <f t="array" aca="1" ref="J136" ca="1">RIGHT("00"&amp;INDIRECT("R_"&amp;H136),2)=RIGHT("00"&amp;I136,2)</f>
        <v>0</v>
      </c>
      <c r="K136" s="48"/>
      <c r="L136" s="33"/>
      <c r="M136" s="33"/>
    </row>
    <row r="137" spans="1:14">
      <c r="B137" s="33" t="str">
        <f t="shared" si="44"/>
        <v>1</v>
      </c>
      <c r="C137" s="33">
        <v>1</v>
      </c>
      <c r="D137" s="230"/>
      <c r="E137" s="223" t="s">
        <v>141</v>
      </c>
      <c r="F137" s="224" t="s">
        <v>144</v>
      </c>
      <c r="G137" s="89">
        <v>80</v>
      </c>
      <c r="H137" s="48" t="s">
        <v>144</v>
      </c>
      <c r="I137" s="75">
        <v>81</v>
      </c>
      <c r="J137" s="79" t="e" cm="1">
        <f t="array" aca="1" ref="J137" ca="1">RIGHT("00"&amp;INDIRECT("R_"&amp;H137),2)=RIGHT("00"&amp;I137,2)</f>
        <v>#REF!</v>
      </c>
      <c r="K137" s="48"/>
      <c r="L137" s="33"/>
      <c r="M137" s="33"/>
    </row>
    <row r="138" spans="1:14">
      <c r="B138" s="33" t="str">
        <f t="shared" si="44"/>
        <v>2</v>
      </c>
      <c r="C138" s="33">
        <v>2</v>
      </c>
      <c r="D138" s="230"/>
      <c r="E138" s="223" t="s">
        <v>141</v>
      </c>
      <c r="F138" s="224" t="s">
        <v>182</v>
      </c>
      <c r="G138" s="89" t="s">
        <v>295</v>
      </c>
      <c r="H138" s="48" t="s">
        <v>182</v>
      </c>
      <c r="I138" s="75" t="s">
        <v>295</v>
      </c>
      <c r="J138" s="79" t="e" cm="1">
        <f t="array" aca="1" ref="J138" ca="1">RIGHT("00"&amp;INDIRECT("R_"&amp;H138),2)=RIGHT("00"&amp;I138,2)</f>
        <v>#REF!</v>
      </c>
      <c r="K138" s="48"/>
      <c r="L138" s="33"/>
      <c r="M138" s="33"/>
    </row>
    <row r="139" spans="1:14">
      <c r="B139" s="33" t="str">
        <f t="shared" si="44"/>
        <v>3</v>
      </c>
      <c r="C139" s="33">
        <v>3</v>
      </c>
      <c r="D139" s="230"/>
      <c r="E139" s="223" t="s">
        <v>262</v>
      </c>
      <c r="F139" s="224" t="s">
        <v>144</v>
      </c>
      <c r="G139" s="89"/>
      <c r="H139" s="48"/>
      <c r="I139" s="75"/>
      <c r="J139" s="49"/>
      <c r="K139" s="48"/>
      <c r="L139" s="33"/>
      <c r="M139" s="33"/>
    </row>
    <row r="140" spans="1:14">
      <c r="B140" s="33" t="str">
        <f t="shared" si="44"/>
        <v>4</v>
      </c>
      <c r="C140" s="33">
        <v>4</v>
      </c>
      <c r="D140" s="230"/>
      <c r="E140" s="223" t="s">
        <v>262</v>
      </c>
      <c r="F140" s="224" t="s">
        <v>182</v>
      </c>
      <c r="G140" s="89"/>
      <c r="H140" s="48"/>
      <c r="I140" s="75"/>
      <c r="J140" s="49"/>
      <c r="K140" s="48"/>
      <c r="L140" s="33"/>
      <c r="M140" s="33"/>
    </row>
    <row r="141" spans="1:14">
      <c r="B141" s="33" t="str">
        <f t="shared" si="44"/>
        <v>5</v>
      </c>
      <c r="C141" s="33">
        <v>5</v>
      </c>
      <c r="D141" s="230"/>
      <c r="E141" s="223" t="s">
        <v>181</v>
      </c>
      <c r="F141" s="224" t="s">
        <v>144</v>
      </c>
      <c r="G141" s="89" t="s">
        <v>146</v>
      </c>
      <c r="H141" s="48" t="s">
        <v>120</v>
      </c>
      <c r="I141" s="75">
        <v>1</v>
      </c>
      <c r="J141" s="81" t="e" cm="1">
        <f t="array" aca="1" ref="J141" ca="1">INDIRECT(H141)=I141</f>
        <v>#REF!</v>
      </c>
      <c r="K141" s="48"/>
      <c r="L141" s="33"/>
      <c r="M141" s="33"/>
    </row>
    <row r="142" spans="1:14">
      <c r="B142" s="33" t="str">
        <f t="shared" si="44"/>
        <v>6</v>
      </c>
      <c r="C142" s="33">
        <v>6</v>
      </c>
      <c r="D142" s="230"/>
      <c r="E142" s="223"/>
      <c r="F142" s="224"/>
      <c r="G142" s="89"/>
      <c r="H142" s="75" t="s">
        <v>119</v>
      </c>
      <c r="I142" s="75">
        <v>0</v>
      </c>
      <c r="J142" s="81" t="b" cm="1">
        <f t="array" aca="1" ref="J142" ca="1">INDIRECT(H142)=I142</f>
        <v>1</v>
      </c>
      <c r="K142" s="48"/>
      <c r="L142" s="33"/>
      <c r="M142" s="33"/>
    </row>
    <row r="143" spans="1:14">
      <c r="B143" s="33" t="str">
        <f t="shared" si="44"/>
        <v>7</v>
      </c>
      <c r="C143" s="33">
        <v>7</v>
      </c>
      <c r="D143" s="230"/>
      <c r="E143" s="223"/>
      <c r="F143" s="224"/>
      <c r="G143" s="89"/>
      <c r="H143" s="75" t="s">
        <v>115</v>
      </c>
      <c r="I143" s="75">
        <v>0</v>
      </c>
      <c r="J143" s="81" t="b" cm="1">
        <f t="array" aca="1" ref="J143" ca="1">INDIRECT(H143)=I143</f>
        <v>0</v>
      </c>
      <c r="K143" s="48"/>
      <c r="L143" s="33"/>
      <c r="M143" s="33"/>
    </row>
    <row r="144" spans="1:14">
      <c r="B144" s="33" t="str">
        <f t="shared" si="44"/>
        <v>8</v>
      </c>
      <c r="C144" s="33">
        <v>8</v>
      </c>
      <c r="D144" s="230"/>
      <c r="E144" s="223"/>
      <c r="F144" s="224"/>
      <c r="G144" s="89"/>
      <c r="H144" s="75" t="s">
        <v>122</v>
      </c>
      <c r="I144" s="75">
        <v>0</v>
      </c>
      <c r="J144" s="81" t="e" cm="1">
        <f t="array" aca="1" ref="J144" ca="1">INDIRECT(H144)=I144</f>
        <v>#REF!</v>
      </c>
      <c r="K144" s="48"/>
      <c r="L144" s="33"/>
      <c r="M144" s="33"/>
    </row>
    <row r="145" spans="1:14">
      <c r="B145" s="33" t="str">
        <f t="shared" si="44"/>
        <v>9</v>
      </c>
      <c r="C145" s="33">
        <v>9</v>
      </c>
      <c r="D145" s="230"/>
      <c r="E145" s="223"/>
      <c r="F145" s="224"/>
      <c r="G145" s="89"/>
      <c r="H145" s="75" t="s">
        <v>116</v>
      </c>
      <c r="I145" s="75">
        <v>1</v>
      </c>
      <c r="J145" s="81" t="e" cm="1">
        <f t="array" aca="1" ref="J145" ca="1">INDIRECT(H145)=I145</f>
        <v>#REF!</v>
      </c>
      <c r="K145" s="48"/>
      <c r="L145" s="33"/>
      <c r="M145" s="33"/>
    </row>
    <row r="146" spans="1:14">
      <c r="B146" s="33" t="str">
        <f t="shared" si="44"/>
        <v>A</v>
      </c>
      <c r="C146" s="33">
        <v>10</v>
      </c>
      <c r="D146" s="230"/>
      <c r="E146" s="223" t="s">
        <v>184</v>
      </c>
      <c r="F146" s="224"/>
      <c r="G146" s="89"/>
      <c r="H146" s="48"/>
      <c r="I146" s="75"/>
      <c r="J146" s="49"/>
      <c r="K146" s="48"/>
      <c r="L146" s="33"/>
      <c r="M146" s="33"/>
    </row>
    <row r="147" spans="1:14" ht="15.75" thickBot="1">
      <c r="D147" s="156"/>
      <c r="E147" s="156"/>
      <c r="F147" s="156"/>
      <c r="G147" s="156"/>
      <c r="H147" s="45"/>
      <c r="J147" s="45"/>
      <c r="K147" s="45"/>
    </row>
    <row r="148" spans="1:14" ht="15.75" thickBot="1">
      <c r="A148" s="20" t="s">
        <v>321</v>
      </c>
      <c r="B148" s="34" t="s">
        <v>136</v>
      </c>
      <c r="C148" s="34" t="s">
        <v>137</v>
      </c>
      <c r="D148" s="228" t="s">
        <v>125</v>
      </c>
      <c r="E148" s="229" t="s">
        <v>142</v>
      </c>
      <c r="F148" s="228" t="s">
        <v>123</v>
      </c>
      <c r="G148" s="228" t="s">
        <v>124</v>
      </c>
      <c r="H148" s="47" t="s">
        <v>245</v>
      </c>
      <c r="I148" s="69" t="s">
        <v>205</v>
      </c>
      <c r="J148" s="46">
        <f ca="1">IFERROR(IF(AND(J149:J161),0,1),0)</f>
        <v>0</v>
      </c>
      <c r="K148" s="222" t="s">
        <v>2353</v>
      </c>
      <c r="L148" s="62" t="s">
        <v>332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3" t="str">
        <f t="shared" ref="B149:B161" si="45">DEC2HEX(C149)</f>
        <v>0</v>
      </c>
      <c r="C149" s="33">
        <v>0</v>
      </c>
      <c r="D149" s="230"/>
      <c r="E149" s="223" t="s">
        <v>141</v>
      </c>
      <c r="F149" s="224" t="s">
        <v>146</v>
      </c>
      <c r="G149" s="89" t="s">
        <v>140</v>
      </c>
      <c r="H149" s="48"/>
      <c r="I149" s="75"/>
      <c r="J149" s="49"/>
      <c r="K149" s="48"/>
      <c r="L149" s="33"/>
      <c r="M149" s="33"/>
    </row>
    <row r="150" spans="1:14">
      <c r="B150" s="33" t="str">
        <f t="shared" si="45"/>
        <v>1</v>
      </c>
      <c r="C150" s="33">
        <v>1</v>
      </c>
      <c r="D150" s="230"/>
      <c r="E150" s="223" t="s">
        <v>208</v>
      </c>
      <c r="F150" s="224" t="s">
        <v>146</v>
      </c>
      <c r="G150" s="89"/>
      <c r="H150" s="48" t="s">
        <v>146</v>
      </c>
      <c r="I150" s="75" t="s">
        <v>215</v>
      </c>
      <c r="J150" s="79" t="b" cm="1">
        <f t="array" aca="1" ref="J150" ca="1">RIGHT("00"&amp;INDIRECT("R_"&amp;H150),2)=RIGHT("00"&amp;I150,2)</f>
        <v>0</v>
      </c>
      <c r="K150" s="48"/>
      <c r="L150" s="33"/>
      <c r="M150" s="33"/>
    </row>
    <row r="151" spans="1:14">
      <c r="B151" s="33" t="str">
        <f t="shared" si="45"/>
        <v>2</v>
      </c>
      <c r="C151" s="33">
        <v>2</v>
      </c>
      <c r="D151" s="230"/>
      <c r="E151" s="223"/>
      <c r="F151" s="224"/>
      <c r="G151" s="89"/>
      <c r="H151" s="75" t="s">
        <v>119</v>
      </c>
      <c r="I151" s="75">
        <v>0</v>
      </c>
      <c r="J151" s="81" t="b" cm="1">
        <f t="array" aca="1" ref="J151" ca="1">INDIRECT(H151)=I151</f>
        <v>1</v>
      </c>
      <c r="K151" s="48"/>
      <c r="L151" s="33"/>
      <c r="M151" s="33"/>
    </row>
    <row r="152" spans="1:14">
      <c r="B152" s="33" t="str">
        <f t="shared" si="45"/>
        <v>3</v>
      </c>
      <c r="C152" s="33">
        <v>3</v>
      </c>
      <c r="D152" s="230"/>
      <c r="E152" s="223"/>
      <c r="F152" s="224"/>
      <c r="G152" s="89"/>
      <c r="H152" s="75" t="s">
        <v>120</v>
      </c>
      <c r="I152" s="75">
        <v>1</v>
      </c>
      <c r="J152" s="81" t="e" cm="1">
        <f t="array" aca="1" ref="J152" ca="1">INDIRECT(H152)=I152</f>
        <v>#REF!</v>
      </c>
      <c r="K152" s="48"/>
      <c r="L152" s="33"/>
      <c r="M152" s="33"/>
    </row>
    <row r="153" spans="1:14">
      <c r="B153" s="33" t="str">
        <f t="shared" si="45"/>
        <v>4</v>
      </c>
      <c r="C153" s="33">
        <v>4</v>
      </c>
      <c r="D153" s="230"/>
      <c r="E153" s="223"/>
      <c r="F153" s="224"/>
      <c r="G153" s="89"/>
      <c r="H153" s="75" t="s">
        <v>122</v>
      </c>
      <c r="I153" s="75">
        <v>1</v>
      </c>
      <c r="J153" s="81" t="e" cm="1">
        <f t="array" aca="1" ref="J153" ca="1">INDIRECT(H153)=I153</f>
        <v>#REF!</v>
      </c>
      <c r="K153" s="48"/>
      <c r="L153" s="33"/>
      <c r="M153" s="33"/>
    </row>
    <row r="154" spans="1:14">
      <c r="B154" s="33" t="str">
        <f t="shared" si="45"/>
        <v>5</v>
      </c>
      <c r="C154" s="33">
        <v>5</v>
      </c>
      <c r="D154" s="230"/>
      <c r="E154" s="223" t="s">
        <v>141</v>
      </c>
      <c r="F154" s="224" t="s">
        <v>144</v>
      </c>
      <c r="G154" s="89" t="s">
        <v>333</v>
      </c>
      <c r="H154" s="48"/>
      <c r="I154" s="75"/>
      <c r="J154" s="49"/>
      <c r="K154" s="48"/>
      <c r="L154" s="33"/>
      <c r="M154" s="33"/>
    </row>
    <row r="155" spans="1:14">
      <c r="B155" s="33" t="str">
        <f t="shared" si="45"/>
        <v>6</v>
      </c>
      <c r="C155" s="33">
        <v>6</v>
      </c>
      <c r="D155" s="230"/>
      <c r="E155" s="223" t="s">
        <v>208</v>
      </c>
      <c r="F155" s="224" t="s">
        <v>144</v>
      </c>
      <c r="G155" s="89"/>
      <c r="H155" s="75" t="s">
        <v>144</v>
      </c>
      <c r="I155" s="75" t="s">
        <v>214</v>
      </c>
      <c r="J155" s="79" t="e" cm="1">
        <f t="array" aca="1" ref="J155" ca="1">RIGHT("00"&amp;INDIRECT("R_"&amp;H155),2)=RIGHT("00"&amp;I155,2)</f>
        <v>#REF!</v>
      </c>
      <c r="K155" s="48"/>
      <c r="L155" s="33"/>
      <c r="M155" s="33"/>
    </row>
    <row r="156" spans="1:14">
      <c r="B156" s="33" t="str">
        <f t="shared" si="45"/>
        <v>7</v>
      </c>
      <c r="C156" s="33">
        <v>7</v>
      </c>
      <c r="D156" s="230"/>
      <c r="E156" s="223"/>
      <c r="F156" s="224"/>
      <c r="G156" s="89"/>
      <c r="H156" s="75" t="s">
        <v>116</v>
      </c>
      <c r="I156" s="75">
        <v>0</v>
      </c>
      <c r="J156" s="81" t="e" cm="1">
        <f t="array" aca="1" ref="J156" ca="1">INDIRECT(H156)=I156</f>
        <v>#REF!</v>
      </c>
      <c r="K156" s="48"/>
      <c r="L156" s="33"/>
      <c r="M156" s="33"/>
    </row>
    <row r="157" spans="1:14">
      <c r="B157" s="33" t="str">
        <f t="shared" si="45"/>
        <v>8</v>
      </c>
      <c r="C157" s="33">
        <v>8</v>
      </c>
      <c r="D157" s="230"/>
      <c r="E157" s="223" t="s">
        <v>141</v>
      </c>
      <c r="F157" s="224" t="s">
        <v>182</v>
      </c>
      <c r="G157" s="89" t="s">
        <v>214</v>
      </c>
      <c r="H157" s="75"/>
      <c r="I157" s="75"/>
      <c r="J157" s="49"/>
      <c r="K157" s="48"/>
      <c r="L157" s="33"/>
      <c r="M157" s="33"/>
    </row>
    <row r="158" spans="1:14">
      <c r="B158" s="33" t="str">
        <f t="shared" si="45"/>
        <v>9</v>
      </c>
      <c r="C158" s="33">
        <v>9</v>
      </c>
      <c r="D158" s="230"/>
      <c r="E158" s="223" t="s">
        <v>208</v>
      </c>
      <c r="F158" s="224" t="s">
        <v>182</v>
      </c>
      <c r="G158" s="89"/>
      <c r="H158" s="75" t="s">
        <v>182</v>
      </c>
      <c r="I158" s="75">
        <v>80</v>
      </c>
      <c r="J158" s="79" t="e" cm="1">
        <f t="array" aca="1" ref="J158" ca="1">RIGHT("00"&amp;INDIRECT("R_"&amp;H158),2)=RIGHT("00"&amp;I158,2)</f>
        <v>#REF!</v>
      </c>
      <c r="K158" s="48"/>
      <c r="L158" s="33"/>
      <c r="M158" s="33"/>
    </row>
    <row r="159" spans="1:14">
      <c r="B159" s="33" t="str">
        <f t="shared" si="45"/>
        <v>A</v>
      </c>
      <c r="C159" s="33">
        <v>10</v>
      </c>
      <c r="D159" s="230"/>
      <c r="E159" s="223"/>
      <c r="F159" s="224"/>
      <c r="G159" s="89"/>
      <c r="H159" s="48"/>
      <c r="I159" s="75"/>
      <c r="J159" s="49"/>
      <c r="K159" s="48"/>
      <c r="L159" s="33"/>
      <c r="M159" s="33"/>
    </row>
    <row r="160" spans="1:14">
      <c r="B160" s="33" t="str">
        <f t="shared" si="45"/>
        <v>B</v>
      </c>
      <c r="C160" s="33">
        <v>11</v>
      </c>
      <c r="D160" s="230"/>
      <c r="E160" s="223"/>
      <c r="F160" s="224"/>
      <c r="G160" s="89"/>
      <c r="H160" s="75"/>
      <c r="I160" s="75"/>
      <c r="J160" s="49"/>
      <c r="K160" s="48"/>
      <c r="L160" s="33"/>
      <c r="M160" s="33"/>
    </row>
    <row r="161" spans="1:14">
      <c r="B161" s="33" t="str">
        <f t="shared" si="45"/>
        <v>C</v>
      </c>
      <c r="C161" s="33">
        <v>12</v>
      </c>
      <c r="D161" s="230"/>
      <c r="E161" s="223" t="s">
        <v>184</v>
      </c>
      <c r="F161" s="224"/>
      <c r="G161" s="89"/>
      <c r="H161" s="48"/>
      <c r="I161" s="75"/>
      <c r="J161" s="49"/>
      <c r="K161" s="48"/>
      <c r="L161" s="33"/>
      <c r="M161" s="33"/>
    </row>
    <row r="162" spans="1:14" ht="15.75" thickBot="1">
      <c r="D162" s="156"/>
      <c r="E162" s="156"/>
      <c r="F162" s="156"/>
      <c r="G162" s="156"/>
      <c r="H162" s="45"/>
      <c r="J162" s="45"/>
      <c r="K162" s="45"/>
    </row>
    <row r="163" spans="1:14" ht="15.75" thickBot="1">
      <c r="A163" s="20" t="s">
        <v>322</v>
      </c>
      <c r="B163" s="34" t="s">
        <v>136</v>
      </c>
      <c r="C163" s="34" t="s">
        <v>137</v>
      </c>
      <c r="D163" s="228" t="s">
        <v>125</v>
      </c>
      <c r="E163" s="229" t="s">
        <v>142</v>
      </c>
      <c r="F163" s="228" t="s">
        <v>123</v>
      </c>
      <c r="G163" s="228" t="s">
        <v>124</v>
      </c>
      <c r="H163" s="47" t="s">
        <v>245</v>
      </c>
      <c r="I163" s="69" t="s">
        <v>205</v>
      </c>
      <c r="J163" s="46">
        <f ca="1">IFERROR(IF(AND(J164:J172),0,1),0)</f>
        <v>0</v>
      </c>
      <c r="K163" s="222" t="s">
        <v>2353</v>
      </c>
      <c r="L163" s="62" t="s">
        <v>339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3" t="str">
        <f t="shared" ref="B164:B172" si="46">DEC2HEX(C164)</f>
        <v>0</v>
      </c>
      <c r="C164" s="33">
        <v>0</v>
      </c>
      <c r="D164" s="230"/>
      <c r="E164" s="223" t="s">
        <v>141</v>
      </c>
      <c r="F164" s="224" t="s">
        <v>146</v>
      </c>
      <c r="G164" s="89" t="s">
        <v>215</v>
      </c>
      <c r="H164" s="48"/>
      <c r="I164" s="75"/>
      <c r="J164" s="49"/>
      <c r="K164" s="48"/>
      <c r="L164" s="33"/>
      <c r="M164" s="33"/>
    </row>
    <row r="165" spans="1:14">
      <c r="B165" s="33" t="str">
        <f t="shared" si="46"/>
        <v>1</v>
      </c>
      <c r="C165" s="33">
        <v>1</v>
      </c>
      <c r="D165" s="230"/>
      <c r="E165" s="223" t="s">
        <v>232</v>
      </c>
      <c r="F165" s="224" t="s">
        <v>146</v>
      </c>
      <c r="G165" s="89"/>
      <c r="H165" s="48" t="s">
        <v>146</v>
      </c>
      <c r="I165" s="75" t="s">
        <v>140</v>
      </c>
      <c r="J165" s="79" t="b" cm="1">
        <f t="array" aca="1" ref="J165" ca="1">RIGHT("00"&amp;INDIRECT("R_"&amp;H165),2)=RIGHT("00"&amp;I165,2)</f>
        <v>0</v>
      </c>
      <c r="K165" s="48"/>
      <c r="L165" s="33"/>
      <c r="M165" s="33"/>
    </row>
    <row r="166" spans="1:14">
      <c r="B166" s="33" t="str">
        <f t="shared" si="46"/>
        <v>2</v>
      </c>
      <c r="C166" s="33">
        <v>2</v>
      </c>
      <c r="D166" s="230"/>
      <c r="E166" s="223"/>
      <c r="F166" s="224"/>
      <c r="G166" s="89"/>
      <c r="H166" s="75" t="s">
        <v>119</v>
      </c>
      <c r="I166" s="75">
        <v>0</v>
      </c>
      <c r="J166" s="81" t="b" cm="1">
        <f t="array" aca="1" ref="J166" ca="1">INDIRECT(H166)=I166</f>
        <v>1</v>
      </c>
      <c r="K166" s="48"/>
      <c r="L166" s="33"/>
      <c r="M166" s="33"/>
    </row>
    <row r="167" spans="1:14">
      <c r="B167" s="33" t="str">
        <f t="shared" si="46"/>
        <v>3</v>
      </c>
      <c r="C167" s="33">
        <v>3</v>
      </c>
      <c r="D167" s="230"/>
      <c r="E167" s="223"/>
      <c r="F167" s="224"/>
      <c r="G167" s="89"/>
      <c r="H167" s="75" t="s">
        <v>120</v>
      </c>
      <c r="I167" s="75">
        <v>0</v>
      </c>
      <c r="J167" s="81" t="e" cm="1">
        <f t="array" aca="1" ref="J167" ca="1">INDIRECT(H167)=I167</f>
        <v>#REF!</v>
      </c>
      <c r="K167" s="48"/>
      <c r="L167" s="33"/>
      <c r="M167" s="33"/>
    </row>
    <row r="168" spans="1:14">
      <c r="B168" s="33" t="str">
        <f t="shared" si="46"/>
        <v>4</v>
      </c>
      <c r="C168" s="33">
        <v>4</v>
      </c>
      <c r="D168" s="230"/>
      <c r="E168" s="223"/>
      <c r="F168" s="224"/>
      <c r="G168" s="89"/>
      <c r="H168" s="75" t="s">
        <v>122</v>
      </c>
      <c r="I168" s="75">
        <v>1</v>
      </c>
      <c r="J168" s="81" t="e" cm="1">
        <f t="array" aca="1" ref="J168" ca="1">INDIRECT(H168)=I168</f>
        <v>#REF!</v>
      </c>
      <c r="K168" s="48"/>
      <c r="L168" s="33"/>
      <c r="M168" s="33"/>
    </row>
    <row r="169" spans="1:14">
      <c r="B169" s="33" t="str">
        <f t="shared" si="46"/>
        <v>5</v>
      </c>
      <c r="C169" s="33">
        <v>5</v>
      </c>
      <c r="D169" s="230"/>
      <c r="E169" s="223" t="s">
        <v>141</v>
      </c>
      <c r="F169" s="224" t="s">
        <v>144</v>
      </c>
      <c r="G169" s="89">
        <v>10</v>
      </c>
      <c r="H169" s="48"/>
      <c r="I169" s="75"/>
      <c r="J169" s="49"/>
      <c r="K169" s="48"/>
      <c r="L169" s="33"/>
      <c r="M169" s="33"/>
    </row>
    <row r="170" spans="1:14">
      <c r="B170" s="33" t="str">
        <f t="shared" si="46"/>
        <v>6</v>
      </c>
      <c r="C170" s="33">
        <v>6</v>
      </c>
      <c r="D170" s="230"/>
      <c r="E170" s="223" t="s">
        <v>232</v>
      </c>
      <c r="F170" s="224" t="s">
        <v>144</v>
      </c>
      <c r="G170" s="89"/>
      <c r="H170" s="75" t="s">
        <v>144</v>
      </c>
      <c r="I170" s="75" t="s">
        <v>263</v>
      </c>
      <c r="J170" s="79" t="e" cm="1">
        <f t="array" aca="1" ref="J170" ca="1">RIGHT("00"&amp;INDIRECT("R_"&amp;H170),2)=RIGHT("00"&amp;I170,2)</f>
        <v>#REF!</v>
      </c>
      <c r="K170" s="48"/>
      <c r="L170" s="33"/>
      <c r="M170" s="33"/>
    </row>
    <row r="171" spans="1:14">
      <c r="B171" s="33" t="str">
        <f t="shared" si="46"/>
        <v>7</v>
      </c>
      <c r="C171" s="33">
        <v>7</v>
      </c>
      <c r="D171" s="230"/>
      <c r="E171" s="223"/>
      <c r="F171" s="224"/>
      <c r="G171" s="89"/>
      <c r="H171" s="75" t="s">
        <v>116</v>
      </c>
      <c r="I171" s="75">
        <v>1</v>
      </c>
      <c r="J171" s="81" t="e" cm="1">
        <f t="array" aca="1" ref="J171" ca="1">INDIRECT(H171)=I171</f>
        <v>#REF!</v>
      </c>
      <c r="K171" s="48"/>
      <c r="L171" s="33"/>
      <c r="M171" s="33"/>
    </row>
    <row r="172" spans="1:14">
      <c r="B172" s="33" t="str">
        <f t="shared" si="46"/>
        <v>8</v>
      </c>
      <c r="C172" s="33">
        <v>8</v>
      </c>
      <c r="D172" s="230"/>
      <c r="E172" s="223" t="s">
        <v>184</v>
      </c>
      <c r="F172" s="224"/>
      <c r="G172" s="89"/>
      <c r="H172" s="75"/>
      <c r="I172" s="75"/>
      <c r="J172" s="49"/>
      <c r="K172" s="48"/>
      <c r="L172" s="33"/>
      <c r="M172" s="33"/>
    </row>
    <row r="173" spans="1:14" ht="15.75" thickBot="1">
      <c r="D173" s="156"/>
      <c r="E173" s="156"/>
      <c r="F173" s="156"/>
      <c r="G173" s="156"/>
      <c r="H173" s="45"/>
      <c r="J173" s="45"/>
      <c r="K173" s="45"/>
    </row>
    <row r="174" spans="1:14" ht="15.75" thickBot="1">
      <c r="A174" s="20" t="s">
        <v>323</v>
      </c>
      <c r="B174" s="34" t="s">
        <v>136</v>
      </c>
      <c r="C174" s="34" t="s">
        <v>137</v>
      </c>
      <c r="D174" s="228" t="s">
        <v>125</v>
      </c>
      <c r="E174" s="229" t="s">
        <v>142</v>
      </c>
      <c r="F174" s="228" t="s">
        <v>123</v>
      </c>
      <c r="G174" s="228" t="s">
        <v>124</v>
      </c>
      <c r="H174" s="47" t="s">
        <v>245</v>
      </c>
      <c r="I174" s="69" t="s">
        <v>205</v>
      </c>
      <c r="J174" s="46">
        <f ca="1">IFERROR(IF(AND(J175:J182),0,1),0)</f>
        <v>0</v>
      </c>
      <c r="K174" s="222" t="s">
        <v>2353</v>
      </c>
      <c r="L174" s="62" t="s">
        <v>340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3" t="str">
        <f t="shared" ref="B175:B182" si="47">DEC2HEX(C175)</f>
        <v>0</v>
      </c>
      <c r="C175" s="33">
        <v>0</v>
      </c>
      <c r="D175" s="230"/>
      <c r="E175" s="223" t="s">
        <v>289</v>
      </c>
      <c r="F175" s="224" t="s">
        <v>144</v>
      </c>
      <c r="G175" s="89">
        <v>1234</v>
      </c>
      <c r="H175" s="48" t="s">
        <v>144</v>
      </c>
      <c r="I175" s="75">
        <v>12</v>
      </c>
      <c r="J175" s="79" t="e" cm="1">
        <f t="array" aca="1" ref="J175" ca="1">RIGHT("00"&amp;INDIRECT("R_"&amp;H175),2)=RIGHT("00"&amp;I175,2)</f>
        <v>#REF!</v>
      </c>
      <c r="K175" s="48"/>
      <c r="L175" s="33"/>
      <c r="M175" s="33"/>
    </row>
    <row r="176" spans="1:14">
      <c r="B176" s="33" t="str">
        <f t="shared" si="47"/>
        <v>1</v>
      </c>
      <c r="C176" s="33">
        <v>1</v>
      </c>
      <c r="D176" s="230"/>
      <c r="E176" s="223"/>
      <c r="F176" s="224"/>
      <c r="G176" s="89"/>
      <c r="H176" s="48" t="s">
        <v>182</v>
      </c>
      <c r="I176" s="75">
        <v>34</v>
      </c>
      <c r="J176" s="79" t="e" cm="1">
        <f t="array" aca="1" ref="J176" ca="1">RIGHT("00"&amp;INDIRECT("R_"&amp;H176),2)=RIGHT("00"&amp;I176,2)</f>
        <v>#REF!</v>
      </c>
      <c r="K176" s="48"/>
      <c r="L176" s="33"/>
      <c r="M176" s="33"/>
    </row>
    <row r="177" spans="1:14">
      <c r="B177" s="33" t="str">
        <f t="shared" si="47"/>
        <v>2</v>
      </c>
      <c r="C177" s="33">
        <v>2</v>
      </c>
      <c r="D177" s="230"/>
      <c r="E177" s="223" t="s">
        <v>289</v>
      </c>
      <c r="F177" s="224" t="s">
        <v>183</v>
      </c>
      <c r="G177" s="89" t="s">
        <v>334</v>
      </c>
      <c r="H177" s="75" t="s">
        <v>183</v>
      </c>
      <c r="I177" s="75" t="s">
        <v>335</v>
      </c>
      <c r="J177" s="79" t="e" cm="1">
        <f t="array" aca="1" ref="J177" ca="1">RIGHT("00"&amp;INDIRECT("R_"&amp;H177),2)=RIGHT("00"&amp;I177,2)</f>
        <v>#REF!</v>
      </c>
      <c r="K177" s="48"/>
      <c r="L177" s="33"/>
      <c r="M177" s="33"/>
    </row>
    <row r="178" spans="1:14">
      <c r="B178" s="33" t="str">
        <f t="shared" si="47"/>
        <v>3</v>
      </c>
      <c r="C178" s="33">
        <v>3</v>
      </c>
      <c r="D178" s="230"/>
      <c r="E178" s="223"/>
      <c r="F178" s="224"/>
      <c r="G178" s="89"/>
      <c r="H178" s="75" t="s">
        <v>265</v>
      </c>
      <c r="I178" s="75" t="s">
        <v>336</v>
      </c>
      <c r="J178" s="79" t="e" cm="1">
        <f t="array" aca="1" ref="J178" ca="1">RIGHT("00"&amp;INDIRECT("R_"&amp;H178),2)=RIGHT("00"&amp;I178,2)</f>
        <v>#REF!</v>
      </c>
      <c r="K178" s="48"/>
      <c r="L178" s="33"/>
      <c r="M178" s="33"/>
    </row>
    <row r="179" spans="1:14">
      <c r="B179" s="33" t="str">
        <f t="shared" si="47"/>
        <v>4</v>
      </c>
      <c r="C179" s="33">
        <v>4</v>
      </c>
      <c r="D179" s="230"/>
      <c r="E179" s="223" t="s">
        <v>289</v>
      </c>
      <c r="F179" s="224" t="s">
        <v>303</v>
      </c>
      <c r="G179" s="89" t="s">
        <v>337</v>
      </c>
      <c r="H179" s="75" t="s">
        <v>303</v>
      </c>
      <c r="I179" s="75" t="s">
        <v>215</v>
      </c>
      <c r="J179" s="79" t="e" cm="1">
        <f t="array" aca="1" ref="J179" ca="1">RIGHT("00"&amp;INDIRECT("R_"&amp;H179),2)=RIGHT("00"&amp;I179,2)</f>
        <v>#REF!</v>
      </c>
      <c r="K179" s="48"/>
      <c r="L179" s="33"/>
      <c r="M179" s="33"/>
    </row>
    <row r="180" spans="1:14">
      <c r="B180" s="33" t="str">
        <f t="shared" si="47"/>
        <v>5</v>
      </c>
      <c r="C180" s="33">
        <v>5</v>
      </c>
      <c r="D180" s="230"/>
      <c r="E180" s="223"/>
      <c r="F180" s="224"/>
      <c r="G180" s="89"/>
      <c r="H180" s="48" t="s">
        <v>327</v>
      </c>
      <c r="I180" s="75" t="s">
        <v>264</v>
      </c>
      <c r="J180" s="49"/>
      <c r="K180" s="48"/>
      <c r="L180" s="33"/>
      <c r="M180" s="33"/>
    </row>
    <row r="181" spans="1:14">
      <c r="B181" s="33" t="str">
        <f t="shared" si="47"/>
        <v>6</v>
      </c>
      <c r="C181" s="33">
        <v>6</v>
      </c>
      <c r="D181" s="230"/>
      <c r="E181" s="223" t="s">
        <v>289</v>
      </c>
      <c r="F181" s="224" t="s">
        <v>114</v>
      </c>
      <c r="G181" s="89" t="s">
        <v>338</v>
      </c>
      <c r="H181" s="75" t="s">
        <v>114</v>
      </c>
      <c r="I181" s="75" t="s">
        <v>338</v>
      </c>
      <c r="J181" s="81" t="b" cm="1">
        <f t="array" aca="1" ref="J181" ca="1">INDIRECT(H181)=I181</f>
        <v>0</v>
      </c>
      <c r="K181" s="48"/>
      <c r="L181" s="33"/>
      <c r="M181" s="33"/>
    </row>
    <row r="182" spans="1:14">
      <c r="B182" s="33" t="str">
        <f t="shared" si="47"/>
        <v>7</v>
      </c>
      <c r="C182" s="33">
        <v>7</v>
      </c>
      <c r="D182" s="230"/>
      <c r="E182" s="223" t="s">
        <v>184</v>
      </c>
      <c r="F182" s="224"/>
      <c r="G182" s="89"/>
      <c r="H182" s="75"/>
      <c r="I182" s="75"/>
      <c r="J182" s="75"/>
      <c r="K182" s="48"/>
      <c r="L182" s="33"/>
      <c r="M182" s="33"/>
    </row>
    <row r="183" spans="1:14" ht="15.75" thickBot="1">
      <c r="D183" s="156"/>
      <c r="E183" s="156"/>
      <c r="F183" s="156"/>
      <c r="G183" s="156"/>
      <c r="H183" s="45"/>
      <c r="J183" s="45"/>
      <c r="K183" s="45"/>
    </row>
    <row r="184" spans="1:14" ht="15.75" thickBot="1">
      <c r="A184" s="20" t="s">
        <v>324</v>
      </c>
      <c r="B184" s="34" t="s">
        <v>136</v>
      </c>
      <c r="C184" s="34" t="s">
        <v>137</v>
      </c>
      <c r="D184" s="228" t="s">
        <v>125</v>
      </c>
      <c r="E184" s="229" t="s">
        <v>142</v>
      </c>
      <c r="F184" s="228" t="s">
        <v>123</v>
      </c>
      <c r="G184" s="228" t="s">
        <v>124</v>
      </c>
      <c r="H184" s="47" t="s">
        <v>245</v>
      </c>
      <c r="I184" s="69" t="s">
        <v>205</v>
      </c>
      <c r="J184" s="46">
        <f ca="1">IFERROR(IF(AND(J185:J192),0,1),0)</f>
        <v>0</v>
      </c>
      <c r="K184" s="222" t="s">
        <v>2353</v>
      </c>
      <c r="L184" s="62" t="s">
        <v>341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3" t="str">
        <f t="shared" ref="B185:B192" si="48">DEC2HEX(C185)</f>
        <v>0</v>
      </c>
      <c r="C185" s="33">
        <v>0</v>
      </c>
      <c r="D185" s="230"/>
      <c r="E185" s="223" t="s">
        <v>289</v>
      </c>
      <c r="F185" s="224" t="s">
        <v>144</v>
      </c>
      <c r="G185" s="89">
        <v>1234</v>
      </c>
      <c r="H185" s="48" t="s">
        <v>144</v>
      </c>
      <c r="I185" s="75">
        <v>12</v>
      </c>
      <c r="J185" s="79" t="e" cm="1">
        <f t="array" aca="1" ref="J185" ca="1">RIGHT("00"&amp;INDIRECT("R_"&amp;H185),2)=RIGHT("00"&amp;I185,2)</f>
        <v>#REF!</v>
      </c>
      <c r="K185" s="48"/>
      <c r="L185" s="33"/>
      <c r="M185" s="33"/>
    </row>
    <row r="186" spans="1:14">
      <c r="B186" s="33" t="str">
        <f t="shared" si="48"/>
        <v>1</v>
      </c>
      <c r="C186" s="33">
        <v>1</v>
      </c>
      <c r="D186" s="230"/>
      <c r="E186" s="223"/>
      <c r="F186" s="224"/>
      <c r="G186" s="89"/>
      <c r="H186" s="48" t="s">
        <v>182</v>
      </c>
      <c r="I186" s="75">
        <v>34</v>
      </c>
      <c r="J186" s="79" t="e" cm="1">
        <f t="array" aca="1" ref="J186" ca="1">RIGHT("00"&amp;INDIRECT("R_"&amp;H186),2)=RIGHT("00"&amp;I186,2)</f>
        <v>#REF!</v>
      </c>
      <c r="K186" s="48"/>
      <c r="L186" s="33"/>
      <c r="M186" s="33"/>
    </row>
    <row r="187" spans="1:14">
      <c r="B187" s="33" t="str">
        <f t="shared" si="48"/>
        <v>2</v>
      </c>
      <c r="C187" s="33">
        <v>2</v>
      </c>
      <c r="D187" s="230"/>
      <c r="E187" s="223" t="s">
        <v>289</v>
      </c>
      <c r="F187" s="224" t="s">
        <v>183</v>
      </c>
      <c r="G187" s="89" t="s">
        <v>334</v>
      </c>
      <c r="H187" s="75" t="s">
        <v>183</v>
      </c>
      <c r="I187" s="75" t="s">
        <v>335</v>
      </c>
      <c r="J187" s="79" t="e" cm="1">
        <f t="array" aca="1" ref="J187" ca="1">RIGHT("00"&amp;INDIRECT("R_"&amp;H187),2)=RIGHT("00"&amp;I187,2)</f>
        <v>#REF!</v>
      </c>
      <c r="K187" s="48"/>
      <c r="L187" s="33"/>
      <c r="M187" s="33"/>
    </row>
    <row r="188" spans="1:14">
      <c r="B188" s="33" t="str">
        <f t="shared" si="48"/>
        <v>3</v>
      </c>
      <c r="C188" s="33">
        <v>3</v>
      </c>
      <c r="D188" s="230"/>
      <c r="E188" s="223"/>
      <c r="F188" s="224"/>
      <c r="G188" s="89"/>
      <c r="H188" s="75" t="s">
        <v>265</v>
      </c>
      <c r="I188" s="75" t="s">
        <v>336</v>
      </c>
      <c r="J188" s="79" t="e" cm="1">
        <f t="array" aca="1" ref="J188" ca="1">RIGHT("00"&amp;INDIRECT("R_"&amp;H188),2)=RIGHT("00"&amp;I188,2)</f>
        <v>#REF!</v>
      </c>
      <c r="K188" s="48"/>
      <c r="L188" s="33"/>
      <c r="M188" s="33"/>
    </row>
    <row r="189" spans="1:14">
      <c r="B189" s="33" t="str">
        <f t="shared" si="48"/>
        <v>4</v>
      </c>
      <c r="C189" s="33">
        <v>4</v>
      </c>
      <c r="D189" s="230"/>
      <c r="E189" s="223" t="s">
        <v>289</v>
      </c>
      <c r="F189" s="224" t="s">
        <v>303</v>
      </c>
      <c r="G189" s="89" t="s">
        <v>337</v>
      </c>
      <c r="H189" s="75" t="s">
        <v>303</v>
      </c>
      <c r="I189" s="75" t="s">
        <v>215</v>
      </c>
      <c r="J189" s="79" t="e" cm="1">
        <f t="array" aca="1" ref="J189" ca="1">RIGHT("00"&amp;INDIRECT("R_"&amp;H189),2)=RIGHT("00"&amp;I189,2)</f>
        <v>#REF!</v>
      </c>
      <c r="K189" s="48"/>
      <c r="L189" s="33"/>
      <c r="M189" s="33"/>
    </row>
    <row r="190" spans="1:14">
      <c r="B190" s="33" t="str">
        <f t="shared" si="48"/>
        <v>5</v>
      </c>
      <c r="C190" s="33">
        <v>5</v>
      </c>
      <c r="D190" s="230"/>
      <c r="E190" s="223"/>
      <c r="F190" s="224"/>
      <c r="G190" s="89"/>
      <c r="H190" s="48" t="s">
        <v>327</v>
      </c>
      <c r="I190" s="75" t="s">
        <v>264</v>
      </c>
      <c r="J190" s="49"/>
      <c r="K190" s="48"/>
      <c r="L190" s="33"/>
      <c r="M190" s="33"/>
    </row>
    <row r="191" spans="1:14">
      <c r="B191" s="33" t="str">
        <f t="shared" si="48"/>
        <v>6</v>
      </c>
      <c r="C191" s="33">
        <v>6</v>
      </c>
      <c r="D191" s="230"/>
      <c r="E191" s="223" t="s">
        <v>289</v>
      </c>
      <c r="F191" s="224" t="s">
        <v>114</v>
      </c>
      <c r="G191" s="89" t="s">
        <v>338</v>
      </c>
      <c r="H191" s="75" t="s">
        <v>114</v>
      </c>
      <c r="I191" s="75" t="s">
        <v>338</v>
      </c>
      <c r="J191" s="81" t="b" cm="1">
        <f t="array" aca="1" ref="J191" ca="1">INDIRECT(H191)=I191</f>
        <v>0</v>
      </c>
      <c r="K191" s="48"/>
      <c r="L191" s="33"/>
      <c r="M191" s="33"/>
    </row>
    <row r="192" spans="1:14">
      <c r="B192" s="33" t="str">
        <f t="shared" si="48"/>
        <v>7</v>
      </c>
      <c r="C192" s="33">
        <v>7</v>
      </c>
      <c r="D192" s="230"/>
      <c r="E192" s="223" t="s">
        <v>184</v>
      </c>
      <c r="F192" s="224"/>
      <c r="G192" s="89"/>
      <c r="H192" s="75"/>
      <c r="I192" s="75"/>
      <c r="J192" s="75"/>
      <c r="K192" s="48"/>
      <c r="L192" s="33"/>
      <c r="M192" s="33"/>
    </row>
    <row r="193" spans="1:14" ht="15.75" thickBot="1">
      <c r="D193" s="156"/>
      <c r="E193" s="156"/>
      <c r="F193" s="156"/>
      <c r="G193" s="156"/>
      <c r="H193" s="45"/>
      <c r="J193" s="45"/>
      <c r="K193" s="45"/>
    </row>
    <row r="194" spans="1:14" ht="15.75" thickBot="1">
      <c r="A194" s="20" t="s">
        <v>342</v>
      </c>
      <c r="B194" s="34" t="s">
        <v>136</v>
      </c>
      <c r="C194" s="34" t="s">
        <v>137</v>
      </c>
      <c r="D194" s="228" t="s">
        <v>125</v>
      </c>
      <c r="E194" s="229" t="s">
        <v>142</v>
      </c>
      <c r="F194" s="228" t="s">
        <v>123</v>
      </c>
      <c r="G194" s="228" t="s">
        <v>124</v>
      </c>
      <c r="H194" s="47" t="s">
        <v>245</v>
      </c>
      <c r="I194" s="69" t="s">
        <v>205</v>
      </c>
      <c r="J194" s="46">
        <f ca="1">IFERROR(IF(AND(J195:J202),0,1),0)</f>
        <v>0</v>
      </c>
      <c r="K194" s="222" t="s">
        <v>2353</v>
      </c>
      <c r="L194" s="62" t="s">
        <v>343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3" t="str">
        <f t="shared" ref="B195:B202" si="49">DEC2HEX(C195)</f>
        <v>0</v>
      </c>
      <c r="C195" s="33">
        <v>0</v>
      </c>
      <c r="D195" s="230"/>
      <c r="E195" s="223" t="s">
        <v>141</v>
      </c>
      <c r="F195" s="224" t="s">
        <v>146</v>
      </c>
      <c r="G195" s="89">
        <v>80</v>
      </c>
      <c r="H195" s="48" t="s">
        <v>146</v>
      </c>
      <c r="I195" s="75">
        <v>80</v>
      </c>
      <c r="J195" s="79" t="b" cm="1">
        <f t="array" aca="1" ref="J195" ca="1">RIGHT("00"&amp;INDIRECT("R_"&amp;H195),2)=RIGHT("00"&amp;I195,2)</f>
        <v>0</v>
      </c>
      <c r="K195" s="48"/>
      <c r="L195" s="33"/>
      <c r="M195" s="33"/>
    </row>
    <row r="196" spans="1:14">
      <c r="B196" s="33" t="str">
        <f t="shared" si="49"/>
        <v>1</v>
      </c>
      <c r="C196" s="33">
        <v>1</v>
      </c>
      <c r="D196" s="230"/>
      <c r="E196" s="223" t="s">
        <v>141</v>
      </c>
      <c r="F196" s="224" t="s">
        <v>144</v>
      </c>
      <c r="G196" s="89" t="s">
        <v>215</v>
      </c>
      <c r="H196" s="48" t="s">
        <v>144</v>
      </c>
      <c r="I196" s="75" t="s">
        <v>215</v>
      </c>
      <c r="J196" s="79" t="e" cm="1">
        <f t="array" aca="1" ref="J196" ca="1">RIGHT("00"&amp;INDIRECT("R_"&amp;H196),2)=RIGHT("00"&amp;I196,2)</f>
        <v>#REF!</v>
      </c>
      <c r="K196" s="48"/>
      <c r="L196" s="33"/>
      <c r="M196" s="33"/>
    </row>
    <row r="197" spans="1:14">
      <c r="B197" s="33" t="str">
        <f t="shared" si="49"/>
        <v>2</v>
      </c>
      <c r="C197" s="33">
        <v>2</v>
      </c>
      <c r="D197" s="230"/>
      <c r="E197" s="223" t="s">
        <v>262</v>
      </c>
      <c r="F197" s="224" t="s">
        <v>144</v>
      </c>
      <c r="G197" s="89"/>
      <c r="H197" s="75" t="s">
        <v>120</v>
      </c>
      <c r="I197" s="75">
        <v>1</v>
      </c>
      <c r="J197" s="81" t="e" cm="1">
        <f t="array" aca="1" ref="J197" ca="1">INDIRECT(H197)=I197</f>
        <v>#REF!</v>
      </c>
      <c r="K197" s="48"/>
      <c r="L197" s="33"/>
      <c r="M197" s="33"/>
    </row>
    <row r="198" spans="1:14">
      <c r="B198" s="33" t="str">
        <f t="shared" si="49"/>
        <v>3</v>
      </c>
      <c r="C198" s="33">
        <v>3</v>
      </c>
      <c r="D198" s="230"/>
      <c r="E198" s="223" t="s">
        <v>143</v>
      </c>
      <c r="F198" s="224" t="s">
        <v>159</v>
      </c>
      <c r="G198" s="89"/>
      <c r="H198" s="75" t="s">
        <v>119</v>
      </c>
      <c r="I198" s="75">
        <v>0</v>
      </c>
      <c r="J198" s="81" t="b" cm="1">
        <f t="array" aca="1" ref="J198" ca="1">INDIRECT(H198)=I198</f>
        <v>1</v>
      </c>
      <c r="K198" s="48"/>
      <c r="L198" s="33"/>
      <c r="M198" s="33"/>
    </row>
    <row r="199" spans="1:14">
      <c r="B199" s="33" t="str">
        <f t="shared" si="49"/>
        <v>4</v>
      </c>
      <c r="C199" s="33">
        <v>4</v>
      </c>
      <c r="D199" s="230"/>
      <c r="E199" s="223" t="s">
        <v>141</v>
      </c>
      <c r="F199" s="224" t="s">
        <v>146</v>
      </c>
      <c r="G199" s="89" t="s">
        <v>215</v>
      </c>
      <c r="H199" s="75" t="s">
        <v>122</v>
      </c>
      <c r="I199" s="75">
        <v>0</v>
      </c>
      <c r="J199" s="81" t="e" cm="1">
        <f t="array" aca="1" ref="J199" ca="1">INDIRECT(H199)=I199</f>
        <v>#REF!</v>
      </c>
      <c r="K199" s="48"/>
      <c r="L199" s="33"/>
      <c r="M199" s="33"/>
    </row>
    <row r="200" spans="1:14">
      <c r="B200" s="33" t="str">
        <f t="shared" si="49"/>
        <v>5</v>
      </c>
      <c r="C200" s="33">
        <v>5</v>
      </c>
      <c r="D200" s="230"/>
      <c r="E200" s="223" t="s">
        <v>275</v>
      </c>
      <c r="F200" s="224" t="s">
        <v>159</v>
      </c>
      <c r="G200" s="89"/>
      <c r="H200" s="48" t="s">
        <v>116</v>
      </c>
      <c r="I200" s="75">
        <v>0</v>
      </c>
      <c r="J200" s="81" t="e" cm="1">
        <f t="array" aca="1" ref="J200" ca="1">INDIRECT(H200)=I200</f>
        <v>#REF!</v>
      </c>
      <c r="K200" s="48"/>
      <c r="L200" s="33"/>
      <c r="M200" s="33"/>
    </row>
    <row r="201" spans="1:14">
      <c r="B201" s="33" t="str">
        <f t="shared" si="49"/>
        <v>6</v>
      </c>
      <c r="C201" s="33">
        <v>6</v>
      </c>
      <c r="D201" s="230"/>
      <c r="E201" s="223"/>
      <c r="F201" s="224"/>
      <c r="G201" s="89"/>
      <c r="H201" s="75" t="s">
        <v>115</v>
      </c>
      <c r="I201" s="75">
        <v>0</v>
      </c>
      <c r="J201" s="81" t="b" cm="1">
        <f t="array" aca="1" ref="J201" ca="1">INDIRECT(H201)=I201</f>
        <v>0</v>
      </c>
      <c r="K201" s="48"/>
      <c r="L201" s="33"/>
      <c r="M201" s="33"/>
    </row>
    <row r="202" spans="1:14">
      <c r="B202" s="33" t="str">
        <f t="shared" si="49"/>
        <v>7</v>
      </c>
      <c r="C202" s="33">
        <v>7</v>
      </c>
      <c r="D202" s="230"/>
      <c r="E202" s="223" t="s">
        <v>184</v>
      </c>
      <c r="F202" s="224"/>
      <c r="G202" s="89"/>
      <c r="H202" s="75"/>
      <c r="I202" s="75"/>
      <c r="J202" s="49"/>
      <c r="K202" s="48"/>
      <c r="L202" s="33"/>
      <c r="M202" s="33"/>
    </row>
    <row r="203" spans="1:14" ht="15.75" thickBot="1">
      <c r="D203" s="156"/>
      <c r="E203" s="156"/>
      <c r="F203" s="156"/>
      <c r="G203" s="156"/>
      <c r="H203" s="45"/>
      <c r="J203" s="45"/>
      <c r="K203" s="45"/>
    </row>
    <row r="204" spans="1:14" ht="15.75" thickBot="1">
      <c r="A204" s="20" t="s">
        <v>344</v>
      </c>
      <c r="B204" s="34" t="s">
        <v>136</v>
      </c>
      <c r="C204" s="34" t="s">
        <v>137</v>
      </c>
      <c r="D204" s="228" t="s">
        <v>125</v>
      </c>
      <c r="E204" s="229" t="s">
        <v>142</v>
      </c>
      <c r="F204" s="228" t="s">
        <v>123</v>
      </c>
      <c r="G204" s="228" t="s">
        <v>124</v>
      </c>
      <c r="H204" s="47" t="s">
        <v>245</v>
      </c>
      <c r="I204" s="69" t="s">
        <v>205</v>
      </c>
      <c r="J204" s="46">
        <f ca="1">IFERROR(IF(AND(J205:J209),0,1),0)</f>
        <v>1</v>
      </c>
      <c r="K204" s="222" t="s">
        <v>2353</v>
      </c>
      <c r="L204" s="62" t="s">
        <v>346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3" t="str">
        <f t="shared" ref="B205:B209" si="50">DEC2HEX(C205)</f>
        <v>0</v>
      </c>
      <c r="C205" s="33">
        <v>0</v>
      </c>
      <c r="D205" s="230"/>
      <c r="E205" s="223" t="s">
        <v>347</v>
      </c>
      <c r="F205" s="224" t="s">
        <v>249</v>
      </c>
      <c r="G205" s="89"/>
      <c r="H205" s="48"/>
      <c r="I205" s="75"/>
      <c r="J205" s="49"/>
      <c r="K205" s="48"/>
      <c r="L205" s="33"/>
      <c r="M205" s="33"/>
    </row>
    <row r="206" spans="1:14">
      <c r="B206" s="33" t="str">
        <f t="shared" si="50"/>
        <v>1</v>
      </c>
      <c r="C206" s="33">
        <v>1</v>
      </c>
      <c r="D206" s="230"/>
      <c r="E206" s="223" t="s">
        <v>141</v>
      </c>
      <c r="F206" s="224" t="s">
        <v>146</v>
      </c>
      <c r="G206" s="89">
        <v>11</v>
      </c>
      <c r="H206" s="48" t="s">
        <v>146</v>
      </c>
      <c r="I206" s="75" t="s">
        <v>180</v>
      </c>
      <c r="J206" s="79" t="b" cm="1">
        <f t="array" aca="1" ref="J206" ca="1">RIGHT("00"&amp;INDIRECT("R_"&amp;H206),2)=RIGHT("00"&amp;I206,2)</f>
        <v>0</v>
      </c>
      <c r="K206" s="48"/>
      <c r="L206" s="33"/>
      <c r="M206" s="33"/>
    </row>
    <row r="207" spans="1:14">
      <c r="B207" s="33" t="str">
        <f t="shared" si="50"/>
        <v>2</v>
      </c>
      <c r="C207" s="33">
        <v>2</v>
      </c>
      <c r="D207" s="230"/>
      <c r="E207" s="223" t="s">
        <v>108</v>
      </c>
      <c r="F207" s="224"/>
      <c r="G207" s="89"/>
      <c r="H207" s="75"/>
      <c r="I207" s="75"/>
      <c r="J207" s="49"/>
      <c r="K207" s="48"/>
      <c r="L207" s="33"/>
      <c r="M207" s="33"/>
    </row>
    <row r="208" spans="1:14">
      <c r="B208" s="33" t="str">
        <f t="shared" si="50"/>
        <v>3</v>
      </c>
      <c r="C208" s="33">
        <v>3</v>
      </c>
      <c r="D208" s="230" t="s">
        <v>249</v>
      </c>
      <c r="E208" s="223" t="s">
        <v>141</v>
      </c>
      <c r="F208" s="224" t="s">
        <v>146</v>
      </c>
      <c r="G208" s="89" t="s">
        <v>180</v>
      </c>
      <c r="H208" s="75"/>
      <c r="I208" s="75"/>
      <c r="J208" s="49"/>
      <c r="K208" s="48"/>
      <c r="L208" s="33"/>
      <c r="M208" s="33"/>
    </row>
    <row r="209" spans="1:14">
      <c r="B209" s="33" t="str">
        <f t="shared" si="50"/>
        <v>4</v>
      </c>
      <c r="C209" s="33">
        <v>4</v>
      </c>
      <c r="D209" s="230"/>
      <c r="E209" s="223" t="s">
        <v>184</v>
      </c>
      <c r="F209" s="224"/>
      <c r="G209" s="89"/>
      <c r="H209" s="75"/>
      <c r="I209" s="75"/>
      <c r="J209" s="49"/>
      <c r="K209" s="48"/>
      <c r="L209" s="33"/>
      <c r="M209" s="33"/>
    </row>
    <row r="210" spans="1:14" ht="15.75" thickBot="1">
      <c r="D210" s="156"/>
      <c r="E210" s="156"/>
      <c r="F210" s="156"/>
      <c r="G210" s="156"/>
      <c r="H210" s="45"/>
      <c r="J210" s="45"/>
      <c r="K210" s="45"/>
    </row>
    <row r="211" spans="1:14" ht="15.75" thickBot="1">
      <c r="A211" s="20" t="s">
        <v>345</v>
      </c>
      <c r="B211" s="34" t="s">
        <v>136</v>
      </c>
      <c r="C211" s="34" t="s">
        <v>137</v>
      </c>
      <c r="D211" s="228" t="s">
        <v>125</v>
      </c>
      <c r="E211" s="229" t="s">
        <v>142</v>
      </c>
      <c r="F211" s="228" t="s">
        <v>123</v>
      </c>
      <c r="G211" s="228" t="s">
        <v>124</v>
      </c>
      <c r="H211" s="47" t="s">
        <v>245</v>
      </c>
      <c r="I211" s="69" t="s">
        <v>205</v>
      </c>
      <c r="J211" s="46">
        <f ca="1">IFERROR(IF(AND(J212:J222),0,1),0)</f>
        <v>0</v>
      </c>
      <c r="K211" s="222" t="s">
        <v>2353</v>
      </c>
      <c r="L211" s="62" t="s">
        <v>354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3" t="str">
        <f t="shared" ref="B212:B222" si="51">DEC2HEX(C212)</f>
        <v>0</v>
      </c>
      <c r="C212" s="33">
        <v>0</v>
      </c>
      <c r="D212" s="230"/>
      <c r="E212" s="223" t="s">
        <v>141</v>
      </c>
      <c r="F212" s="224" t="s">
        <v>182</v>
      </c>
      <c r="G212" s="89" t="s">
        <v>202</v>
      </c>
      <c r="H212" s="48" t="s">
        <v>182</v>
      </c>
      <c r="I212" s="75" t="s">
        <v>202</v>
      </c>
      <c r="J212" s="79" t="e" cm="1">
        <f t="array" aca="1" ref="J212" ca="1">RIGHT("00"&amp;INDIRECT("R_"&amp;H212),2)=RIGHT("00"&amp;I212,2)</f>
        <v>#REF!</v>
      </c>
      <c r="K212" s="48"/>
      <c r="L212" s="33"/>
      <c r="M212" s="33"/>
    </row>
    <row r="213" spans="1:14">
      <c r="B213" s="33" t="str">
        <f t="shared" si="51"/>
        <v>1</v>
      </c>
      <c r="C213" s="33">
        <v>1</v>
      </c>
      <c r="D213" s="230"/>
      <c r="E213" s="223" t="s">
        <v>141</v>
      </c>
      <c r="F213" s="224" t="s">
        <v>144</v>
      </c>
      <c r="G213" s="89" t="s">
        <v>201</v>
      </c>
      <c r="H213" s="48"/>
      <c r="I213" s="75"/>
      <c r="J213" s="49"/>
      <c r="K213" s="48"/>
      <c r="L213" s="33"/>
      <c r="M213" s="33"/>
    </row>
    <row r="214" spans="1:14">
      <c r="B214" s="33" t="str">
        <f t="shared" si="51"/>
        <v>2</v>
      </c>
      <c r="C214" s="33">
        <v>2</v>
      </c>
      <c r="D214" s="230"/>
      <c r="E214" s="223" t="s">
        <v>141</v>
      </c>
      <c r="F214" s="224" t="s">
        <v>146</v>
      </c>
      <c r="G214" s="89" t="s">
        <v>295</v>
      </c>
      <c r="H214" s="48"/>
      <c r="I214" s="75"/>
      <c r="J214" s="49"/>
      <c r="K214" s="48"/>
      <c r="L214" s="33"/>
      <c r="M214" s="33"/>
    </row>
    <row r="215" spans="1:14">
      <c r="B215" s="33" t="str">
        <f t="shared" si="51"/>
        <v>3</v>
      </c>
      <c r="C215" s="33">
        <v>3</v>
      </c>
      <c r="D215" s="230"/>
      <c r="E215" s="223" t="s">
        <v>232</v>
      </c>
      <c r="F215" s="224" t="s">
        <v>146</v>
      </c>
      <c r="G215" s="89"/>
      <c r="H215" s="48" t="s">
        <v>146</v>
      </c>
      <c r="I215" s="75" t="s">
        <v>215</v>
      </c>
      <c r="J215" s="79" t="b" cm="1">
        <f t="array" aca="1" ref="J215" ca="1">RIGHT("00"&amp;INDIRECT("R_"&amp;H215),2)=RIGHT("00"&amp;I215,2)</f>
        <v>0</v>
      </c>
      <c r="K215" s="48"/>
      <c r="L215" s="33"/>
      <c r="M215" s="33"/>
    </row>
    <row r="216" spans="1:14">
      <c r="B216" s="33" t="str">
        <f t="shared" si="51"/>
        <v>4</v>
      </c>
      <c r="C216" s="33">
        <v>4</v>
      </c>
      <c r="D216" s="230"/>
      <c r="E216" s="223" t="s">
        <v>248</v>
      </c>
      <c r="F216" s="224" t="s">
        <v>351</v>
      </c>
      <c r="G216" s="89"/>
      <c r="H216" s="75"/>
      <c r="I216" s="75"/>
      <c r="J216" s="49"/>
      <c r="K216" s="48"/>
      <c r="L216" s="33"/>
      <c r="M216" s="33"/>
    </row>
    <row r="217" spans="1:14">
      <c r="B217" s="33" t="str">
        <f t="shared" si="51"/>
        <v>5</v>
      </c>
      <c r="C217" s="33">
        <v>5</v>
      </c>
      <c r="D217" s="230"/>
      <c r="E217" s="223" t="s">
        <v>108</v>
      </c>
      <c r="F217" s="224"/>
      <c r="G217" s="89"/>
      <c r="H217" s="75"/>
      <c r="I217" s="75"/>
      <c r="J217" s="49"/>
      <c r="K217" s="48"/>
      <c r="L217" s="33"/>
      <c r="M217" s="33"/>
    </row>
    <row r="218" spans="1:14">
      <c r="B218" s="33" t="str">
        <f t="shared" si="51"/>
        <v>6</v>
      </c>
      <c r="C218" s="33">
        <v>6</v>
      </c>
      <c r="D218" s="230" t="s">
        <v>351</v>
      </c>
      <c r="E218" s="223" t="s">
        <v>141</v>
      </c>
      <c r="F218" s="224" t="s">
        <v>144</v>
      </c>
      <c r="G218" s="89">
        <v>77</v>
      </c>
      <c r="H218" s="75" t="s">
        <v>144</v>
      </c>
      <c r="I218" s="75">
        <v>77</v>
      </c>
      <c r="J218" s="79" t="e" cm="1">
        <f t="array" aca="1" ref="J218" ca="1">RIGHT("00"&amp;INDIRECT("R_"&amp;H218),2)=RIGHT("00"&amp;I218,2)</f>
        <v>#REF!</v>
      </c>
      <c r="K218" s="48"/>
      <c r="L218" s="33"/>
      <c r="M218" s="33"/>
    </row>
    <row r="219" spans="1:14">
      <c r="B219" s="33" t="str">
        <f t="shared" si="51"/>
        <v>7</v>
      </c>
      <c r="C219" s="33">
        <v>7</v>
      </c>
      <c r="D219" s="230"/>
      <c r="E219" s="223" t="s">
        <v>352</v>
      </c>
      <c r="F219" s="224" t="s">
        <v>353</v>
      </c>
      <c r="G219" s="89"/>
      <c r="H219" s="48" t="s">
        <v>119</v>
      </c>
      <c r="I219" s="75">
        <v>1</v>
      </c>
      <c r="J219" s="81" t="b" cm="1">
        <f t="array" aca="1" ref="J219" ca="1">INDIRECT(H219)=I219</f>
        <v>0</v>
      </c>
      <c r="K219" s="48"/>
      <c r="L219" s="33"/>
      <c r="M219" s="33"/>
    </row>
    <row r="220" spans="1:14">
      <c r="B220" s="33" t="str">
        <f t="shared" si="51"/>
        <v>8</v>
      </c>
      <c r="C220" s="33">
        <v>8</v>
      </c>
      <c r="D220" s="230"/>
      <c r="E220" s="223" t="s">
        <v>184</v>
      </c>
      <c r="F220" s="224"/>
      <c r="G220" s="89"/>
      <c r="H220" s="75"/>
      <c r="I220" s="75"/>
      <c r="J220" s="75"/>
      <c r="K220" s="48"/>
      <c r="L220" s="33"/>
      <c r="M220" s="33"/>
    </row>
    <row r="221" spans="1:14">
      <c r="B221" s="33" t="str">
        <f t="shared" si="51"/>
        <v>9</v>
      </c>
      <c r="C221" s="33">
        <v>9</v>
      </c>
      <c r="D221" s="230" t="s">
        <v>353</v>
      </c>
      <c r="E221" s="223" t="s">
        <v>141</v>
      </c>
      <c r="F221" s="224" t="s">
        <v>182</v>
      </c>
      <c r="G221" s="89">
        <v>66</v>
      </c>
      <c r="H221" s="75"/>
      <c r="I221" s="75"/>
      <c r="J221" s="75"/>
      <c r="K221" s="48"/>
      <c r="L221" s="33"/>
      <c r="M221" s="33"/>
    </row>
    <row r="222" spans="1:14">
      <c r="B222" s="33" t="str">
        <f t="shared" si="51"/>
        <v>A</v>
      </c>
      <c r="C222" s="33">
        <v>10</v>
      </c>
      <c r="D222" s="230"/>
      <c r="E222" s="223" t="s">
        <v>108</v>
      </c>
      <c r="F222" s="224"/>
      <c r="G222" s="89"/>
      <c r="H222" s="75"/>
      <c r="I222" s="75"/>
      <c r="J222" s="75"/>
      <c r="K222" s="48"/>
      <c r="L222" s="33"/>
      <c r="M222" s="33"/>
    </row>
    <row r="223" spans="1:14" ht="15.75" thickBot="1">
      <c r="D223" s="156"/>
      <c r="E223" s="156"/>
      <c r="F223" s="156"/>
      <c r="G223" s="156"/>
      <c r="H223" s="45"/>
      <c r="J223" s="45"/>
      <c r="K223" s="45"/>
    </row>
    <row r="224" spans="1:14" ht="15.75" thickBot="1">
      <c r="A224" s="20" t="s">
        <v>348</v>
      </c>
      <c r="B224" s="34" t="s">
        <v>136</v>
      </c>
      <c r="C224" s="34" t="s">
        <v>137</v>
      </c>
      <c r="D224" s="228" t="s">
        <v>125</v>
      </c>
      <c r="E224" s="229" t="s">
        <v>142</v>
      </c>
      <c r="F224" s="228" t="s">
        <v>123</v>
      </c>
      <c r="G224" s="228" t="s">
        <v>124</v>
      </c>
      <c r="H224" s="47" t="s">
        <v>245</v>
      </c>
      <c r="I224" s="69" t="s">
        <v>205</v>
      </c>
      <c r="J224" s="46">
        <f ca="1">IFERROR(IF(AND(J225:J238),0,1),0)</f>
        <v>0</v>
      </c>
      <c r="K224" s="222" t="s">
        <v>2353</v>
      </c>
      <c r="L224" s="62" t="s">
        <v>355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3" t="str">
        <f t="shared" ref="B225:B238" si="52">DEC2HEX(C225)</f>
        <v>0</v>
      </c>
      <c r="C225" s="33">
        <v>0</v>
      </c>
      <c r="D225" s="230"/>
      <c r="E225" s="223" t="s">
        <v>141</v>
      </c>
      <c r="F225" s="224" t="s">
        <v>146</v>
      </c>
      <c r="G225" s="89">
        <v>80</v>
      </c>
      <c r="H225" s="48" t="s">
        <v>146</v>
      </c>
      <c r="I225" s="75" t="s">
        <v>295</v>
      </c>
      <c r="J225" s="79" t="b" cm="1">
        <f t="array" aca="1" ref="J225" ca="1">RIGHT("00"&amp;INDIRECT("R_"&amp;H225),2)=RIGHT("00"&amp;I225,2)</f>
        <v>0</v>
      </c>
      <c r="K225" s="48"/>
      <c r="L225" s="33"/>
      <c r="M225" s="33"/>
    </row>
    <row r="226" spans="1:14">
      <c r="B226" s="33" t="str">
        <f t="shared" si="52"/>
        <v>1</v>
      </c>
      <c r="C226" s="33">
        <v>1</v>
      </c>
      <c r="D226" s="230"/>
      <c r="E226" s="223" t="s">
        <v>262</v>
      </c>
      <c r="F226" s="224" t="s">
        <v>146</v>
      </c>
      <c r="G226" s="89"/>
      <c r="H226" s="48" t="s">
        <v>183</v>
      </c>
      <c r="I226" s="75" t="s">
        <v>358</v>
      </c>
      <c r="J226" s="79" t="e" cm="1">
        <f t="array" aca="1" ref="J226" ca="1">RIGHT("00"&amp;INDIRECT("R_"&amp;H226),2)=RIGHT("00"&amp;I226,2)</f>
        <v>#REF!</v>
      </c>
      <c r="K226" s="48"/>
      <c r="L226" s="33"/>
      <c r="M226" s="33"/>
    </row>
    <row r="227" spans="1:14">
      <c r="B227" s="33" t="str">
        <f t="shared" si="52"/>
        <v>2</v>
      </c>
      <c r="C227" s="33">
        <v>2</v>
      </c>
      <c r="D227" s="230"/>
      <c r="E227" s="223" t="s">
        <v>356</v>
      </c>
      <c r="F227" s="224" t="s">
        <v>357</v>
      </c>
      <c r="G227" s="89"/>
      <c r="H227" s="75" t="s">
        <v>120</v>
      </c>
      <c r="I227" s="75">
        <v>0</v>
      </c>
      <c r="J227" s="81" t="e" cm="1">
        <f t="array" aca="1" ref="J227" ca="1">INDIRECT(H227)=I227</f>
        <v>#REF!</v>
      </c>
      <c r="K227" s="48"/>
      <c r="L227" s="33"/>
      <c r="M227" s="33"/>
    </row>
    <row r="228" spans="1:14">
      <c r="B228" s="33" t="str">
        <f t="shared" si="52"/>
        <v>3</v>
      </c>
      <c r="C228" s="33">
        <v>3</v>
      </c>
      <c r="D228" s="230"/>
      <c r="E228" s="223" t="s">
        <v>108</v>
      </c>
      <c r="F228" s="224"/>
      <c r="G228" s="89"/>
      <c r="H228" s="75" t="s">
        <v>119</v>
      </c>
      <c r="I228" s="75">
        <v>0</v>
      </c>
      <c r="J228" s="81" t="b" cm="1">
        <f t="array" aca="1" ref="J228" ca="1">INDIRECT(H228)=I228</f>
        <v>1</v>
      </c>
      <c r="K228" s="48"/>
      <c r="L228" s="33"/>
      <c r="M228" s="33"/>
    </row>
    <row r="229" spans="1:14">
      <c r="B229" s="33"/>
      <c r="C229" s="33"/>
      <c r="D229" s="230" t="s">
        <v>357</v>
      </c>
      <c r="E229" s="223" t="s">
        <v>141</v>
      </c>
      <c r="F229" s="224" t="s">
        <v>183</v>
      </c>
      <c r="G229" s="89" t="s">
        <v>358</v>
      </c>
      <c r="H229" s="75"/>
      <c r="I229" s="75"/>
      <c r="J229" s="48"/>
      <c r="K229" s="48"/>
      <c r="L229" s="33"/>
      <c r="M229" s="33"/>
    </row>
    <row r="230" spans="1:14">
      <c r="B230" s="33"/>
      <c r="C230" s="33"/>
      <c r="D230" s="230"/>
      <c r="E230" s="223" t="s">
        <v>141</v>
      </c>
      <c r="F230" s="224" t="s">
        <v>146</v>
      </c>
      <c r="G230" s="89" t="s">
        <v>295</v>
      </c>
      <c r="H230" s="75"/>
      <c r="I230" s="75"/>
      <c r="J230" s="48"/>
      <c r="K230" s="48"/>
      <c r="L230" s="33"/>
      <c r="M230" s="33"/>
    </row>
    <row r="231" spans="1:14">
      <c r="B231" s="33"/>
      <c r="C231" s="33"/>
      <c r="D231" s="230"/>
      <c r="E231" s="223" t="s">
        <v>262</v>
      </c>
      <c r="F231" s="224" t="s">
        <v>146</v>
      </c>
      <c r="G231" s="89"/>
      <c r="H231" s="75"/>
      <c r="I231" s="75"/>
      <c r="J231" s="48"/>
      <c r="K231" s="48"/>
      <c r="L231" s="33"/>
      <c r="M231" s="33"/>
    </row>
    <row r="232" spans="1:14">
      <c r="B232" s="33"/>
      <c r="C232" s="33"/>
      <c r="D232" s="230"/>
      <c r="E232" s="223" t="s">
        <v>359</v>
      </c>
      <c r="F232" s="224" t="s">
        <v>360</v>
      </c>
      <c r="G232" s="89"/>
      <c r="H232" s="75"/>
      <c r="I232" s="75"/>
      <c r="J232" s="48"/>
      <c r="K232" s="48"/>
      <c r="L232" s="33"/>
      <c r="M232" s="33"/>
    </row>
    <row r="233" spans="1:14">
      <c r="B233" s="33"/>
      <c r="C233" s="33"/>
      <c r="D233" s="230"/>
      <c r="E233" s="223" t="s">
        <v>108</v>
      </c>
      <c r="F233" s="224"/>
      <c r="G233" s="89"/>
      <c r="H233" s="75"/>
      <c r="I233" s="75"/>
      <c r="J233" s="48"/>
      <c r="K233" s="48"/>
      <c r="L233" s="33"/>
      <c r="M233" s="33"/>
    </row>
    <row r="234" spans="1:14">
      <c r="B234" s="33"/>
      <c r="C234" s="33"/>
      <c r="D234" s="230" t="s">
        <v>360</v>
      </c>
      <c r="E234" s="223" t="s">
        <v>141</v>
      </c>
      <c r="F234" s="224" t="s">
        <v>265</v>
      </c>
      <c r="G234" s="89">
        <v>99</v>
      </c>
      <c r="H234" s="75" t="s">
        <v>265</v>
      </c>
      <c r="I234" s="75" t="s">
        <v>361</v>
      </c>
      <c r="J234" s="79" t="e" cm="1">
        <f t="array" aca="1" ref="J234" ca="1">RIGHT("00"&amp;INDIRECT("R_"&amp;H234),2)=RIGHT("00"&amp;I234,2)</f>
        <v>#REF!</v>
      </c>
      <c r="K234" s="48"/>
      <c r="L234" s="33"/>
      <c r="M234" s="33"/>
    </row>
    <row r="235" spans="1:14">
      <c r="B235" s="33" t="str">
        <f t="shared" si="52"/>
        <v>4</v>
      </c>
      <c r="C235" s="33">
        <v>4</v>
      </c>
      <c r="D235" s="230"/>
      <c r="E235" s="223" t="s">
        <v>184</v>
      </c>
      <c r="F235" s="224"/>
      <c r="G235" s="89"/>
      <c r="H235" s="75" t="s">
        <v>122</v>
      </c>
      <c r="I235" s="75">
        <v>0</v>
      </c>
      <c r="J235" s="81" t="e" cm="1">
        <f t="array" aca="1" ref="J235" ca="1">INDIRECT(H235)=I235</f>
        <v>#REF!</v>
      </c>
      <c r="K235" s="48"/>
      <c r="L235" s="33"/>
      <c r="M235" s="33"/>
    </row>
    <row r="236" spans="1:14">
      <c r="B236" s="33" t="str">
        <f t="shared" si="52"/>
        <v>5</v>
      </c>
      <c r="C236" s="33">
        <v>5</v>
      </c>
      <c r="D236" s="230"/>
      <c r="E236" s="223"/>
      <c r="F236" s="224"/>
      <c r="G236" s="89"/>
      <c r="H236" s="48" t="s">
        <v>116</v>
      </c>
      <c r="I236" s="75">
        <v>0</v>
      </c>
      <c r="J236" s="81" t="e" cm="1">
        <f t="array" aca="1" ref="J236" ca="1">INDIRECT(H236)=I236</f>
        <v>#REF!</v>
      </c>
      <c r="K236" s="48"/>
      <c r="L236" s="33"/>
      <c r="M236" s="33"/>
    </row>
    <row r="237" spans="1:14">
      <c r="B237" s="33" t="str">
        <f t="shared" si="52"/>
        <v>6</v>
      </c>
      <c r="C237" s="33">
        <v>6</v>
      </c>
      <c r="D237" s="230"/>
      <c r="E237" s="223"/>
      <c r="F237" s="224"/>
      <c r="G237" s="89"/>
      <c r="H237" s="75" t="s">
        <v>115</v>
      </c>
      <c r="I237" s="75">
        <v>0</v>
      </c>
      <c r="J237" s="81" t="b" cm="1">
        <f t="array" aca="1" ref="J237" ca="1">INDIRECT(H237)=I237</f>
        <v>0</v>
      </c>
      <c r="K237" s="48"/>
      <c r="L237" s="33"/>
      <c r="M237" s="33"/>
    </row>
    <row r="238" spans="1:14">
      <c r="B238" s="33" t="str">
        <f t="shared" si="52"/>
        <v>7</v>
      </c>
      <c r="C238" s="33">
        <v>7</v>
      </c>
      <c r="D238" s="230"/>
      <c r="E238" s="223"/>
      <c r="F238" s="224"/>
      <c r="G238" s="89"/>
      <c r="H238" s="75"/>
      <c r="I238" s="75"/>
      <c r="J238" s="49"/>
      <c r="K238" s="48"/>
      <c r="L238" s="33"/>
      <c r="M238" s="33"/>
    </row>
    <row r="239" spans="1:14" ht="15.75" thickBot="1">
      <c r="D239" s="156"/>
      <c r="E239" s="156"/>
      <c r="F239" s="156"/>
      <c r="G239" s="156"/>
      <c r="H239" s="45"/>
      <c r="J239" s="45"/>
      <c r="K239" s="45"/>
    </row>
    <row r="240" spans="1:14" ht="15.75" thickBot="1">
      <c r="A240" s="20" t="s">
        <v>349</v>
      </c>
      <c r="B240" s="34" t="s">
        <v>136</v>
      </c>
      <c r="C240" s="34" t="s">
        <v>137</v>
      </c>
      <c r="D240" s="228" t="s">
        <v>125</v>
      </c>
      <c r="E240" s="229" t="s">
        <v>142</v>
      </c>
      <c r="F240" s="228" t="s">
        <v>123</v>
      </c>
      <c r="G240" s="228" t="s">
        <v>124</v>
      </c>
      <c r="H240" s="47" t="s">
        <v>245</v>
      </c>
      <c r="I240" s="69" t="s">
        <v>205</v>
      </c>
      <c r="J240" s="46">
        <f ca="1">IFERROR(IF(AND(J241:J251),0,1),0)</f>
        <v>0</v>
      </c>
      <c r="K240" s="222" t="s">
        <v>2353</v>
      </c>
      <c r="L240" s="62" t="s">
        <v>362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3" t="str">
        <f t="shared" ref="B241:B251" si="53">DEC2HEX(C241)</f>
        <v>0</v>
      </c>
      <c r="C241" s="33">
        <v>0</v>
      </c>
      <c r="D241" s="230"/>
      <c r="E241" s="223" t="s">
        <v>141</v>
      </c>
      <c r="F241" s="224" t="s">
        <v>146</v>
      </c>
      <c r="G241" s="89" t="s">
        <v>364</v>
      </c>
      <c r="H241" s="48" t="s">
        <v>146</v>
      </c>
      <c r="I241" s="75" t="s">
        <v>295</v>
      </c>
      <c r="J241" s="79" t="b" cm="1">
        <f t="array" aca="1" ref="J241" ca="1">RIGHT("00"&amp;INDIRECT("R_"&amp;H241),2)=RIGHT("00"&amp;I241,2)</f>
        <v>0</v>
      </c>
      <c r="K241" s="48"/>
      <c r="L241" s="33"/>
      <c r="M241" s="33"/>
    </row>
    <row r="242" spans="1:14">
      <c r="B242" s="33" t="str">
        <f t="shared" si="53"/>
        <v>1</v>
      </c>
      <c r="C242" s="33">
        <v>1</v>
      </c>
      <c r="D242" s="230"/>
      <c r="E242" s="223" t="s">
        <v>262</v>
      </c>
      <c r="F242" s="224" t="s">
        <v>146</v>
      </c>
      <c r="G242" s="89"/>
      <c r="H242" s="75" t="s">
        <v>144</v>
      </c>
      <c r="I242" s="75" t="s">
        <v>180</v>
      </c>
      <c r="J242" s="79" t="e" cm="1">
        <f t="array" aca="1" ref="J242" ca="1">RIGHT("00"&amp;INDIRECT("R_"&amp;H242),2)=RIGHT("00"&amp;I242,2)</f>
        <v>#REF!</v>
      </c>
      <c r="K242" s="48"/>
      <c r="L242" s="33"/>
      <c r="M242" s="33"/>
    </row>
    <row r="243" spans="1:14">
      <c r="B243" s="33" t="str">
        <f t="shared" si="53"/>
        <v>2</v>
      </c>
      <c r="C243" s="33">
        <v>2</v>
      </c>
      <c r="D243" s="230"/>
      <c r="E243" s="223" t="s">
        <v>365</v>
      </c>
      <c r="F243" s="224" t="s">
        <v>366</v>
      </c>
      <c r="G243" s="89"/>
      <c r="H243" s="75" t="s">
        <v>182</v>
      </c>
      <c r="I243" s="75">
        <v>55</v>
      </c>
      <c r="J243" s="79" t="e" cm="1">
        <f t="array" aca="1" ref="J243" ca="1">RIGHT("00"&amp;INDIRECT("R_"&amp;H243),2)=RIGHT("00"&amp;I243,2)</f>
        <v>#REF!</v>
      </c>
      <c r="K243" s="48"/>
      <c r="L243" s="33"/>
      <c r="M243" s="33"/>
    </row>
    <row r="244" spans="1:14">
      <c r="B244" s="33" t="str">
        <f t="shared" si="53"/>
        <v>3</v>
      </c>
      <c r="C244" s="33">
        <v>3</v>
      </c>
      <c r="D244" s="230"/>
      <c r="E244" s="223" t="s">
        <v>108</v>
      </c>
      <c r="F244" s="224"/>
      <c r="G244" s="89"/>
      <c r="H244" s="75"/>
      <c r="I244" s="75"/>
      <c r="J244" s="48"/>
      <c r="K244" s="48"/>
      <c r="L244" s="33"/>
      <c r="M244" s="33"/>
    </row>
    <row r="245" spans="1:14">
      <c r="B245" s="33" t="str">
        <f t="shared" si="53"/>
        <v>4</v>
      </c>
      <c r="C245" s="33">
        <v>4</v>
      </c>
      <c r="D245" s="230" t="s">
        <v>366</v>
      </c>
      <c r="E245" s="223" t="s">
        <v>141</v>
      </c>
      <c r="F245" s="224" t="s">
        <v>144</v>
      </c>
      <c r="G245" s="89" t="s">
        <v>180</v>
      </c>
      <c r="H245" s="48" t="s">
        <v>116</v>
      </c>
      <c r="I245" s="75">
        <v>0</v>
      </c>
      <c r="J245" s="81" t="e" cm="1">
        <f t="array" aca="1" ref="J245" ca="1">INDIRECT(H245)=I245</f>
        <v>#REF!</v>
      </c>
      <c r="K245" s="48"/>
      <c r="L245" s="33"/>
      <c r="M245" s="33"/>
    </row>
    <row r="246" spans="1:14">
      <c r="B246" s="33" t="str">
        <f t="shared" si="53"/>
        <v>5</v>
      </c>
      <c r="C246" s="33">
        <v>5</v>
      </c>
      <c r="D246" s="230"/>
      <c r="E246" s="223" t="s">
        <v>141</v>
      </c>
      <c r="F246" s="224" t="s">
        <v>146</v>
      </c>
      <c r="G246" s="89" t="s">
        <v>295</v>
      </c>
      <c r="H246" s="75" t="s">
        <v>120</v>
      </c>
      <c r="I246" s="75">
        <v>0</v>
      </c>
      <c r="J246" s="81" t="e" cm="1">
        <f t="array" aca="1" ref="J246" ca="1">INDIRECT(H246)=I246</f>
        <v>#REF!</v>
      </c>
      <c r="K246" s="48"/>
      <c r="L246" s="33"/>
      <c r="M246" s="33"/>
    </row>
    <row r="247" spans="1:14">
      <c r="B247" s="33" t="str">
        <f t="shared" si="53"/>
        <v>6</v>
      </c>
      <c r="C247" s="33">
        <v>6</v>
      </c>
      <c r="D247" s="230"/>
      <c r="E247" s="223" t="s">
        <v>262</v>
      </c>
      <c r="F247" s="224" t="s">
        <v>146</v>
      </c>
      <c r="G247" s="89"/>
      <c r="H247" s="75" t="s">
        <v>119</v>
      </c>
      <c r="I247" s="75">
        <v>0</v>
      </c>
      <c r="J247" s="81" t="b" cm="1">
        <f t="array" aca="1" ref="J247" ca="1">INDIRECT(H247)=I247</f>
        <v>1</v>
      </c>
      <c r="K247" s="48"/>
      <c r="L247" s="33"/>
      <c r="M247" s="33"/>
    </row>
    <row r="248" spans="1:14">
      <c r="B248" s="33" t="str">
        <f t="shared" si="53"/>
        <v>7</v>
      </c>
      <c r="C248" s="33">
        <v>7</v>
      </c>
      <c r="D248" s="230"/>
      <c r="E248" s="223" t="s">
        <v>367</v>
      </c>
      <c r="F248" s="224" t="s">
        <v>368</v>
      </c>
      <c r="G248" s="89"/>
      <c r="H248" s="75" t="s">
        <v>115</v>
      </c>
      <c r="I248" s="75">
        <v>0</v>
      </c>
      <c r="J248" s="81" t="b" cm="1">
        <f t="array" aca="1" ref="J248" ca="1">INDIRECT(H248)=I248</f>
        <v>0</v>
      </c>
      <c r="K248" s="48"/>
      <c r="L248" s="33"/>
      <c r="M248" s="33"/>
    </row>
    <row r="249" spans="1:14">
      <c r="B249" s="33" t="str">
        <f t="shared" si="53"/>
        <v>8</v>
      </c>
      <c r="C249" s="33">
        <v>8</v>
      </c>
      <c r="D249" s="230"/>
      <c r="E249" s="223" t="s">
        <v>108</v>
      </c>
      <c r="F249" s="224"/>
      <c r="G249" s="89"/>
      <c r="H249" s="75" t="s">
        <v>122</v>
      </c>
      <c r="I249" s="75">
        <v>0</v>
      </c>
      <c r="J249" s="81" t="e" cm="1">
        <f t="array" aca="1" ref="J249" ca="1">INDIRECT(H249)=I249</f>
        <v>#REF!</v>
      </c>
      <c r="K249" s="48"/>
      <c r="L249" s="33"/>
      <c r="M249" s="33"/>
    </row>
    <row r="250" spans="1:14">
      <c r="B250" s="33" t="str">
        <f t="shared" si="53"/>
        <v>9</v>
      </c>
      <c r="C250" s="33">
        <v>9</v>
      </c>
      <c r="D250" s="230" t="s">
        <v>368</v>
      </c>
      <c r="E250" s="223" t="s">
        <v>141</v>
      </c>
      <c r="F250" s="224" t="s">
        <v>182</v>
      </c>
      <c r="G250" s="89">
        <v>55</v>
      </c>
      <c r="H250" s="75"/>
      <c r="I250" s="75"/>
      <c r="J250" s="48"/>
      <c r="K250" s="48"/>
      <c r="L250" s="33"/>
      <c r="M250" s="33"/>
    </row>
    <row r="251" spans="1:14">
      <c r="B251" s="33" t="str">
        <f t="shared" si="53"/>
        <v>A</v>
      </c>
      <c r="C251" s="33">
        <v>10</v>
      </c>
      <c r="D251" s="230"/>
      <c r="E251" s="223" t="s">
        <v>184</v>
      </c>
      <c r="F251" s="224"/>
      <c r="G251" s="89"/>
      <c r="H251" s="75"/>
      <c r="I251" s="75"/>
      <c r="J251" s="49"/>
      <c r="K251" s="48"/>
      <c r="L251" s="33"/>
      <c r="M251" s="33"/>
    </row>
    <row r="252" spans="1:14" ht="15.75" thickBot="1">
      <c r="D252" s="156"/>
      <c r="E252" s="156"/>
      <c r="F252" s="156"/>
      <c r="G252" s="156"/>
      <c r="H252" s="45"/>
      <c r="J252" s="45"/>
      <c r="K252" s="45"/>
    </row>
    <row r="253" spans="1:14" ht="15.75" thickBot="1">
      <c r="A253" s="20" t="s">
        <v>350</v>
      </c>
      <c r="B253" s="34" t="s">
        <v>136</v>
      </c>
      <c r="C253" s="34" t="s">
        <v>137</v>
      </c>
      <c r="D253" s="228" t="s">
        <v>125</v>
      </c>
      <c r="E253" s="229" t="s">
        <v>142</v>
      </c>
      <c r="F253" s="228" t="s">
        <v>123</v>
      </c>
      <c r="G253" s="228" t="s">
        <v>124</v>
      </c>
      <c r="H253" s="47" t="s">
        <v>245</v>
      </c>
      <c r="I253" s="69" t="s">
        <v>205</v>
      </c>
      <c r="J253" s="46">
        <f ca="1">IFERROR(IF(AND(J254:J257),0,1),0)</f>
        <v>0</v>
      </c>
      <c r="K253" s="222" t="s">
        <v>2353</v>
      </c>
      <c r="L253" s="62" t="s">
        <v>363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3" t="str">
        <f t="shared" ref="B254:B257" si="54">DEC2HEX(C254)</f>
        <v>0</v>
      </c>
      <c r="C254" s="33">
        <v>0</v>
      </c>
      <c r="D254" s="230" t="s">
        <v>369</v>
      </c>
      <c r="E254" s="223" t="s">
        <v>158</v>
      </c>
      <c r="F254" s="224" t="s">
        <v>370</v>
      </c>
      <c r="G254" s="89"/>
      <c r="H254" s="48"/>
      <c r="I254" s="75"/>
      <c r="J254" s="49"/>
      <c r="K254" s="48"/>
      <c r="L254" s="33"/>
      <c r="M254" s="33"/>
    </row>
    <row r="255" spans="1:14">
      <c r="B255" s="33" t="str">
        <f t="shared" si="54"/>
        <v>1</v>
      </c>
      <c r="C255" s="33">
        <v>1</v>
      </c>
      <c r="D255" s="230"/>
      <c r="E255" s="223" t="s">
        <v>289</v>
      </c>
      <c r="F255" s="224" t="s">
        <v>303</v>
      </c>
      <c r="G255" s="89" t="s">
        <v>369</v>
      </c>
      <c r="H255" s="48" t="s">
        <v>303</v>
      </c>
      <c r="I255" s="75" t="s">
        <v>295</v>
      </c>
      <c r="J255" s="79" t="e" cm="1">
        <f t="array" aca="1" ref="J255" ca="1">RIGHT("00"&amp;INDIRECT("R_"&amp;H255),2)=RIGHT("00"&amp;I255,2)</f>
        <v>#REF!</v>
      </c>
      <c r="K255" s="48"/>
      <c r="L255" s="33"/>
      <c r="M255" s="33"/>
    </row>
    <row r="256" spans="1:14">
      <c r="B256" s="33" t="str">
        <f t="shared" si="54"/>
        <v>2</v>
      </c>
      <c r="C256" s="33">
        <v>2</v>
      </c>
      <c r="D256" s="230"/>
      <c r="E256" s="223"/>
      <c r="F256" s="224"/>
      <c r="G256" s="89"/>
      <c r="H256" s="75" t="s">
        <v>327</v>
      </c>
      <c r="I256" s="75">
        <v>23</v>
      </c>
      <c r="J256" s="79" t="e" cm="1">
        <f t="array" aca="1" ref="J256" ca="1">RIGHT("00"&amp;INDIRECT("R_"&amp;H256),2)=RIGHT("00"&amp;I256,2)</f>
        <v>#REF!</v>
      </c>
      <c r="K256" s="48"/>
      <c r="L256" s="33"/>
      <c r="M256" s="33"/>
    </row>
    <row r="257" spans="1:14">
      <c r="B257" s="33" t="str">
        <f t="shared" si="54"/>
        <v>3</v>
      </c>
      <c r="C257" s="33">
        <v>3</v>
      </c>
      <c r="D257" s="230"/>
      <c r="E257" s="223" t="s">
        <v>184</v>
      </c>
      <c r="F257" s="224"/>
      <c r="G257" s="89"/>
      <c r="H257" s="75"/>
      <c r="I257" s="75"/>
      <c r="J257" s="49"/>
      <c r="K257" s="48"/>
      <c r="L257" s="33"/>
      <c r="M257" s="33"/>
    </row>
    <row r="258" spans="1:14" ht="15.75" thickBot="1">
      <c r="D258" s="156"/>
      <c r="E258" s="156"/>
      <c r="F258" s="156"/>
      <c r="G258" s="156"/>
      <c r="H258" s="45"/>
      <c r="J258" s="45"/>
      <c r="K258" s="45"/>
    </row>
    <row r="259" spans="1:14" ht="15.75" thickBot="1">
      <c r="A259" s="20" t="s">
        <v>374</v>
      </c>
      <c r="B259" s="34" t="s">
        <v>136</v>
      </c>
      <c r="C259" s="34" t="s">
        <v>137</v>
      </c>
      <c r="D259" s="228" t="s">
        <v>125</v>
      </c>
      <c r="E259" s="229" t="s">
        <v>142</v>
      </c>
      <c r="F259" s="228" t="s">
        <v>123</v>
      </c>
      <c r="G259" s="228" t="s">
        <v>124</v>
      </c>
      <c r="H259" s="47" t="s">
        <v>245</v>
      </c>
      <c r="I259" s="69" t="s">
        <v>205</v>
      </c>
      <c r="J259" s="46">
        <f ca="1">IFERROR(IF(AND(J260:J263),0,1),0)</f>
        <v>0</v>
      </c>
      <c r="K259" s="222" t="s">
        <v>2353</v>
      </c>
      <c r="L259" s="62" t="s">
        <v>375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3" t="str">
        <f t="shared" ref="B260:B263" si="55">DEC2HEX(C260)</f>
        <v>0</v>
      </c>
      <c r="C260" s="33">
        <v>0</v>
      </c>
      <c r="D260" s="230" t="s">
        <v>371</v>
      </c>
      <c r="E260" s="223" t="s">
        <v>158</v>
      </c>
      <c r="F260" s="224" t="s">
        <v>372</v>
      </c>
      <c r="G260" s="89"/>
      <c r="H260" s="48" t="s">
        <v>146</v>
      </c>
      <c r="I260" s="75" t="s">
        <v>373</v>
      </c>
      <c r="J260" s="79" t="b" cm="1">
        <f t="array" aca="1" ref="J260" ca="1">RIGHT("00"&amp;INDIRECT("R_"&amp;H260),2)=RIGHT("00"&amp;I260,2)</f>
        <v>0</v>
      </c>
      <c r="K260" s="48"/>
      <c r="L260" s="33"/>
      <c r="M260" s="33"/>
    </row>
    <row r="261" spans="1:14">
      <c r="B261" s="33" t="str">
        <f t="shared" si="55"/>
        <v>1</v>
      </c>
      <c r="C261" s="33">
        <v>1</v>
      </c>
      <c r="D261" s="230"/>
      <c r="E261" s="223" t="s">
        <v>141</v>
      </c>
      <c r="F261" s="224" t="s">
        <v>146</v>
      </c>
      <c r="G261" s="89" t="s">
        <v>231</v>
      </c>
      <c r="H261" s="75" t="s">
        <v>119</v>
      </c>
      <c r="I261" s="75">
        <v>0</v>
      </c>
      <c r="J261" s="81" t="b" cm="1">
        <f t="array" aca="1" ref="J261" ca="1">INDIRECT(H261)=I261</f>
        <v>1</v>
      </c>
      <c r="K261" s="48"/>
      <c r="L261" s="33"/>
      <c r="M261" s="33"/>
    </row>
    <row r="262" spans="1:14">
      <c r="B262" s="33" t="str">
        <f t="shared" si="55"/>
        <v>2</v>
      </c>
      <c r="C262" s="33">
        <v>2</v>
      </c>
      <c r="D262" s="230"/>
      <c r="E262" s="223" t="s">
        <v>149</v>
      </c>
      <c r="F262" s="224" t="s">
        <v>371</v>
      </c>
      <c r="G262" s="89"/>
      <c r="H262" s="75" t="s">
        <v>115</v>
      </c>
      <c r="I262" s="75">
        <v>0</v>
      </c>
      <c r="J262" s="81" t="b" cm="1">
        <f t="array" aca="1" ref="J262" ca="1">INDIRECT(H262)=I262</f>
        <v>0</v>
      </c>
      <c r="K262" s="48"/>
      <c r="L262" s="33"/>
      <c r="M262" s="33"/>
    </row>
    <row r="263" spans="1:14">
      <c r="B263" s="33" t="str">
        <f t="shared" si="55"/>
        <v>3</v>
      </c>
      <c r="C263" s="33">
        <v>3</v>
      </c>
      <c r="D263" s="230"/>
      <c r="E263" s="223" t="s">
        <v>184</v>
      </c>
      <c r="F263" s="224"/>
      <c r="G263" s="89"/>
      <c r="H263" s="75" t="s">
        <v>122</v>
      </c>
      <c r="I263" s="75">
        <v>0</v>
      </c>
      <c r="J263" s="81" t="e" cm="1">
        <f t="array" aca="1" ref="J263" ca="1">INDIRECT(H263)=I263</f>
        <v>#REF!</v>
      </c>
      <c r="K263" s="48"/>
      <c r="L263" s="33"/>
      <c r="M263" s="33"/>
    </row>
    <row r="264" spans="1:14" ht="15.75" thickBot="1">
      <c r="D264" s="156"/>
      <c r="E264" s="156"/>
      <c r="F264" s="156"/>
      <c r="G264" s="156"/>
    </row>
    <row r="265" spans="1:14" ht="15.75" thickBot="1">
      <c r="A265" s="20" t="s">
        <v>376</v>
      </c>
      <c r="B265" s="34" t="s">
        <v>136</v>
      </c>
      <c r="C265" s="34" t="s">
        <v>137</v>
      </c>
      <c r="D265" s="228" t="s">
        <v>125</v>
      </c>
      <c r="E265" s="229" t="s">
        <v>142</v>
      </c>
      <c r="F265" s="228" t="s">
        <v>123</v>
      </c>
      <c r="G265" s="228" t="s">
        <v>124</v>
      </c>
      <c r="H265" s="47" t="s">
        <v>245</v>
      </c>
      <c r="I265" s="69" t="s">
        <v>205</v>
      </c>
      <c r="J265" s="46">
        <f ca="1">IFERROR(IF(AND(J266:J271),0,1),0)</f>
        <v>0</v>
      </c>
      <c r="K265" s="222" t="s">
        <v>2353</v>
      </c>
      <c r="L265" s="62" t="s">
        <v>378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3" t="str">
        <f t="shared" ref="B266:B269" si="56">DEC2HEX(C266)</f>
        <v>0</v>
      </c>
      <c r="C266" s="33">
        <v>0</v>
      </c>
      <c r="D266" s="230"/>
      <c r="E266" s="223" t="s">
        <v>141</v>
      </c>
      <c r="F266" s="224" t="s">
        <v>146</v>
      </c>
      <c r="G266" s="89" t="s">
        <v>263</v>
      </c>
      <c r="H266" s="48" t="s">
        <v>146</v>
      </c>
      <c r="I266" s="75" t="s">
        <v>140</v>
      </c>
      <c r="J266" s="79" t="b" cm="1">
        <f t="array" aca="1" ref="J266" ca="1">RIGHT("00"&amp;INDIRECT("R_"&amp;H266),2)=RIGHT("00"&amp;I266,2)</f>
        <v>0</v>
      </c>
      <c r="K266" s="48"/>
      <c r="L266" s="33"/>
      <c r="M266" s="33"/>
    </row>
    <row r="267" spans="1:14">
      <c r="B267" s="33" t="str">
        <f t="shared" si="56"/>
        <v>1</v>
      </c>
      <c r="C267" s="33">
        <v>1</v>
      </c>
      <c r="D267" s="230"/>
      <c r="E267" s="223" t="s">
        <v>149</v>
      </c>
      <c r="F267" s="224" t="s">
        <v>264</v>
      </c>
      <c r="G267" s="89"/>
      <c r="H267" s="48" t="s">
        <v>116</v>
      </c>
      <c r="I267" s="75">
        <v>1</v>
      </c>
      <c r="J267" s="81" t="e" cm="1">
        <f t="array" aca="1" ref="J267" ca="1">INDIRECT(H267)=I267</f>
        <v>#REF!</v>
      </c>
      <c r="K267" s="48"/>
      <c r="L267" s="33"/>
      <c r="M267" s="33"/>
    </row>
    <row r="268" spans="1:14">
      <c r="B268" s="33" t="str">
        <f t="shared" si="56"/>
        <v>2</v>
      </c>
      <c r="C268" s="33">
        <v>2</v>
      </c>
      <c r="D268" s="230"/>
      <c r="E268" s="223" t="s">
        <v>184</v>
      </c>
      <c r="F268" s="224"/>
      <c r="G268" s="89"/>
      <c r="H268" s="75" t="s">
        <v>120</v>
      </c>
      <c r="I268" s="75">
        <v>1</v>
      </c>
      <c r="J268" s="81" t="e" cm="1">
        <f t="array" aca="1" ref="J268" ca="1">INDIRECT(H268)=I268</f>
        <v>#REF!</v>
      </c>
      <c r="K268" s="48"/>
      <c r="L268" s="33"/>
      <c r="M268" s="33"/>
    </row>
    <row r="269" spans="1:14">
      <c r="B269" s="33" t="str">
        <f t="shared" si="56"/>
        <v>3</v>
      </c>
      <c r="C269" s="33">
        <v>3</v>
      </c>
      <c r="D269" s="230"/>
      <c r="E269" s="223"/>
      <c r="F269" s="224"/>
      <c r="G269" s="89"/>
      <c r="H269" s="75" t="s">
        <v>119</v>
      </c>
      <c r="I269" s="75">
        <v>0</v>
      </c>
      <c r="J269" s="81" t="b" cm="1">
        <f t="array" aca="1" ref="J269" ca="1">INDIRECT(H269)=I269</f>
        <v>1</v>
      </c>
      <c r="K269" s="48"/>
      <c r="L269" s="33"/>
      <c r="M269" s="33"/>
    </row>
    <row r="270" spans="1:14">
      <c r="B270" s="33"/>
      <c r="C270" s="33"/>
      <c r="D270" s="230"/>
      <c r="E270" s="223"/>
      <c r="F270" s="224"/>
      <c r="G270" s="89"/>
      <c r="H270" s="75" t="s">
        <v>115</v>
      </c>
      <c r="I270" s="75">
        <v>0</v>
      </c>
      <c r="J270" s="81" t="b" cm="1">
        <f t="array" aca="1" ref="J270" ca="1">INDIRECT(H270)=I270</f>
        <v>0</v>
      </c>
      <c r="K270" s="48"/>
      <c r="L270" s="33"/>
      <c r="M270" s="33"/>
    </row>
    <row r="271" spans="1:14">
      <c r="B271" s="33"/>
      <c r="C271" s="33"/>
      <c r="D271" s="230"/>
      <c r="E271" s="223"/>
      <c r="F271" s="224"/>
      <c r="G271" s="89"/>
      <c r="H271" s="75" t="s">
        <v>122</v>
      </c>
      <c r="I271" s="75">
        <v>0</v>
      </c>
      <c r="J271" s="81" t="e" cm="1">
        <f t="array" aca="1" ref="J271" ca="1">INDIRECT(H271)=I271</f>
        <v>#REF!</v>
      </c>
      <c r="K271" s="48"/>
      <c r="L271" s="33"/>
      <c r="M271" s="33"/>
    </row>
    <row r="272" spans="1:14" ht="15.75" thickBot="1">
      <c r="D272" s="156"/>
      <c r="E272" s="156"/>
      <c r="F272" s="156"/>
      <c r="G272" s="156"/>
    </row>
    <row r="273" spans="1:14" ht="15.75" thickBot="1">
      <c r="A273" s="20" t="s">
        <v>377</v>
      </c>
      <c r="B273" s="34" t="s">
        <v>136</v>
      </c>
      <c r="C273" s="34" t="s">
        <v>137</v>
      </c>
      <c r="D273" s="228" t="s">
        <v>125</v>
      </c>
      <c r="E273" s="229" t="s">
        <v>142</v>
      </c>
      <c r="F273" s="228" t="s">
        <v>123</v>
      </c>
      <c r="G273" s="228" t="s">
        <v>124</v>
      </c>
      <c r="H273" s="47" t="s">
        <v>245</v>
      </c>
      <c r="I273" s="69" t="s">
        <v>205</v>
      </c>
      <c r="J273" s="46">
        <f ca="1">IFERROR(IF(AND(J274:J279),0,1),0)</f>
        <v>0</v>
      </c>
      <c r="K273" s="222" t="s">
        <v>2353</v>
      </c>
      <c r="L273" s="62" t="s">
        <v>379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3" t="str">
        <f t="shared" ref="B274:B277" si="57">DEC2HEX(C274)</f>
        <v>0</v>
      </c>
      <c r="C274" s="33">
        <v>0</v>
      </c>
      <c r="D274" s="230"/>
      <c r="E274" s="223" t="s">
        <v>141</v>
      </c>
      <c r="F274" s="224" t="s">
        <v>146</v>
      </c>
      <c r="G274" s="89" t="s">
        <v>215</v>
      </c>
      <c r="H274" s="48" t="s">
        <v>146</v>
      </c>
      <c r="I274" s="75" t="s">
        <v>215</v>
      </c>
      <c r="J274" s="79" t="b" cm="1">
        <f t="array" aca="1" ref="J274" ca="1">RIGHT("00"&amp;INDIRECT("R_"&amp;H274),2)=RIGHT("00"&amp;I274,2)</f>
        <v>0</v>
      </c>
      <c r="K274" s="48"/>
      <c r="L274" s="33"/>
      <c r="M274" s="33"/>
    </row>
    <row r="275" spans="1:14">
      <c r="B275" s="33" t="str">
        <f t="shared" si="57"/>
        <v>1</v>
      </c>
      <c r="C275" s="33">
        <v>1</v>
      </c>
      <c r="D275" s="230"/>
      <c r="E275" s="223" t="s">
        <v>149</v>
      </c>
      <c r="F275" s="224">
        <v>0</v>
      </c>
      <c r="G275" s="89"/>
      <c r="H275" s="48" t="s">
        <v>116</v>
      </c>
      <c r="I275" s="75">
        <v>1</v>
      </c>
      <c r="J275" s="81" t="e" cm="1">
        <f t="array" aca="1" ref="J275" ca="1">INDIRECT(H275)=I275</f>
        <v>#REF!</v>
      </c>
      <c r="K275" s="48"/>
      <c r="L275" s="33"/>
      <c r="M275" s="33"/>
    </row>
    <row r="276" spans="1:14">
      <c r="B276" s="33" t="str">
        <f t="shared" si="57"/>
        <v>2</v>
      </c>
      <c r="C276" s="33">
        <v>2</v>
      </c>
      <c r="D276" s="230"/>
      <c r="E276" s="223" t="s">
        <v>184</v>
      </c>
      <c r="F276" s="224"/>
      <c r="G276" s="89"/>
      <c r="H276" s="75" t="s">
        <v>120</v>
      </c>
      <c r="I276" s="75">
        <v>0</v>
      </c>
      <c r="J276" s="81" t="e" cm="1">
        <f t="array" aca="1" ref="J276" ca="1">INDIRECT(H276)=I276</f>
        <v>#REF!</v>
      </c>
      <c r="K276" s="48"/>
      <c r="L276" s="33"/>
      <c r="M276" s="33"/>
    </row>
    <row r="277" spans="1:14">
      <c r="B277" s="33" t="str">
        <f t="shared" si="57"/>
        <v>3</v>
      </c>
      <c r="C277" s="33">
        <v>3</v>
      </c>
      <c r="D277" s="230"/>
      <c r="E277" s="223"/>
      <c r="F277" s="224"/>
      <c r="G277" s="89"/>
      <c r="H277" s="75" t="s">
        <v>119</v>
      </c>
      <c r="I277" s="75">
        <v>1</v>
      </c>
      <c r="J277" s="81" t="b" cm="1">
        <f t="array" aca="1" ref="J277" ca="1">INDIRECT(H277)=I277</f>
        <v>0</v>
      </c>
      <c r="K277" s="48"/>
      <c r="L277" s="33"/>
      <c r="M277" s="33"/>
    </row>
    <row r="278" spans="1:14">
      <c r="B278" s="33"/>
      <c r="C278" s="33"/>
      <c r="D278" s="230"/>
      <c r="E278" s="223"/>
      <c r="F278" s="224"/>
      <c r="G278" s="89"/>
      <c r="H278" s="75" t="s">
        <v>115</v>
      </c>
      <c r="I278" s="75">
        <v>0</v>
      </c>
      <c r="J278" s="81" t="b" cm="1">
        <f t="array" aca="1" ref="J278" ca="1">INDIRECT(H278)=I278</f>
        <v>0</v>
      </c>
      <c r="K278" s="48"/>
      <c r="L278" s="33"/>
      <c r="M278" s="33"/>
    </row>
    <row r="279" spans="1:14">
      <c r="B279" s="33"/>
      <c r="C279" s="33"/>
      <c r="D279" s="230"/>
      <c r="E279" s="223"/>
      <c r="F279" s="224"/>
      <c r="G279" s="89"/>
      <c r="H279" s="75" t="s">
        <v>122</v>
      </c>
      <c r="I279" s="75">
        <v>0</v>
      </c>
      <c r="J279" s="81" t="e" cm="1">
        <f t="array" aca="1" ref="J279" ca="1">INDIRECT(H279)=I279</f>
        <v>#REF!</v>
      </c>
      <c r="K279" s="48"/>
      <c r="L279" s="33"/>
      <c r="M279" s="33"/>
    </row>
    <row r="280" spans="1:14" ht="15.75" thickBot="1">
      <c r="D280" s="156"/>
      <c r="E280" s="156"/>
      <c r="F280" s="156"/>
      <c r="G280" s="156"/>
    </row>
    <row r="281" spans="1:14" ht="15.75" thickBot="1">
      <c r="A281" s="20" t="s">
        <v>382</v>
      </c>
      <c r="B281" s="34" t="s">
        <v>136</v>
      </c>
      <c r="C281" s="34" t="s">
        <v>137</v>
      </c>
      <c r="D281" s="228" t="s">
        <v>125</v>
      </c>
      <c r="E281" s="229" t="s">
        <v>142</v>
      </c>
      <c r="F281" s="228" t="s">
        <v>123</v>
      </c>
      <c r="G281" s="228" t="s">
        <v>124</v>
      </c>
      <c r="H281" s="47" t="s">
        <v>245</v>
      </c>
      <c r="I281" s="69" t="s">
        <v>205</v>
      </c>
      <c r="J281" s="46">
        <f ca="1">IFERROR(IF(AND(J282:J288),0,1),0)</f>
        <v>0</v>
      </c>
      <c r="K281" s="222" t="s">
        <v>2353</v>
      </c>
      <c r="L281" s="62" t="s">
        <v>381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3" t="str">
        <f t="shared" ref="B282:B288" si="58">DEC2HEX(C282)</f>
        <v>0</v>
      </c>
      <c r="C282" s="33">
        <v>0</v>
      </c>
      <c r="D282" s="230"/>
      <c r="E282" s="223" t="s">
        <v>141</v>
      </c>
      <c r="F282" s="224" t="s">
        <v>146</v>
      </c>
      <c r="G282" s="89" t="s">
        <v>263</v>
      </c>
      <c r="H282" s="48" t="s">
        <v>146</v>
      </c>
      <c r="I282" s="75" t="s">
        <v>231</v>
      </c>
      <c r="J282" s="79" t="b" cm="1">
        <f t="array" aca="1" ref="J282" ca="1">RIGHT("00"&amp;INDIRECT("R_"&amp;H282),2)=RIGHT("00"&amp;I282,2)</f>
        <v>0</v>
      </c>
      <c r="K282" s="48"/>
      <c r="L282" s="33"/>
      <c r="M282" s="33"/>
    </row>
    <row r="283" spans="1:14">
      <c r="B283" s="33" t="str">
        <f t="shared" si="58"/>
        <v>1</v>
      </c>
      <c r="C283" s="33">
        <v>1</v>
      </c>
      <c r="D283" s="230"/>
      <c r="E283" s="223" t="s">
        <v>141</v>
      </c>
      <c r="F283" s="224" t="s">
        <v>144</v>
      </c>
      <c r="G283" s="89" t="s">
        <v>295</v>
      </c>
      <c r="H283" s="48" t="s">
        <v>144</v>
      </c>
      <c r="I283" s="75">
        <v>1</v>
      </c>
      <c r="J283" s="79" t="e" cm="1">
        <f t="array" aca="1" ref="J283" ca="1">RIGHT("00"&amp;INDIRECT("R_"&amp;H283),2)=RIGHT("00"&amp;I283,2)</f>
        <v>#REF!</v>
      </c>
      <c r="K283" s="48"/>
      <c r="L283" s="33"/>
      <c r="M283" s="33"/>
    </row>
    <row r="284" spans="1:14">
      <c r="B284" s="33" t="str">
        <f t="shared" si="58"/>
        <v>2</v>
      </c>
      <c r="C284" s="33">
        <v>2</v>
      </c>
      <c r="D284" s="230"/>
      <c r="E284" s="223" t="s">
        <v>392</v>
      </c>
      <c r="F284" s="224" t="s">
        <v>144</v>
      </c>
      <c r="G284" s="89"/>
      <c r="H284" s="48" t="s">
        <v>116</v>
      </c>
      <c r="I284" s="75">
        <v>0</v>
      </c>
      <c r="J284" s="81" t="e" cm="1">
        <f t="array" aca="1" ref="J284" ca="1">INDIRECT(H284)=I284</f>
        <v>#REF!</v>
      </c>
      <c r="K284" s="48"/>
      <c r="L284" s="33"/>
      <c r="M284" s="33"/>
    </row>
    <row r="285" spans="1:14">
      <c r="B285" s="33" t="str">
        <f t="shared" si="58"/>
        <v>3</v>
      </c>
      <c r="C285" s="33">
        <v>3</v>
      </c>
      <c r="D285" s="230"/>
      <c r="E285" s="223" t="s">
        <v>184</v>
      </c>
      <c r="F285" s="224"/>
      <c r="G285" s="89"/>
      <c r="H285" s="75" t="s">
        <v>120</v>
      </c>
      <c r="I285" s="75">
        <v>0</v>
      </c>
      <c r="J285" s="81" t="e" cm="1">
        <f t="array" aca="1" ref="J285" ca="1">INDIRECT(H285)=I285</f>
        <v>#REF!</v>
      </c>
      <c r="K285" s="48"/>
      <c r="L285" s="33"/>
      <c r="M285" s="33"/>
    </row>
    <row r="286" spans="1:14">
      <c r="B286" s="33" t="str">
        <f t="shared" si="58"/>
        <v>4</v>
      </c>
      <c r="C286" s="33">
        <v>4</v>
      </c>
      <c r="D286" s="230"/>
      <c r="E286" s="223"/>
      <c r="F286" s="224"/>
      <c r="G286" s="89"/>
      <c r="H286" s="75" t="s">
        <v>119</v>
      </c>
      <c r="I286" s="75">
        <v>0</v>
      </c>
      <c r="J286" s="81" t="b" cm="1">
        <f t="array" aca="1" ref="J286" ca="1">INDIRECT(H286)=I286</f>
        <v>1</v>
      </c>
      <c r="K286" s="48"/>
      <c r="L286" s="33"/>
      <c r="M286" s="33"/>
    </row>
    <row r="287" spans="1:14">
      <c r="B287" s="33" t="str">
        <f t="shared" si="58"/>
        <v>5</v>
      </c>
      <c r="C287" s="33">
        <v>5</v>
      </c>
      <c r="D287" s="230"/>
      <c r="E287" s="223"/>
      <c r="F287" s="224"/>
      <c r="G287" s="89"/>
      <c r="H287" s="75" t="s">
        <v>115</v>
      </c>
      <c r="I287" s="75">
        <v>0</v>
      </c>
      <c r="J287" s="81" t="b" cm="1">
        <f t="array" aca="1" ref="J287" ca="1">INDIRECT(H287)=I287</f>
        <v>0</v>
      </c>
      <c r="K287" s="48"/>
      <c r="L287" s="33"/>
      <c r="M287" s="33"/>
    </row>
    <row r="288" spans="1:14">
      <c r="B288" s="33" t="str">
        <f t="shared" si="58"/>
        <v>6</v>
      </c>
      <c r="C288" s="33">
        <v>6</v>
      </c>
      <c r="D288" s="230"/>
      <c r="E288" s="223"/>
      <c r="F288" s="224"/>
      <c r="G288" s="89"/>
      <c r="H288" s="75" t="s">
        <v>122</v>
      </c>
      <c r="I288" s="75">
        <v>1</v>
      </c>
      <c r="J288" s="81" t="e" cm="1">
        <f t="array" aca="1" ref="J288" ca="1">INDIRECT(H288)=I288</f>
        <v>#REF!</v>
      </c>
      <c r="K288" s="48"/>
      <c r="L288" s="33"/>
      <c r="M288" s="33"/>
    </row>
    <row r="289" spans="1:14" ht="15.75" thickBot="1">
      <c r="D289" s="156"/>
      <c r="E289" s="156"/>
      <c r="F289" s="156"/>
      <c r="G289" s="156"/>
    </row>
    <row r="290" spans="1:14" ht="15.75" thickBot="1">
      <c r="A290" s="20" t="s">
        <v>383</v>
      </c>
      <c r="B290" s="34" t="s">
        <v>136</v>
      </c>
      <c r="C290" s="34" t="s">
        <v>137</v>
      </c>
      <c r="D290" s="228" t="s">
        <v>125</v>
      </c>
      <c r="E290" s="229" t="s">
        <v>142</v>
      </c>
      <c r="F290" s="228" t="s">
        <v>123</v>
      </c>
      <c r="G290" s="228" t="s">
        <v>124</v>
      </c>
      <c r="H290" s="47" t="s">
        <v>245</v>
      </c>
      <c r="I290" s="69" t="s">
        <v>205</v>
      </c>
      <c r="J290" s="46">
        <f ca="1">IFERROR(IF(AND(J291:J297),0,1),0)</f>
        <v>0</v>
      </c>
      <c r="K290" s="222" t="s">
        <v>2353</v>
      </c>
      <c r="L290" s="62" t="s">
        <v>393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3" t="str">
        <f t="shared" ref="B291:B297" si="59">DEC2HEX(C291)</f>
        <v>0</v>
      </c>
      <c r="C291" s="33">
        <v>0</v>
      </c>
      <c r="D291" s="230"/>
      <c r="E291" s="223" t="s">
        <v>141</v>
      </c>
      <c r="F291" s="224" t="s">
        <v>146</v>
      </c>
      <c r="G291" s="89" t="s">
        <v>140</v>
      </c>
      <c r="H291" s="48" t="s">
        <v>146</v>
      </c>
      <c r="I291" s="75">
        <v>0</v>
      </c>
      <c r="J291" s="79" t="b" cm="1">
        <f t="array" aca="1" ref="J291" ca="1">RIGHT("00"&amp;INDIRECT("R_"&amp;H291),2)=RIGHT("00"&amp;I291,2)</f>
        <v>0</v>
      </c>
      <c r="K291" s="48"/>
      <c r="L291" s="33"/>
      <c r="M291" s="33"/>
    </row>
    <row r="292" spans="1:14">
      <c r="B292" s="33" t="str">
        <f t="shared" si="59"/>
        <v>1</v>
      </c>
      <c r="C292" s="33">
        <v>1</v>
      </c>
      <c r="D292" s="230"/>
      <c r="E292" s="223" t="s">
        <v>141</v>
      </c>
      <c r="F292" s="224" t="s">
        <v>144</v>
      </c>
      <c r="G292" s="89" t="s">
        <v>295</v>
      </c>
      <c r="H292" s="48" t="s">
        <v>144</v>
      </c>
      <c r="I292" s="75">
        <v>1</v>
      </c>
      <c r="J292" s="79" t="e" cm="1">
        <f t="array" aca="1" ref="J292" ca="1">RIGHT("00"&amp;INDIRECT("R_"&amp;H292),2)=RIGHT("00"&amp;I292,2)</f>
        <v>#REF!</v>
      </c>
      <c r="K292" s="48"/>
      <c r="L292" s="33"/>
      <c r="M292" s="33"/>
    </row>
    <row r="293" spans="1:14">
      <c r="B293" s="33" t="str">
        <f t="shared" si="59"/>
        <v>2</v>
      </c>
      <c r="C293" s="33">
        <v>2</v>
      </c>
      <c r="D293" s="230"/>
      <c r="E293" s="223" t="s">
        <v>392</v>
      </c>
      <c r="F293" s="224" t="s">
        <v>144</v>
      </c>
      <c r="G293" s="89"/>
      <c r="H293" s="48" t="s">
        <v>116</v>
      </c>
      <c r="I293" s="75">
        <v>1</v>
      </c>
      <c r="J293" s="81" t="e" cm="1">
        <f t="array" aca="1" ref="J293" ca="1">INDIRECT(H293)=I293</f>
        <v>#REF!</v>
      </c>
      <c r="K293" s="48"/>
      <c r="L293" s="33"/>
      <c r="M293" s="33"/>
    </row>
    <row r="294" spans="1:14">
      <c r="B294" s="33" t="str">
        <f t="shared" si="59"/>
        <v>3</v>
      </c>
      <c r="C294" s="33">
        <v>3</v>
      </c>
      <c r="D294" s="230"/>
      <c r="E294" s="223" t="s">
        <v>184</v>
      </c>
      <c r="F294" s="224"/>
      <c r="G294" s="89"/>
      <c r="H294" s="75" t="s">
        <v>120</v>
      </c>
      <c r="I294" s="75">
        <v>0</v>
      </c>
      <c r="J294" s="81" t="e" cm="1">
        <f t="array" aca="1" ref="J294" ca="1">INDIRECT(H294)=I294</f>
        <v>#REF!</v>
      </c>
      <c r="K294" s="48"/>
      <c r="L294" s="33"/>
      <c r="M294" s="33"/>
    </row>
    <row r="295" spans="1:14">
      <c r="B295" s="33" t="str">
        <f t="shared" si="59"/>
        <v>4</v>
      </c>
      <c r="C295" s="33">
        <v>4</v>
      </c>
      <c r="D295" s="230"/>
      <c r="E295" s="223"/>
      <c r="F295" s="224"/>
      <c r="G295" s="89"/>
      <c r="H295" s="75" t="s">
        <v>119</v>
      </c>
      <c r="I295" s="75">
        <v>1</v>
      </c>
      <c r="J295" s="81" t="b" cm="1">
        <f t="array" aca="1" ref="J295" ca="1">INDIRECT(H295)=I295</f>
        <v>0</v>
      </c>
      <c r="K295" s="48"/>
      <c r="L295" s="33"/>
      <c r="M295" s="33"/>
    </row>
    <row r="296" spans="1:14">
      <c r="B296" s="33" t="str">
        <f t="shared" si="59"/>
        <v>5</v>
      </c>
      <c r="C296" s="33">
        <v>5</v>
      </c>
      <c r="D296" s="230"/>
      <c r="E296" s="223"/>
      <c r="F296" s="224"/>
      <c r="G296" s="89"/>
      <c r="H296" s="75" t="s">
        <v>115</v>
      </c>
      <c r="I296" s="75">
        <v>1</v>
      </c>
      <c r="J296" s="81" t="b" cm="1">
        <f t="array" aca="1" ref="J296" ca="1">INDIRECT(H296)=I296</f>
        <v>1</v>
      </c>
      <c r="K296" s="48"/>
      <c r="L296" s="33"/>
      <c r="M296" s="33"/>
    </row>
    <row r="297" spans="1:14">
      <c r="B297" s="33" t="str">
        <f t="shared" si="59"/>
        <v>6</v>
      </c>
      <c r="C297" s="33">
        <v>6</v>
      </c>
      <c r="D297" s="230"/>
      <c r="E297" s="223"/>
      <c r="F297" s="224"/>
      <c r="G297" s="89"/>
      <c r="H297" s="75" t="s">
        <v>122</v>
      </c>
      <c r="I297" s="75">
        <v>1</v>
      </c>
      <c r="J297" s="81" t="e" cm="1">
        <f t="array" aca="1" ref="J297" ca="1">INDIRECT(H297)=I297</f>
        <v>#REF!</v>
      </c>
      <c r="K297" s="48"/>
      <c r="L297" s="33"/>
      <c r="M297" s="33"/>
    </row>
    <row r="298" spans="1:14" ht="15.75" thickBot="1">
      <c r="D298" s="156"/>
      <c r="E298" s="156"/>
      <c r="F298" s="156"/>
      <c r="G298" s="156"/>
    </row>
    <row r="299" spans="1:14" ht="15.75" thickBot="1">
      <c r="A299" s="20" t="s">
        <v>384</v>
      </c>
      <c r="B299" s="34" t="s">
        <v>136</v>
      </c>
      <c r="C299" s="34" t="s">
        <v>137</v>
      </c>
      <c r="D299" s="228" t="s">
        <v>125</v>
      </c>
      <c r="E299" s="229" t="s">
        <v>142</v>
      </c>
      <c r="F299" s="228" t="s">
        <v>123</v>
      </c>
      <c r="G299" s="228" t="s">
        <v>124</v>
      </c>
      <c r="H299" s="47" t="s">
        <v>245</v>
      </c>
      <c r="I299" s="69" t="s">
        <v>205</v>
      </c>
      <c r="J299" s="46">
        <f ca="1">IFERROR(IF(AND(J300:J306),0,1),0)</f>
        <v>0</v>
      </c>
      <c r="K299" s="222" t="s">
        <v>2353</v>
      </c>
      <c r="L299" s="62" t="s">
        <v>400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3" t="str">
        <f t="shared" ref="B300:B306" si="60">DEC2HEX(C300)</f>
        <v>0</v>
      </c>
      <c r="C300" s="33">
        <v>0</v>
      </c>
      <c r="D300" s="230"/>
      <c r="E300" s="223" t="s">
        <v>141</v>
      </c>
      <c r="F300" s="224" t="s">
        <v>146</v>
      </c>
      <c r="G300" s="89" t="s">
        <v>394</v>
      </c>
      <c r="H300" s="48" t="s">
        <v>146</v>
      </c>
      <c r="I300" s="75" t="s">
        <v>397</v>
      </c>
      <c r="J300" s="79" t="b" cm="1">
        <f t="array" aca="1" ref="J300" ca="1">RIGHT("00"&amp;INDIRECT("R_"&amp;H300),2)=RIGHT("00"&amp;I300,2)</f>
        <v>0</v>
      </c>
      <c r="K300" s="48"/>
      <c r="L300" s="33"/>
      <c r="M300" s="33"/>
    </row>
    <row r="301" spans="1:14">
      <c r="B301" s="33" t="str">
        <f t="shared" si="60"/>
        <v>1</v>
      </c>
      <c r="C301" s="33">
        <v>1</v>
      </c>
      <c r="D301" s="230"/>
      <c r="E301" s="223" t="s">
        <v>395</v>
      </c>
      <c r="F301" s="224" t="s">
        <v>396</v>
      </c>
      <c r="G301" s="89"/>
      <c r="H301" s="48"/>
      <c r="I301" s="75"/>
      <c r="J301" s="48"/>
      <c r="K301" s="48"/>
      <c r="L301" s="33"/>
      <c r="M301" s="33"/>
    </row>
    <row r="302" spans="1:14">
      <c r="B302" s="33" t="str">
        <f t="shared" si="60"/>
        <v>2</v>
      </c>
      <c r="C302" s="33">
        <v>2</v>
      </c>
      <c r="D302" s="230"/>
      <c r="E302" s="223" t="s">
        <v>184</v>
      </c>
      <c r="F302" s="224"/>
      <c r="G302" s="89"/>
      <c r="H302" s="48" t="s">
        <v>116</v>
      </c>
      <c r="I302" s="75">
        <v>1</v>
      </c>
      <c r="J302" s="81" t="e" cm="1">
        <f t="array" aca="1" ref="J302" ca="1">INDIRECT(H302)=I302</f>
        <v>#REF!</v>
      </c>
      <c r="K302" s="48"/>
      <c r="L302" s="33"/>
      <c r="M302" s="33"/>
    </row>
    <row r="303" spans="1:14">
      <c r="B303" s="33" t="str">
        <f t="shared" si="60"/>
        <v>3</v>
      </c>
      <c r="C303" s="33">
        <v>3</v>
      </c>
      <c r="D303" s="230"/>
      <c r="E303" s="223"/>
      <c r="F303" s="224"/>
      <c r="G303" s="89"/>
      <c r="H303" s="75" t="s">
        <v>120</v>
      </c>
      <c r="I303" s="75">
        <v>0</v>
      </c>
      <c r="J303" s="81" t="e" cm="1">
        <f t="array" aca="1" ref="J303" ca="1">INDIRECT(H303)=I303</f>
        <v>#REF!</v>
      </c>
      <c r="K303" s="48"/>
      <c r="L303" s="33"/>
      <c r="M303" s="33"/>
    </row>
    <row r="304" spans="1:14">
      <c r="B304" s="33" t="str">
        <f t="shared" si="60"/>
        <v>4</v>
      </c>
      <c r="C304" s="33">
        <v>4</v>
      </c>
      <c r="D304" s="230"/>
      <c r="E304" s="223"/>
      <c r="F304" s="224"/>
      <c r="G304" s="89"/>
      <c r="H304" s="75" t="s">
        <v>119</v>
      </c>
      <c r="I304" s="75">
        <v>0</v>
      </c>
      <c r="J304" s="81" t="b" cm="1">
        <f t="array" aca="1" ref="J304" ca="1">INDIRECT(H304)=I304</f>
        <v>1</v>
      </c>
      <c r="K304" s="48"/>
      <c r="L304" s="33"/>
      <c r="M304" s="33"/>
    </row>
    <row r="305" spans="1:14">
      <c r="B305" s="33" t="str">
        <f t="shared" si="60"/>
        <v>5</v>
      </c>
      <c r="C305" s="33">
        <v>5</v>
      </c>
      <c r="D305" s="230"/>
      <c r="E305" s="223"/>
      <c r="F305" s="224"/>
      <c r="G305" s="89"/>
      <c r="H305" s="75" t="s">
        <v>115</v>
      </c>
      <c r="I305" s="75">
        <v>0</v>
      </c>
      <c r="J305" s="81" t="b" cm="1">
        <f t="array" aca="1" ref="J305" ca="1">INDIRECT(H305)=I305</f>
        <v>0</v>
      </c>
      <c r="K305" s="48"/>
      <c r="L305" s="33"/>
      <c r="M305" s="33"/>
    </row>
    <row r="306" spans="1:14">
      <c r="B306" s="33" t="str">
        <f t="shared" si="60"/>
        <v>6</v>
      </c>
      <c r="C306" s="33">
        <v>6</v>
      </c>
      <c r="D306" s="230"/>
      <c r="E306" s="223"/>
      <c r="F306" s="224"/>
      <c r="G306" s="89"/>
      <c r="H306" s="75" t="s">
        <v>122</v>
      </c>
      <c r="I306" s="75">
        <v>0</v>
      </c>
      <c r="J306" s="81" t="e" cm="1">
        <f t="array" aca="1" ref="J306" ca="1">INDIRECT(H306)=I306</f>
        <v>#REF!</v>
      </c>
      <c r="K306" s="48"/>
      <c r="L306" s="33"/>
      <c r="M306" s="33"/>
    </row>
    <row r="307" spans="1:14" ht="15.75" thickBot="1">
      <c r="D307" s="156"/>
      <c r="E307" s="156"/>
      <c r="F307" s="156"/>
      <c r="G307" s="156"/>
    </row>
    <row r="308" spans="1:14" ht="15.75" thickBot="1">
      <c r="A308" s="20" t="s">
        <v>385</v>
      </c>
      <c r="B308" s="34" t="s">
        <v>136</v>
      </c>
      <c r="C308" s="34" t="s">
        <v>137</v>
      </c>
      <c r="D308" s="228" t="s">
        <v>125</v>
      </c>
      <c r="E308" s="229" t="s">
        <v>142</v>
      </c>
      <c r="F308" s="228" t="s">
        <v>123</v>
      </c>
      <c r="G308" s="228" t="s">
        <v>124</v>
      </c>
      <c r="H308" s="47" t="s">
        <v>245</v>
      </c>
      <c r="I308" s="69" t="s">
        <v>205</v>
      </c>
      <c r="J308" s="46">
        <f ca="1">IFERROR(IF(AND(J309:J315),0,1),0)</f>
        <v>0</v>
      </c>
      <c r="K308" s="222" t="s">
        <v>2353</v>
      </c>
      <c r="L308" s="62" t="s">
        <v>402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3" t="str">
        <f t="shared" ref="B309:B315" si="61">DEC2HEX(C309)</f>
        <v>0</v>
      </c>
      <c r="C309" s="33">
        <v>0</v>
      </c>
      <c r="D309" s="230"/>
      <c r="E309" s="223" t="s">
        <v>141</v>
      </c>
      <c r="F309" s="224" t="s">
        <v>146</v>
      </c>
      <c r="G309" s="89" t="s">
        <v>180</v>
      </c>
      <c r="H309" s="48" t="s">
        <v>146</v>
      </c>
      <c r="I309" s="75" t="s">
        <v>335</v>
      </c>
      <c r="J309" s="79" t="b" cm="1">
        <f t="array" aca="1" ref="J309" ca="1">RIGHT("00"&amp;INDIRECT("R_"&amp;H309),2)=RIGHT("00"&amp;I309,2)</f>
        <v>0</v>
      </c>
      <c r="K309" s="48"/>
      <c r="L309" s="33"/>
      <c r="M309" s="33"/>
    </row>
    <row r="310" spans="1:14">
      <c r="B310" s="33" t="str">
        <f t="shared" si="61"/>
        <v>1</v>
      </c>
      <c r="C310" s="33">
        <v>1</v>
      </c>
      <c r="D310" s="230"/>
      <c r="E310" s="223" t="s">
        <v>141</v>
      </c>
      <c r="F310" s="224" t="s">
        <v>144</v>
      </c>
      <c r="G310" s="89" t="s">
        <v>263</v>
      </c>
      <c r="H310" s="48" t="s">
        <v>144</v>
      </c>
      <c r="I310" s="75" t="s">
        <v>263</v>
      </c>
      <c r="J310" s="79" t="e" cm="1">
        <f t="array" aca="1" ref="J310" ca="1">RIGHT("00"&amp;INDIRECT("R_"&amp;H310),2)=RIGHT("00"&amp;I310,2)</f>
        <v>#REF!</v>
      </c>
      <c r="K310" s="48"/>
      <c r="L310" s="33"/>
      <c r="M310" s="33"/>
    </row>
    <row r="311" spans="1:14">
      <c r="B311" s="33" t="str">
        <f t="shared" si="61"/>
        <v>2</v>
      </c>
      <c r="C311" s="33">
        <v>2</v>
      </c>
      <c r="D311" s="230"/>
      <c r="E311" s="223" t="s">
        <v>401</v>
      </c>
      <c r="F311" s="224" t="s">
        <v>144</v>
      </c>
      <c r="G311" s="89"/>
      <c r="H311" s="48" t="s">
        <v>116</v>
      </c>
      <c r="I311" s="75">
        <v>1</v>
      </c>
      <c r="J311" s="81" t="e" cm="1">
        <f t="array" aca="1" ref="J311" ca="1">INDIRECT(H311)=I311</f>
        <v>#REF!</v>
      </c>
      <c r="K311" s="48"/>
      <c r="L311" s="33"/>
      <c r="M311" s="33"/>
    </row>
    <row r="312" spans="1:14">
      <c r="B312" s="33" t="str">
        <f t="shared" si="61"/>
        <v>3</v>
      </c>
      <c r="C312" s="33">
        <v>3</v>
      </c>
      <c r="D312" s="230"/>
      <c r="E312" s="223" t="s">
        <v>184</v>
      </c>
      <c r="F312" s="224"/>
      <c r="G312" s="89"/>
      <c r="H312" s="75" t="s">
        <v>120</v>
      </c>
      <c r="I312" s="75">
        <v>0</v>
      </c>
      <c r="J312" s="81" t="e" cm="1">
        <f t="array" aca="1" ref="J312" ca="1">INDIRECT(H312)=I312</f>
        <v>#REF!</v>
      </c>
      <c r="K312" s="48"/>
      <c r="L312" s="33"/>
      <c r="M312" s="33"/>
    </row>
    <row r="313" spans="1:14">
      <c r="B313" s="33" t="str">
        <f t="shared" si="61"/>
        <v>4</v>
      </c>
      <c r="C313" s="33">
        <v>4</v>
      </c>
      <c r="D313" s="230"/>
      <c r="E313" s="223"/>
      <c r="F313" s="224"/>
      <c r="G313" s="89"/>
      <c r="H313" s="75" t="s">
        <v>119</v>
      </c>
      <c r="I313" s="75">
        <v>0</v>
      </c>
      <c r="J313" s="81" t="b" cm="1">
        <f t="array" aca="1" ref="J313" ca="1">INDIRECT(H313)=I313</f>
        <v>1</v>
      </c>
      <c r="K313" s="48"/>
      <c r="L313" s="33"/>
      <c r="M313" s="33"/>
    </row>
    <row r="314" spans="1:14">
      <c r="B314" s="33" t="str">
        <f t="shared" si="61"/>
        <v>5</v>
      </c>
      <c r="C314" s="33">
        <v>5</v>
      </c>
      <c r="D314" s="230"/>
      <c r="E314" s="223"/>
      <c r="F314" s="224"/>
      <c r="G314" s="89"/>
      <c r="H314" s="75" t="s">
        <v>115</v>
      </c>
      <c r="I314" s="75">
        <v>0</v>
      </c>
      <c r="J314" s="81" t="b" cm="1">
        <f t="array" aca="1" ref="J314" ca="1">INDIRECT(H314)=I314</f>
        <v>0</v>
      </c>
      <c r="K314" s="48"/>
      <c r="L314" s="33"/>
      <c r="M314" s="33"/>
    </row>
    <row r="315" spans="1:14">
      <c r="B315" s="33" t="str">
        <f t="shared" si="61"/>
        <v>6</v>
      </c>
      <c r="C315" s="33">
        <v>6</v>
      </c>
      <c r="D315" s="230"/>
      <c r="E315" s="223"/>
      <c r="F315" s="224"/>
      <c r="G315" s="89"/>
      <c r="H315" s="75" t="s">
        <v>122</v>
      </c>
      <c r="I315" s="75">
        <v>1</v>
      </c>
      <c r="J315" s="81" t="e" cm="1">
        <f t="array" aca="1" ref="J315" ca="1">INDIRECT(H315)=I315</f>
        <v>#REF!</v>
      </c>
      <c r="K315" s="48"/>
      <c r="L315" s="33"/>
      <c r="M315" s="33"/>
    </row>
    <row r="316" spans="1:14" ht="15.75" thickBot="1">
      <c r="D316" s="156"/>
      <c r="E316" s="156"/>
      <c r="F316" s="156"/>
      <c r="G316" s="156"/>
    </row>
    <row r="317" spans="1:14" ht="15.75" thickBot="1">
      <c r="A317" s="20" t="s">
        <v>386</v>
      </c>
      <c r="B317" s="34" t="s">
        <v>136</v>
      </c>
      <c r="C317" s="34" t="s">
        <v>137</v>
      </c>
      <c r="D317" s="228" t="s">
        <v>125</v>
      </c>
      <c r="E317" s="229" t="s">
        <v>142</v>
      </c>
      <c r="F317" s="228" t="s">
        <v>123</v>
      </c>
      <c r="G317" s="228" t="s">
        <v>124</v>
      </c>
      <c r="H317" s="47" t="s">
        <v>245</v>
      </c>
      <c r="I317" s="69" t="s">
        <v>205</v>
      </c>
      <c r="J317" s="46">
        <f ca="1">IFERROR(IF(AND(J318:J324),0,1),0)</f>
        <v>0</v>
      </c>
      <c r="K317" s="222" t="s">
        <v>2353</v>
      </c>
      <c r="L317" s="62" t="s">
        <v>403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3" t="str">
        <f t="shared" ref="B318:B324" si="62">DEC2HEX(C318)</f>
        <v>0</v>
      </c>
      <c r="C318" s="33">
        <v>0</v>
      </c>
      <c r="D318" s="230"/>
      <c r="E318" s="223" t="s">
        <v>141</v>
      </c>
      <c r="F318" s="224" t="s">
        <v>146</v>
      </c>
      <c r="G318" s="89" t="s">
        <v>185</v>
      </c>
      <c r="H318" s="48" t="s">
        <v>146</v>
      </c>
      <c r="I318" s="75">
        <v>0</v>
      </c>
      <c r="J318" s="79" t="b" cm="1">
        <f t="array" aca="1" ref="J318" ca="1">RIGHT("00"&amp;INDIRECT("R_"&amp;H318),2)=RIGHT("00"&amp;I318,2)</f>
        <v>0</v>
      </c>
      <c r="K318" s="48"/>
      <c r="L318" s="33"/>
      <c r="M318" s="33"/>
    </row>
    <row r="319" spans="1:14">
      <c r="B319" s="33" t="str">
        <f t="shared" si="62"/>
        <v>1</v>
      </c>
      <c r="C319" s="33">
        <v>1</v>
      </c>
      <c r="D319" s="230"/>
      <c r="E319" s="223" t="s">
        <v>147</v>
      </c>
      <c r="F319" s="224" t="s">
        <v>146</v>
      </c>
      <c r="G319" s="89"/>
      <c r="H319" s="48"/>
      <c r="I319" s="48"/>
      <c r="J319" s="48"/>
      <c r="K319" s="48"/>
      <c r="L319" s="33"/>
      <c r="M319" s="33"/>
    </row>
    <row r="320" spans="1:14">
      <c r="B320" s="33" t="str">
        <f t="shared" si="62"/>
        <v>2</v>
      </c>
      <c r="C320" s="33">
        <v>2</v>
      </c>
      <c r="D320" s="230"/>
      <c r="E320" s="223" t="s">
        <v>184</v>
      </c>
      <c r="F320" s="224"/>
      <c r="G320" s="89"/>
      <c r="H320" s="48" t="s">
        <v>116</v>
      </c>
      <c r="I320" s="75">
        <v>1</v>
      </c>
      <c r="J320" s="81" t="e" cm="1">
        <f t="array" aca="1" ref="J320" ca="1">INDIRECT(H320)=I320</f>
        <v>#REF!</v>
      </c>
      <c r="K320" s="48"/>
      <c r="L320" s="33"/>
      <c r="M320" s="33"/>
    </row>
    <row r="321" spans="1:18">
      <c r="B321" s="33" t="str">
        <f t="shared" si="62"/>
        <v>3</v>
      </c>
      <c r="C321" s="33">
        <v>3</v>
      </c>
      <c r="D321" s="230"/>
      <c r="E321" s="223"/>
      <c r="F321" s="224"/>
      <c r="G321" s="89"/>
      <c r="H321" s="75" t="s">
        <v>120</v>
      </c>
      <c r="I321" s="75">
        <v>0</v>
      </c>
      <c r="J321" s="81" t="e" cm="1">
        <f t="array" aca="1" ref="J321" ca="1">INDIRECT(H321)=I321</f>
        <v>#REF!</v>
      </c>
      <c r="K321" s="48"/>
      <c r="L321" s="33"/>
      <c r="M321" s="33"/>
    </row>
    <row r="322" spans="1:18">
      <c r="B322" s="33" t="str">
        <f t="shared" si="62"/>
        <v>4</v>
      </c>
      <c r="C322" s="33">
        <v>4</v>
      </c>
      <c r="D322" s="230"/>
      <c r="E322" s="223"/>
      <c r="F322" s="224"/>
      <c r="G322" s="89"/>
      <c r="H322" s="75" t="s">
        <v>119</v>
      </c>
      <c r="I322" s="75">
        <v>1</v>
      </c>
      <c r="J322" s="81" t="b" cm="1">
        <f t="array" aca="1" ref="J322" ca="1">INDIRECT(H322)=I322</f>
        <v>0</v>
      </c>
      <c r="K322" s="48"/>
      <c r="L322" s="33"/>
      <c r="M322" s="33"/>
    </row>
    <row r="323" spans="1:18">
      <c r="B323" s="33" t="str">
        <f t="shared" si="62"/>
        <v>5</v>
      </c>
      <c r="C323" s="33">
        <v>5</v>
      </c>
      <c r="D323" s="230"/>
      <c r="E323" s="223"/>
      <c r="F323" s="224"/>
      <c r="G323" s="89"/>
      <c r="H323" s="75" t="s">
        <v>115</v>
      </c>
      <c r="I323" s="75">
        <v>0</v>
      </c>
      <c r="J323" s="81" t="b" cm="1">
        <f t="array" aca="1" ref="J323" ca="1">INDIRECT(H323)=I323</f>
        <v>0</v>
      </c>
      <c r="K323" s="48"/>
      <c r="L323" s="33"/>
      <c r="M323" s="33"/>
    </row>
    <row r="324" spans="1:18">
      <c r="B324" s="33" t="str">
        <f t="shared" si="62"/>
        <v>6</v>
      </c>
      <c r="C324" s="33">
        <v>6</v>
      </c>
      <c r="D324" s="230"/>
      <c r="E324" s="223"/>
      <c r="F324" s="224"/>
      <c r="G324" s="89"/>
      <c r="H324" s="75" t="s">
        <v>122</v>
      </c>
      <c r="I324" s="75">
        <v>1</v>
      </c>
      <c r="J324" s="81" t="e" cm="1">
        <f t="array" aca="1" ref="J324" ca="1">INDIRECT(H324)=I324</f>
        <v>#REF!</v>
      </c>
      <c r="K324" s="48"/>
      <c r="L324" s="33"/>
      <c r="M324" s="33"/>
    </row>
    <row r="325" spans="1:18" ht="15.75" thickBot="1">
      <c r="D325" s="156"/>
      <c r="E325" s="156"/>
      <c r="F325" s="156"/>
      <c r="G325" s="156"/>
      <c r="Q325" s="95"/>
      <c r="R325" s="95"/>
    </row>
    <row r="326" spans="1:18" ht="15.75" thickBot="1">
      <c r="A326" s="20" t="s">
        <v>387</v>
      </c>
      <c r="B326" s="34" t="s">
        <v>136</v>
      </c>
      <c r="C326" s="34" t="s">
        <v>137</v>
      </c>
      <c r="D326" s="228" t="s">
        <v>125</v>
      </c>
      <c r="E326" s="229" t="s">
        <v>142</v>
      </c>
      <c r="F326" s="228" t="s">
        <v>123</v>
      </c>
      <c r="G326" s="228" t="s">
        <v>124</v>
      </c>
      <c r="H326" s="47" t="s">
        <v>245</v>
      </c>
      <c r="I326" s="69" t="s">
        <v>205</v>
      </c>
      <c r="J326" s="46">
        <f ca="1">IFERROR(IF(AND(J327:J333),0,1),0)</f>
        <v>0</v>
      </c>
      <c r="K326" s="222" t="s">
        <v>2353</v>
      </c>
      <c r="L326" s="62" t="s">
        <v>404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3" t="str">
        <f t="shared" ref="B327:B333" si="63">DEC2HEX(C327)</f>
        <v>0</v>
      </c>
      <c r="C327" s="33">
        <v>0</v>
      </c>
      <c r="D327" s="230"/>
      <c r="E327" s="223" t="s">
        <v>141</v>
      </c>
      <c r="F327" s="224" t="s">
        <v>146</v>
      </c>
      <c r="G327" s="89" t="s">
        <v>231</v>
      </c>
      <c r="H327" s="48" t="s">
        <v>146</v>
      </c>
      <c r="I327" s="75">
        <v>10</v>
      </c>
      <c r="J327" s="79" t="b" cm="1">
        <f t="array" aca="1" ref="J327" ca="1">RIGHT("00"&amp;INDIRECT("R_"&amp;H327),2)=RIGHT("00"&amp;I327,2)</f>
        <v>0</v>
      </c>
      <c r="K327" s="48"/>
      <c r="L327" s="33"/>
      <c r="M327" s="33"/>
    </row>
    <row r="328" spans="1:18">
      <c r="B328" s="33" t="str">
        <f t="shared" si="63"/>
        <v>1</v>
      </c>
      <c r="C328" s="33">
        <v>1</v>
      </c>
      <c r="D328" s="230"/>
      <c r="E328" s="223" t="s">
        <v>157</v>
      </c>
      <c r="F328" s="224">
        <v>20</v>
      </c>
      <c r="G328" s="89"/>
      <c r="H328" s="48"/>
      <c r="I328" s="48"/>
      <c r="J328" s="48"/>
      <c r="K328" s="48"/>
      <c r="L328" s="33"/>
      <c r="M328" s="33"/>
    </row>
    <row r="329" spans="1:18">
      <c r="B329" s="33" t="str">
        <f t="shared" si="63"/>
        <v>2</v>
      </c>
      <c r="C329" s="33">
        <v>2</v>
      </c>
      <c r="D329" s="230"/>
      <c r="E329" s="223" t="s">
        <v>184</v>
      </c>
      <c r="F329" s="224"/>
      <c r="G329" s="89"/>
      <c r="H329" s="48" t="s">
        <v>116</v>
      </c>
      <c r="I329" s="75">
        <v>1</v>
      </c>
      <c r="J329" s="81" t="e" cm="1">
        <f t="array" aca="1" ref="J329" ca="1">INDIRECT(H329)=I329</f>
        <v>#REF!</v>
      </c>
      <c r="K329" s="48"/>
      <c r="L329" s="33"/>
      <c r="M329" s="33"/>
    </row>
    <row r="330" spans="1:18">
      <c r="B330" s="33" t="str">
        <f t="shared" si="63"/>
        <v>3</v>
      </c>
      <c r="C330" s="33">
        <v>3</v>
      </c>
      <c r="D330" s="230"/>
      <c r="E330" s="223"/>
      <c r="F330" s="224"/>
      <c r="G330" s="89"/>
      <c r="H330" s="75" t="s">
        <v>120</v>
      </c>
      <c r="I330" s="75">
        <v>1</v>
      </c>
      <c r="J330" s="81" t="e" cm="1">
        <f t="array" aca="1" ref="J330" ca="1">INDIRECT(H330)=I330</f>
        <v>#REF!</v>
      </c>
      <c r="K330" s="48"/>
      <c r="L330" s="33"/>
      <c r="M330" s="33"/>
    </row>
    <row r="331" spans="1:18">
      <c r="B331" s="33" t="str">
        <f t="shared" si="63"/>
        <v>4</v>
      </c>
      <c r="C331" s="33">
        <v>4</v>
      </c>
      <c r="D331" s="230"/>
      <c r="E331" s="223"/>
      <c r="F331" s="224"/>
      <c r="G331" s="89"/>
      <c r="H331" s="75" t="s">
        <v>119</v>
      </c>
      <c r="I331" s="75">
        <v>0</v>
      </c>
      <c r="J331" s="81" t="b" cm="1">
        <f t="array" aca="1" ref="J331" ca="1">INDIRECT(H331)=I331</f>
        <v>1</v>
      </c>
      <c r="K331" s="48"/>
      <c r="L331" s="33"/>
      <c r="M331" s="33"/>
    </row>
    <row r="332" spans="1:18">
      <c r="B332" s="33" t="str">
        <f t="shared" si="63"/>
        <v>5</v>
      </c>
      <c r="C332" s="33">
        <v>5</v>
      </c>
      <c r="D332" s="230"/>
      <c r="E332" s="223"/>
      <c r="F332" s="224"/>
      <c r="G332" s="89"/>
      <c r="H332" s="75" t="s">
        <v>115</v>
      </c>
      <c r="I332" s="75">
        <v>1</v>
      </c>
      <c r="J332" s="81" t="b" cm="1">
        <f t="array" aca="1" ref="J332" ca="1">INDIRECT(H332)=I332</f>
        <v>1</v>
      </c>
      <c r="K332" s="48"/>
      <c r="L332" s="33"/>
      <c r="M332" s="33"/>
    </row>
    <row r="333" spans="1:18">
      <c r="B333" s="33" t="str">
        <f t="shared" si="63"/>
        <v>6</v>
      </c>
      <c r="C333" s="33">
        <v>6</v>
      </c>
      <c r="D333" s="230"/>
      <c r="E333" s="223"/>
      <c r="F333" s="224"/>
      <c r="G333" s="89"/>
      <c r="H333" s="75" t="s">
        <v>122</v>
      </c>
      <c r="I333" s="75">
        <v>0</v>
      </c>
      <c r="J333" s="81" t="e" cm="1">
        <f t="array" aca="1" ref="J333" ca="1">INDIRECT(H333)=I333</f>
        <v>#REF!</v>
      </c>
      <c r="K333" s="48"/>
      <c r="L333" s="33"/>
      <c r="M333" s="33"/>
    </row>
    <row r="334" spans="1:18" ht="15.75" thickBot="1">
      <c r="D334" s="156"/>
      <c r="E334" s="156"/>
      <c r="F334" s="156"/>
      <c r="G334" s="156"/>
    </row>
    <row r="335" spans="1:18" ht="15.75" thickBot="1">
      <c r="A335" s="20" t="s">
        <v>388</v>
      </c>
      <c r="B335" s="34" t="s">
        <v>136</v>
      </c>
      <c r="C335" s="34" t="s">
        <v>137</v>
      </c>
      <c r="D335" s="228" t="s">
        <v>125</v>
      </c>
      <c r="E335" s="229" t="s">
        <v>142</v>
      </c>
      <c r="F335" s="228" t="s">
        <v>123</v>
      </c>
      <c r="G335" s="228" t="s">
        <v>124</v>
      </c>
      <c r="H335" s="47" t="s">
        <v>245</v>
      </c>
      <c r="I335" s="69" t="s">
        <v>205</v>
      </c>
      <c r="J335" s="46">
        <f ca="1">IFERROR(IF(AND(J336:J342),0,1),0)</f>
        <v>0</v>
      </c>
      <c r="K335" s="222" t="s">
        <v>2353</v>
      </c>
      <c r="L335" s="62" t="s">
        <v>424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3" t="str">
        <f t="shared" ref="B336:B342" si="64">DEC2HEX(C336)</f>
        <v>0</v>
      </c>
      <c r="C336" s="33">
        <v>0</v>
      </c>
      <c r="D336" s="230"/>
      <c r="E336" s="223" t="s">
        <v>141</v>
      </c>
      <c r="F336" s="224" t="s">
        <v>146</v>
      </c>
      <c r="G336" s="89" t="s">
        <v>425</v>
      </c>
      <c r="H336" s="48" t="s">
        <v>146</v>
      </c>
      <c r="I336" s="75" t="s">
        <v>215</v>
      </c>
      <c r="J336" s="79" t="b" cm="1">
        <f t="array" aca="1" ref="J336" ca="1">RIGHT("00"&amp;INDIRECT("R_"&amp;H336),2)=RIGHT("00"&amp;I336,2)</f>
        <v>0</v>
      </c>
      <c r="K336" s="48"/>
      <c r="L336" s="33"/>
      <c r="M336" s="33"/>
    </row>
    <row r="337" spans="1:14">
      <c r="B337" s="33" t="str">
        <f t="shared" si="64"/>
        <v>1</v>
      </c>
      <c r="C337" s="33">
        <v>1</v>
      </c>
      <c r="D337" s="230"/>
      <c r="E337" s="223" t="s">
        <v>141</v>
      </c>
      <c r="F337" s="224" t="s">
        <v>144</v>
      </c>
      <c r="G337" s="89" t="s">
        <v>295</v>
      </c>
      <c r="H337" s="48"/>
      <c r="I337" s="48"/>
      <c r="J337" s="48"/>
      <c r="K337" s="48"/>
      <c r="L337" s="33"/>
      <c r="M337" s="33"/>
    </row>
    <row r="338" spans="1:14">
      <c r="B338" s="33" t="str">
        <f t="shared" si="64"/>
        <v>2</v>
      </c>
      <c r="C338" s="33">
        <v>2</v>
      </c>
      <c r="D338" s="230"/>
      <c r="E338" s="223" t="s">
        <v>72</v>
      </c>
      <c r="F338" s="224"/>
      <c r="G338" s="89"/>
      <c r="H338" s="48" t="s">
        <v>116</v>
      </c>
      <c r="I338" s="75">
        <v>1</v>
      </c>
      <c r="J338" s="81" t="e" cm="1">
        <f t="array" aca="1" ref="J338" ca="1">INDIRECT(H338)=I338</f>
        <v>#REF!</v>
      </c>
      <c r="K338" s="48"/>
      <c r="L338" s="33"/>
      <c r="M338" s="33"/>
    </row>
    <row r="339" spans="1:14">
      <c r="B339" s="33" t="str">
        <f t="shared" si="64"/>
        <v>3</v>
      </c>
      <c r="C339" s="33">
        <v>3</v>
      </c>
      <c r="D339" s="230"/>
      <c r="E339" s="223" t="s">
        <v>426</v>
      </c>
      <c r="F339" s="224" t="s">
        <v>144</v>
      </c>
      <c r="G339" s="89"/>
      <c r="H339" s="75" t="s">
        <v>120</v>
      </c>
      <c r="I339" s="75">
        <v>0</v>
      </c>
      <c r="J339" s="81" t="e" cm="1">
        <f t="array" aca="1" ref="J339" ca="1">INDIRECT(H339)=I339</f>
        <v>#REF!</v>
      </c>
      <c r="K339" s="48"/>
      <c r="L339" s="33"/>
      <c r="M339" s="33"/>
    </row>
    <row r="340" spans="1:14">
      <c r="B340" s="33" t="str">
        <f t="shared" si="64"/>
        <v>4</v>
      </c>
      <c r="C340" s="33">
        <v>4</v>
      </c>
      <c r="D340" s="230"/>
      <c r="E340" s="223"/>
      <c r="F340" s="224"/>
      <c r="G340" s="89"/>
      <c r="H340" s="75" t="s">
        <v>119</v>
      </c>
      <c r="I340" s="75">
        <v>1</v>
      </c>
      <c r="J340" s="81" t="b" cm="1">
        <f t="array" aca="1" ref="J340" ca="1">INDIRECT(H340)=I340</f>
        <v>0</v>
      </c>
      <c r="K340" s="48"/>
      <c r="L340" s="33"/>
      <c r="M340" s="33"/>
    </row>
    <row r="341" spans="1:14">
      <c r="B341" s="33" t="str">
        <f t="shared" si="64"/>
        <v>5</v>
      </c>
      <c r="C341" s="33">
        <v>5</v>
      </c>
      <c r="D341" s="230"/>
      <c r="E341" s="223"/>
      <c r="F341" s="224"/>
      <c r="G341" s="89"/>
      <c r="H341" s="75" t="s">
        <v>115</v>
      </c>
      <c r="I341" s="75">
        <v>1</v>
      </c>
      <c r="J341" s="81" t="b" cm="1">
        <f t="array" aca="1" ref="J341" ca="1">INDIRECT(H341)=I341</f>
        <v>1</v>
      </c>
      <c r="K341" s="48"/>
      <c r="L341" s="33"/>
      <c r="M341" s="33"/>
    </row>
    <row r="342" spans="1:14">
      <c r="B342" s="33" t="str">
        <f t="shared" si="64"/>
        <v>6</v>
      </c>
      <c r="C342" s="33">
        <v>6</v>
      </c>
      <c r="D342" s="230"/>
      <c r="E342" s="223" t="s">
        <v>184</v>
      </c>
      <c r="F342" s="224"/>
      <c r="G342" s="89"/>
      <c r="H342" s="75" t="s">
        <v>122</v>
      </c>
      <c r="I342" s="75">
        <v>1</v>
      </c>
      <c r="J342" s="81" t="e" cm="1">
        <f t="array" aca="1" ref="J342" ca="1">INDIRECT(H342)=I342</f>
        <v>#REF!</v>
      </c>
      <c r="K342" s="48"/>
      <c r="L342" s="33"/>
      <c r="M342" s="33"/>
    </row>
    <row r="343" spans="1:14" ht="15.75" thickBot="1">
      <c r="D343" s="156"/>
      <c r="E343" s="156"/>
      <c r="F343" s="156"/>
      <c r="G343" s="156"/>
    </row>
    <row r="344" spans="1:14" ht="15.75" thickBot="1">
      <c r="A344" s="20" t="s">
        <v>389</v>
      </c>
      <c r="B344" s="34" t="s">
        <v>136</v>
      </c>
      <c r="C344" s="34" t="s">
        <v>137</v>
      </c>
      <c r="D344" s="228" t="s">
        <v>125</v>
      </c>
      <c r="E344" s="229" t="s">
        <v>142</v>
      </c>
      <c r="F344" s="228" t="s">
        <v>123</v>
      </c>
      <c r="G344" s="228" t="s">
        <v>124</v>
      </c>
      <c r="H344" s="47" t="s">
        <v>245</v>
      </c>
      <c r="I344" s="69" t="s">
        <v>205</v>
      </c>
      <c r="J344" s="46">
        <f ca="1">IFERROR(IF(AND(J345:J351),0,1),0)</f>
        <v>0</v>
      </c>
      <c r="K344" s="222" t="s">
        <v>2353</v>
      </c>
      <c r="L344" s="62" t="s">
        <v>427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3" t="str">
        <f t="shared" ref="B345:B351" si="65">DEC2HEX(C345)</f>
        <v>0</v>
      </c>
      <c r="C345" s="33">
        <v>0</v>
      </c>
      <c r="D345" s="230"/>
      <c r="E345" s="223" t="s">
        <v>141</v>
      </c>
      <c r="F345" s="224" t="s">
        <v>146</v>
      </c>
      <c r="G345" s="89" t="s">
        <v>263</v>
      </c>
      <c r="H345" s="48" t="s">
        <v>146</v>
      </c>
      <c r="I345" s="75" t="s">
        <v>201</v>
      </c>
      <c r="J345" s="79" t="b" cm="1">
        <f t="array" aca="1" ref="J345" ca="1">RIGHT("00"&amp;INDIRECT("R_"&amp;H345),2)=RIGHT("00"&amp;I345,2)</f>
        <v>0</v>
      </c>
      <c r="K345" s="48"/>
      <c r="L345" s="33"/>
      <c r="M345" s="33"/>
    </row>
    <row r="346" spans="1:14">
      <c r="B346" s="33" t="str">
        <f t="shared" si="65"/>
        <v>1</v>
      </c>
      <c r="C346" s="33">
        <v>1</v>
      </c>
      <c r="D346" s="230"/>
      <c r="E346" s="223" t="s">
        <v>72</v>
      </c>
      <c r="F346" s="224"/>
      <c r="G346" s="89"/>
      <c r="H346" s="48"/>
      <c r="I346" s="48"/>
      <c r="J346" s="48"/>
      <c r="K346" s="48"/>
      <c r="L346" s="33"/>
      <c r="M346" s="33"/>
    </row>
    <row r="347" spans="1:14">
      <c r="B347" s="33" t="str">
        <f t="shared" si="65"/>
        <v>2</v>
      </c>
      <c r="C347" s="33">
        <v>2</v>
      </c>
      <c r="D347" s="230"/>
      <c r="E347" s="223" t="s">
        <v>428</v>
      </c>
      <c r="F347" s="224" t="s">
        <v>295</v>
      </c>
      <c r="G347" s="89"/>
      <c r="H347" s="48" t="s">
        <v>116</v>
      </c>
      <c r="I347" s="75">
        <v>1</v>
      </c>
      <c r="J347" s="81" t="e" cm="1">
        <f t="array" aca="1" ref="J347" ca="1">INDIRECT(H347)=I347</f>
        <v>#REF!</v>
      </c>
      <c r="K347" s="48"/>
      <c r="L347" s="33"/>
      <c r="M347" s="33"/>
    </row>
    <row r="348" spans="1:14">
      <c r="B348" s="33" t="str">
        <f t="shared" si="65"/>
        <v>3</v>
      </c>
      <c r="C348" s="33">
        <v>3</v>
      </c>
      <c r="D348" s="230"/>
      <c r="E348" s="223"/>
      <c r="F348" s="224"/>
      <c r="G348" s="89"/>
      <c r="H348" s="75" t="s">
        <v>120</v>
      </c>
      <c r="I348" s="75">
        <v>0</v>
      </c>
      <c r="J348" s="81" t="e" cm="1">
        <f t="array" aca="1" ref="J348" ca="1">INDIRECT(H348)=I348</f>
        <v>#REF!</v>
      </c>
      <c r="K348" s="48"/>
      <c r="L348" s="33"/>
      <c r="M348" s="33"/>
    </row>
    <row r="349" spans="1:14">
      <c r="B349" s="33" t="str">
        <f t="shared" si="65"/>
        <v>4</v>
      </c>
      <c r="C349" s="33">
        <v>4</v>
      </c>
      <c r="D349" s="230"/>
      <c r="E349" s="223"/>
      <c r="F349" s="224"/>
      <c r="G349" s="89"/>
      <c r="H349" s="75" t="s">
        <v>119</v>
      </c>
      <c r="I349" s="75">
        <v>0</v>
      </c>
      <c r="J349" s="81" t="b" cm="1">
        <f t="array" aca="1" ref="J349" ca="1">INDIRECT(H349)=I349</f>
        <v>1</v>
      </c>
      <c r="K349" s="48"/>
      <c r="L349" s="33"/>
      <c r="M349" s="33"/>
    </row>
    <row r="350" spans="1:14">
      <c r="B350" s="33" t="str">
        <f t="shared" si="65"/>
        <v>5</v>
      </c>
      <c r="C350" s="33">
        <v>5</v>
      </c>
      <c r="D350" s="230"/>
      <c r="E350" s="223"/>
      <c r="F350" s="224"/>
      <c r="G350" s="89"/>
      <c r="H350" s="75" t="s">
        <v>115</v>
      </c>
      <c r="I350" s="75">
        <v>0</v>
      </c>
      <c r="J350" s="81" t="b" cm="1">
        <f t="array" aca="1" ref="J350" ca="1">INDIRECT(H350)=I350</f>
        <v>0</v>
      </c>
      <c r="K350" s="48"/>
      <c r="L350" s="33"/>
      <c r="M350" s="33"/>
    </row>
    <row r="351" spans="1:14">
      <c r="B351" s="33" t="str">
        <f t="shared" si="65"/>
        <v>6</v>
      </c>
      <c r="C351" s="33">
        <v>6</v>
      </c>
      <c r="D351" s="230"/>
      <c r="E351" s="223" t="s">
        <v>184</v>
      </c>
      <c r="F351" s="224"/>
      <c r="G351" s="89"/>
      <c r="H351" s="75" t="s">
        <v>122</v>
      </c>
      <c r="I351" s="75">
        <v>1</v>
      </c>
      <c r="J351" s="81" t="e" cm="1">
        <f t="array" aca="1" ref="J351" ca="1">INDIRECT(H351)=I351</f>
        <v>#REF!</v>
      </c>
      <c r="K351" s="48"/>
      <c r="L351" s="33"/>
      <c r="M351" s="33"/>
    </row>
    <row r="352" spans="1:14" ht="15.75" thickBot="1">
      <c r="D352" s="156"/>
      <c r="E352" s="156"/>
      <c r="F352" s="156"/>
      <c r="G352" s="156"/>
    </row>
    <row r="353" spans="1:14" ht="15.75" thickBot="1">
      <c r="A353" s="20" t="s">
        <v>390</v>
      </c>
      <c r="B353" s="34" t="s">
        <v>136</v>
      </c>
      <c r="C353" s="34" t="s">
        <v>137</v>
      </c>
      <c r="D353" s="228" t="s">
        <v>125</v>
      </c>
      <c r="E353" s="229" t="s">
        <v>142</v>
      </c>
      <c r="F353" s="228" t="s">
        <v>123</v>
      </c>
      <c r="G353" s="228" t="s">
        <v>124</v>
      </c>
      <c r="H353" s="47" t="s">
        <v>245</v>
      </c>
      <c r="I353" s="69" t="s">
        <v>205</v>
      </c>
      <c r="J353" s="46">
        <f ca="1">IFERROR(IF(AND(J354:J360),0,1),0)</f>
        <v>0</v>
      </c>
      <c r="K353" s="222" t="s">
        <v>2353</v>
      </c>
      <c r="L353" s="62" t="s">
        <v>429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3" t="str">
        <f t="shared" ref="B354:B360" si="66">DEC2HEX(C354)</f>
        <v>0</v>
      </c>
      <c r="C354" s="33">
        <v>0</v>
      </c>
      <c r="D354" s="230"/>
      <c r="E354" s="223" t="s">
        <v>141</v>
      </c>
      <c r="F354" s="224" t="s">
        <v>146</v>
      </c>
      <c r="G354" s="89" t="s">
        <v>231</v>
      </c>
      <c r="H354" s="48" t="s">
        <v>146</v>
      </c>
      <c r="I354" s="75" t="s">
        <v>263</v>
      </c>
      <c r="J354" s="79" t="b" cm="1">
        <f t="array" aca="1" ref="J354" ca="1">RIGHT("00"&amp;INDIRECT("R_"&amp;H354),2)=RIGHT("00"&amp;I354,2)</f>
        <v>0</v>
      </c>
      <c r="K354" s="48"/>
      <c r="L354" s="33"/>
      <c r="M354" s="33"/>
    </row>
    <row r="355" spans="1:14">
      <c r="B355" s="33" t="str">
        <f t="shared" si="66"/>
        <v>1</v>
      </c>
      <c r="C355" s="33">
        <v>1</v>
      </c>
      <c r="D355" s="230"/>
      <c r="E355" s="223" t="s">
        <v>141</v>
      </c>
      <c r="F355" s="224" t="s">
        <v>144</v>
      </c>
      <c r="G355" s="89" t="s">
        <v>295</v>
      </c>
      <c r="H355" s="48"/>
      <c r="I355" s="48"/>
      <c r="J355" s="48"/>
      <c r="K355" s="48"/>
      <c r="L355" s="33"/>
      <c r="M355" s="33"/>
    </row>
    <row r="356" spans="1:14">
      <c r="B356" s="33" t="str">
        <f t="shared" si="66"/>
        <v>2</v>
      </c>
      <c r="C356" s="33">
        <v>2</v>
      </c>
      <c r="D356" s="230"/>
      <c r="E356" s="223" t="s">
        <v>430</v>
      </c>
      <c r="F356" s="224" t="s">
        <v>144</v>
      </c>
      <c r="G356" s="89"/>
      <c r="H356" s="48" t="s">
        <v>116</v>
      </c>
      <c r="I356" s="75">
        <v>1</v>
      </c>
      <c r="J356" s="81" t="e" cm="1">
        <f t="array" aca="1" ref="J356" ca="1">INDIRECT(H356)=I356</f>
        <v>#REF!</v>
      </c>
      <c r="K356" s="48"/>
      <c r="L356" s="33"/>
      <c r="M356" s="33"/>
    </row>
    <row r="357" spans="1:14">
      <c r="B357" s="33" t="str">
        <f t="shared" si="66"/>
        <v>3</v>
      </c>
      <c r="C357" s="33">
        <v>3</v>
      </c>
      <c r="D357" s="230"/>
      <c r="E357" s="223"/>
      <c r="F357" s="224"/>
      <c r="G357" s="89"/>
      <c r="H357" s="75" t="s">
        <v>120</v>
      </c>
      <c r="I357" s="75">
        <v>0</v>
      </c>
      <c r="J357" s="81" t="e" cm="1">
        <f t="array" aca="1" ref="J357" ca="1">INDIRECT(H357)=I357</f>
        <v>#REF!</v>
      </c>
      <c r="K357" s="48"/>
      <c r="L357" s="33"/>
      <c r="M357" s="33"/>
    </row>
    <row r="358" spans="1:14">
      <c r="B358" s="33" t="str">
        <f t="shared" si="66"/>
        <v>4</v>
      </c>
      <c r="C358" s="33">
        <v>4</v>
      </c>
      <c r="D358" s="230"/>
      <c r="E358" s="223"/>
      <c r="F358" s="224"/>
      <c r="G358" s="89"/>
      <c r="H358" s="75" t="s">
        <v>119</v>
      </c>
      <c r="I358" s="75">
        <v>0</v>
      </c>
      <c r="J358" s="81" t="b" cm="1">
        <f t="array" aca="1" ref="J358" ca="1">INDIRECT(H358)=I358</f>
        <v>1</v>
      </c>
      <c r="K358" s="48"/>
      <c r="L358" s="33"/>
      <c r="M358" s="33"/>
    </row>
    <row r="359" spans="1:14">
      <c r="B359" s="33" t="str">
        <f t="shared" si="66"/>
        <v>5</v>
      </c>
      <c r="C359" s="33">
        <v>5</v>
      </c>
      <c r="D359" s="230"/>
      <c r="E359" s="223"/>
      <c r="F359" s="224"/>
      <c r="G359" s="89"/>
      <c r="H359" s="75" t="s">
        <v>115</v>
      </c>
      <c r="I359" s="75">
        <v>0</v>
      </c>
      <c r="J359" s="81" t="b" cm="1">
        <f t="array" aca="1" ref="J359" ca="1">INDIRECT(H359)=I359</f>
        <v>0</v>
      </c>
      <c r="K359" s="48"/>
      <c r="L359" s="33"/>
      <c r="M359" s="33"/>
    </row>
    <row r="360" spans="1:14">
      <c r="B360" s="33" t="str">
        <f t="shared" si="66"/>
        <v>6</v>
      </c>
      <c r="C360" s="33">
        <v>6</v>
      </c>
      <c r="D360" s="230"/>
      <c r="E360" s="223" t="s">
        <v>184</v>
      </c>
      <c r="F360" s="224"/>
      <c r="G360" s="89"/>
      <c r="H360" s="75" t="s">
        <v>122</v>
      </c>
      <c r="I360" s="75">
        <v>1</v>
      </c>
      <c r="J360" s="81" t="e" cm="1">
        <f t="array" aca="1" ref="J360" ca="1">INDIRECT(H360)=I360</f>
        <v>#REF!</v>
      </c>
      <c r="K360" s="48"/>
      <c r="L360" s="33"/>
      <c r="M360" s="33"/>
    </row>
    <row r="361" spans="1:14" ht="15.75" thickBot="1">
      <c r="D361" s="156"/>
      <c r="E361" s="156"/>
      <c r="F361" s="156"/>
      <c r="G361" s="156"/>
    </row>
    <row r="362" spans="1:14" ht="15.75" thickBot="1">
      <c r="A362" s="20" t="s">
        <v>391</v>
      </c>
      <c r="B362" s="34" t="s">
        <v>136</v>
      </c>
      <c r="C362" s="34" t="s">
        <v>137</v>
      </c>
      <c r="D362" s="228" t="s">
        <v>125</v>
      </c>
      <c r="E362" s="229" t="s">
        <v>142</v>
      </c>
      <c r="F362" s="228" t="s">
        <v>123</v>
      </c>
      <c r="G362" s="228" t="s">
        <v>124</v>
      </c>
      <c r="H362" s="47" t="s">
        <v>245</v>
      </c>
      <c r="I362" s="69" t="s">
        <v>205</v>
      </c>
      <c r="J362" s="46">
        <f ca="1">IFERROR(IF(AND(J363:J369),0,1),0)</f>
        <v>0</v>
      </c>
      <c r="K362" s="222" t="s">
        <v>2353</v>
      </c>
      <c r="L362" s="62" t="s">
        <v>431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3" t="str">
        <f t="shared" ref="B363:B369" si="67">DEC2HEX(C363)</f>
        <v>0</v>
      </c>
      <c r="C363" s="33">
        <v>0</v>
      </c>
      <c r="D363" s="230"/>
      <c r="E363" s="223" t="s">
        <v>141</v>
      </c>
      <c r="F363" s="224" t="s">
        <v>146</v>
      </c>
      <c r="G363" s="89" t="s">
        <v>215</v>
      </c>
      <c r="H363" s="48" t="s">
        <v>146</v>
      </c>
      <c r="I363" s="75" t="s">
        <v>140</v>
      </c>
      <c r="J363" s="79" t="b" cm="1">
        <f t="array" aca="1" ref="J363" ca="1">RIGHT("00"&amp;INDIRECT("R_"&amp;H363),2)=RIGHT("00"&amp;I363,2)</f>
        <v>0</v>
      </c>
      <c r="K363" s="48"/>
      <c r="L363" s="33"/>
      <c r="M363" s="33"/>
    </row>
    <row r="364" spans="1:14">
      <c r="B364" s="33" t="str">
        <f t="shared" si="67"/>
        <v>1</v>
      </c>
      <c r="C364" s="33">
        <v>1</v>
      </c>
      <c r="D364" s="230"/>
      <c r="E364" s="223" t="s">
        <v>432</v>
      </c>
      <c r="F364" s="224" t="s">
        <v>295</v>
      </c>
      <c r="G364" s="89"/>
      <c r="H364" s="48"/>
      <c r="I364" s="48"/>
      <c r="J364" s="48"/>
      <c r="K364" s="48"/>
      <c r="L364" s="33"/>
      <c r="M364" s="33"/>
    </row>
    <row r="365" spans="1:14">
      <c r="B365" s="33" t="str">
        <f t="shared" si="67"/>
        <v>2</v>
      </c>
      <c r="C365" s="33">
        <v>2</v>
      </c>
      <c r="D365" s="230"/>
      <c r="E365" s="223"/>
      <c r="F365" s="224"/>
      <c r="G365" s="89"/>
      <c r="H365" s="48" t="s">
        <v>116</v>
      </c>
      <c r="I365" s="75">
        <v>1</v>
      </c>
      <c r="J365" s="81" t="e" cm="1">
        <f t="array" aca="1" ref="J365" ca="1">INDIRECT(H365)=I365</f>
        <v>#REF!</v>
      </c>
      <c r="K365" s="48"/>
      <c r="L365" s="33"/>
      <c r="M365" s="33"/>
    </row>
    <row r="366" spans="1:14">
      <c r="B366" s="33" t="str">
        <f t="shared" si="67"/>
        <v>3</v>
      </c>
      <c r="C366" s="33">
        <v>3</v>
      </c>
      <c r="D366" s="230"/>
      <c r="E366" s="223"/>
      <c r="F366" s="224"/>
      <c r="G366" s="89"/>
      <c r="H366" s="75" t="s">
        <v>120</v>
      </c>
      <c r="I366" s="75">
        <v>1</v>
      </c>
      <c r="J366" s="81" t="e" cm="1">
        <f t="array" aca="1" ref="J366" ca="1">INDIRECT(H366)=I366</f>
        <v>#REF!</v>
      </c>
      <c r="K366" s="48"/>
      <c r="L366" s="33"/>
      <c r="M366" s="33"/>
    </row>
    <row r="367" spans="1:14">
      <c r="B367" s="33" t="str">
        <f t="shared" si="67"/>
        <v>4</v>
      </c>
      <c r="C367" s="33">
        <v>4</v>
      </c>
      <c r="D367" s="230"/>
      <c r="E367" s="223"/>
      <c r="F367" s="224"/>
      <c r="G367" s="89"/>
      <c r="H367" s="75" t="s">
        <v>119</v>
      </c>
      <c r="I367" s="75">
        <v>0</v>
      </c>
      <c r="J367" s="81" t="b" cm="1">
        <f t="array" aca="1" ref="J367" ca="1">INDIRECT(H367)=I367</f>
        <v>1</v>
      </c>
      <c r="K367" s="48"/>
      <c r="L367" s="33"/>
      <c r="M367" s="33"/>
    </row>
    <row r="368" spans="1:14">
      <c r="B368" s="33" t="str">
        <f t="shared" si="67"/>
        <v>5</v>
      </c>
      <c r="C368" s="33">
        <v>5</v>
      </c>
      <c r="D368" s="230"/>
      <c r="E368" s="223" t="s">
        <v>184</v>
      </c>
      <c r="F368" s="224"/>
      <c r="G368" s="89"/>
      <c r="H368" s="75" t="s">
        <v>115</v>
      </c>
      <c r="I368" s="75">
        <v>1</v>
      </c>
      <c r="J368" s="81" t="b" cm="1">
        <f t="array" aca="1" ref="J368" ca="1">INDIRECT(H368)=I368</f>
        <v>1</v>
      </c>
      <c r="K368" s="48"/>
      <c r="L368" s="33"/>
      <c r="M368" s="33"/>
    </row>
    <row r="369" spans="1:14">
      <c r="B369" s="33" t="str">
        <f t="shared" si="67"/>
        <v>6</v>
      </c>
      <c r="C369" s="33">
        <v>6</v>
      </c>
      <c r="D369" s="230"/>
      <c r="E369" s="223"/>
      <c r="F369" s="224"/>
      <c r="G369" s="89"/>
      <c r="H369" s="75" t="s">
        <v>122</v>
      </c>
      <c r="I369" s="75">
        <v>1</v>
      </c>
      <c r="J369" s="81" t="e" cm="1">
        <f t="array" aca="1" ref="J369" ca="1">INDIRECT(H369)=I369</f>
        <v>#REF!</v>
      </c>
      <c r="K369" s="48"/>
      <c r="L369" s="33"/>
      <c r="M369" s="33"/>
    </row>
    <row r="370" spans="1:14" ht="15.75" thickBot="1">
      <c r="D370" s="156"/>
      <c r="E370" s="156"/>
      <c r="F370" s="156"/>
      <c r="G370" s="156"/>
    </row>
    <row r="371" spans="1:14" ht="15.75" thickBot="1">
      <c r="A371" s="20" t="s">
        <v>433</v>
      </c>
      <c r="B371" s="34" t="s">
        <v>136</v>
      </c>
      <c r="C371" s="34" t="s">
        <v>137</v>
      </c>
      <c r="D371" s="228" t="s">
        <v>125</v>
      </c>
      <c r="E371" s="229" t="s">
        <v>142</v>
      </c>
      <c r="F371" s="228" t="s">
        <v>123</v>
      </c>
      <c r="G371" s="228" t="s">
        <v>124</v>
      </c>
      <c r="H371" s="47" t="s">
        <v>245</v>
      </c>
      <c r="I371" s="69" t="s">
        <v>205</v>
      </c>
      <c r="J371" s="46">
        <f ca="1">IFERROR(IF(AND(J372:J377),0,1),0)</f>
        <v>0</v>
      </c>
      <c r="K371" s="222" t="s">
        <v>2353</v>
      </c>
      <c r="L371" s="62" t="s">
        <v>442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3" t="str">
        <f t="shared" ref="B372:B378" si="68">DEC2HEX(C372)</f>
        <v>0</v>
      </c>
      <c r="C372" s="33">
        <v>0</v>
      </c>
      <c r="D372" s="230"/>
      <c r="E372" s="223" t="s">
        <v>141</v>
      </c>
      <c r="F372" s="224" t="s">
        <v>146</v>
      </c>
      <c r="G372" s="89" t="s">
        <v>231</v>
      </c>
      <c r="H372" s="48" t="s">
        <v>146</v>
      </c>
      <c r="I372" s="75" t="s">
        <v>444</v>
      </c>
      <c r="J372" s="79" t="b" cm="1">
        <f t="array" aca="1" ref="J372" ca="1">RIGHT("00"&amp;INDIRECT("R_"&amp;H372),2)=RIGHT("00"&amp;I372,2)</f>
        <v>0</v>
      </c>
      <c r="K372" s="48"/>
      <c r="L372" s="33"/>
      <c r="M372" s="33"/>
    </row>
    <row r="373" spans="1:14">
      <c r="B373" s="33" t="str">
        <f t="shared" si="68"/>
        <v>1</v>
      </c>
      <c r="C373" s="33">
        <v>1</v>
      </c>
      <c r="D373" s="230"/>
      <c r="E373" s="223" t="s">
        <v>141</v>
      </c>
      <c r="F373" s="224" t="s">
        <v>144</v>
      </c>
      <c r="G373" s="89" t="s">
        <v>295</v>
      </c>
      <c r="H373" s="48"/>
      <c r="I373" s="48"/>
      <c r="J373" s="48"/>
      <c r="K373" s="48"/>
      <c r="L373" s="33"/>
      <c r="M373" s="33"/>
    </row>
    <row r="374" spans="1:14">
      <c r="B374" s="33" t="str">
        <f t="shared" si="68"/>
        <v>2</v>
      </c>
      <c r="C374" s="33">
        <v>2</v>
      </c>
      <c r="D374" s="230"/>
      <c r="E374" s="223" t="s">
        <v>72</v>
      </c>
      <c r="F374" s="224"/>
      <c r="G374" s="89"/>
      <c r="H374" s="48" t="s">
        <v>116</v>
      </c>
      <c r="I374" s="75">
        <v>0</v>
      </c>
      <c r="J374" s="81" t="e" cm="1">
        <f t="array" aca="1" ref="J374" ca="1">INDIRECT(H374)=I374</f>
        <v>#REF!</v>
      </c>
      <c r="K374" s="48"/>
      <c r="L374" s="33"/>
      <c r="M374" s="33"/>
    </row>
    <row r="375" spans="1:14">
      <c r="B375" s="33" t="str">
        <f t="shared" si="68"/>
        <v>3</v>
      </c>
      <c r="C375" s="33">
        <v>3</v>
      </c>
      <c r="D375" s="230"/>
      <c r="E375" s="223" t="s">
        <v>443</v>
      </c>
      <c r="F375" s="224" t="s">
        <v>144</v>
      </c>
      <c r="G375" s="89"/>
      <c r="H375" s="75" t="s">
        <v>120</v>
      </c>
      <c r="I375" s="75">
        <v>0</v>
      </c>
      <c r="J375" s="81" t="e" cm="1">
        <f t="array" aca="1" ref="J375" ca="1">INDIRECT(H375)=I375</f>
        <v>#REF!</v>
      </c>
      <c r="K375" s="48"/>
      <c r="L375" s="33"/>
      <c r="M375" s="33"/>
    </row>
    <row r="376" spans="1:14">
      <c r="B376" s="33" t="str">
        <f t="shared" si="68"/>
        <v>4</v>
      </c>
      <c r="C376" s="33">
        <v>4</v>
      </c>
      <c r="D376" s="230"/>
      <c r="E376" s="223"/>
      <c r="F376" s="224"/>
      <c r="G376" s="89"/>
      <c r="H376" s="75" t="s">
        <v>119</v>
      </c>
      <c r="I376" s="75">
        <v>0</v>
      </c>
      <c r="J376" s="81" t="b" cm="1">
        <f t="array" aca="1" ref="J376" ca="1">INDIRECT(H376)=I376</f>
        <v>1</v>
      </c>
      <c r="K376" s="48"/>
      <c r="L376" s="33"/>
      <c r="M376" s="33"/>
    </row>
    <row r="377" spans="1:14">
      <c r="B377" s="33" t="str">
        <f t="shared" si="68"/>
        <v>5</v>
      </c>
      <c r="C377" s="33">
        <v>5</v>
      </c>
      <c r="D377" s="230"/>
      <c r="E377" s="223"/>
      <c r="F377" s="224"/>
      <c r="G377" s="89"/>
      <c r="H377" s="75" t="s">
        <v>115</v>
      </c>
      <c r="I377" s="75">
        <v>0</v>
      </c>
      <c r="J377" s="81" t="b" cm="1">
        <f t="array" aca="1" ref="J377" ca="1">INDIRECT(H377)=I377</f>
        <v>0</v>
      </c>
      <c r="K377" s="48"/>
      <c r="L377" s="33"/>
      <c r="M377" s="33"/>
    </row>
    <row r="378" spans="1:14">
      <c r="B378" s="33" t="str">
        <f t="shared" si="68"/>
        <v>6</v>
      </c>
      <c r="C378" s="33">
        <v>6</v>
      </c>
      <c r="D378" s="230"/>
      <c r="E378" s="223" t="s">
        <v>184</v>
      </c>
      <c r="F378" s="224"/>
      <c r="G378" s="89"/>
      <c r="H378" s="75" t="s">
        <v>122</v>
      </c>
      <c r="I378" s="75">
        <v>1</v>
      </c>
      <c r="J378" s="81" t="e" cm="1">
        <f t="array" aca="1" ref="J378" ca="1">INDIRECT(H378)=I378</f>
        <v>#REF!</v>
      </c>
      <c r="K378" s="48"/>
      <c r="L378" s="33"/>
      <c r="M378" s="33"/>
    </row>
    <row r="379" spans="1:14" ht="15.75" thickBot="1">
      <c r="D379" s="156"/>
      <c r="E379" s="156"/>
      <c r="F379" s="156"/>
      <c r="G379" s="156"/>
    </row>
    <row r="380" spans="1:14" ht="15.75" thickBot="1">
      <c r="A380" s="20" t="s">
        <v>434</v>
      </c>
      <c r="B380" s="34" t="s">
        <v>136</v>
      </c>
      <c r="C380" s="34" t="s">
        <v>137</v>
      </c>
      <c r="D380" s="228" t="s">
        <v>125</v>
      </c>
      <c r="E380" s="229" t="s">
        <v>142</v>
      </c>
      <c r="F380" s="228" t="s">
        <v>123</v>
      </c>
      <c r="G380" s="228" t="s">
        <v>124</v>
      </c>
      <c r="H380" s="47" t="s">
        <v>245</v>
      </c>
      <c r="I380" s="69" t="s">
        <v>205</v>
      </c>
      <c r="J380" s="46">
        <f ca="1">IFERROR(IF(AND(J381:J386),0,1),0)</f>
        <v>0</v>
      </c>
      <c r="K380" s="222" t="s">
        <v>2353</v>
      </c>
      <c r="L380" s="62" t="s">
        <v>445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3" t="str">
        <f t="shared" ref="B381:B387" si="69">DEC2HEX(C381)</f>
        <v>0</v>
      </c>
      <c r="C381" s="33">
        <v>0</v>
      </c>
      <c r="D381" s="230"/>
      <c r="E381" s="223" t="s">
        <v>141</v>
      </c>
      <c r="F381" s="224" t="s">
        <v>146</v>
      </c>
      <c r="G381" s="89" t="s">
        <v>215</v>
      </c>
      <c r="H381" s="48" t="s">
        <v>146</v>
      </c>
      <c r="I381" s="75" t="s">
        <v>140</v>
      </c>
      <c r="J381" s="79" t="b" cm="1">
        <f t="array" aca="1" ref="J381" ca="1">RIGHT("00"&amp;INDIRECT("R_"&amp;H381),2)=RIGHT("00"&amp;I381,2)</f>
        <v>0</v>
      </c>
      <c r="K381" s="48"/>
      <c r="L381" s="33"/>
      <c r="M381" s="33"/>
    </row>
    <row r="382" spans="1:14">
      <c r="B382" s="33" t="str">
        <f t="shared" si="69"/>
        <v>1</v>
      </c>
      <c r="C382" s="33">
        <v>1</v>
      </c>
      <c r="D382" s="230"/>
      <c r="E382" s="223" t="s">
        <v>72</v>
      </c>
      <c r="F382" s="224"/>
      <c r="G382" s="89"/>
      <c r="H382" s="48"/>
      <c r="I382" s="48"/>
      <c r="J382" s="48"/>
      <c r="K382" s="48"/>
      <c r="L382" s="33"/>
      <c r="M382" s="33"/>
    </row>
    <row r="383" spans="1:14">
      <c r="B383" s="33" t="str">
        <f t="shared" si="69"/>
        <v>2</v>
      </c>
      <c r="C383" s="33">
        <v>2</v>
      </c>
      <c r="D383" s="230"/>
      <c r="E383" s="223" t="s">
        <v>446</v>
      </c>
      <c r="F383" s="224" t="s">
        <v>215</v>
      </c>
      <c r="G383" s="89"/>
      <c r="H383" s="48" t="s">
        <v>116</v>
      </c>
      <c r="I383" s="75">
        <v>1</v>
      </c>
      <c r="J383" s="81" t="e" cm="1">
        <f t="array" aca="1" ref="J383" ca="1">INDIRECT(H383)=I383</f>
        <v>#REF!</v>
      </c>
      <c r="K383" s="48"/>
      <c r="L383" s="33"/>
      <c r="M383" s="33"/>
    </row>
    <row r="384" spans="1:14">
      <c r="B384" s="33" t="str">
        <f t="shared" si="69"/>
        <v>3</v>
      </c>
      <c r="C384" s="33">
        <v>3</v>
      </c>
      <c r="D384" s="230"/>
      <c r="E384" s="223"/>
      <c r="F384" s="224"/>
      <c r="G384" s="89"/>
      <c r="H384" s="75" t="s">
        <v>120</v>
      </c>
      <c r="I384" s="75">
        <v>1</v>
      </c>
      <c r="J384" s="81" t="e" cm="1">
        <f t="array" aca="1" ref="J384" ca="1">INDIRECT(H384)=I384</f>
        <v>#REF!</v>
      </c>
      <c r="K384" s="48"/>
      <c r="L384" s="33"/>
      <c r="M384" s="33"/>
    </row>
    <row r="385" spans="1:14">
      <c r="B385" s="33" t="str">
        <f t="shared" si="69"/>
        <v>4</v>
      </c>
      <c r="C385" s="33">
        <v>4</v>
      </c>
      <c r="D385" s="230"/>
      <c r="E385" s="223"/>
      <c r="F385" s="224"/>
      <c r="G385" s="89"/>
      <c r="H385" s="75" t="s">
        <v>119</v>
      </c>
      <c r="I385" s="75">
        <v>0</v>
      </c>
      <c r="J385" s="81" t="b" cm="1">
        <f t="array" aca="1" ref="J385" ca="1">INDIRECT(H385)=I385</f>
        <v>1</v>
      </c>
      <c r="K385" s="48"/>
      <c r="L385" s="33"/>
      <c r="M385" s="33"/>
    </row>
    <row r="386" spans="1:14">
      <c r="B386" s="33" t="str">
        <f t="shared" si="69"/>
        <v>5</v>
      </c>
      <c r="C386" s="33">
        <v>5</v>
      </c>
      <c r="D386" s="230"/>
      <c r="E386" s="223" t="s">
        <v>184</v>
      </c>
      <c r="F386" s="224"/>
      <c r="G386" s="89"/>
      <c r="H386" s="75" t="s">
        <v>115</v>
      </c>
      <c r="I386" s="75">
        <v>1</v>
      </c>
      <c r="J386" s="81" t="b" cm="1">
        <f t="array" aca="1" ref="J386" ca="1">INDIRECT(H386)=I386</f>
        <v>1</v>
      </c>
      <c r="K386" s="48"/>
      <c r="L386" s="33"/>
      <c r="M386" s="33"/>
    </row>
    <row r="387" spans="1:14">
      <c r="B387" s="33" t="str">
        <f t="shared" si="69"/>
        <v>6</v>
      </c>
      <c r="C387" s="33">
        <v>6</v>
      </c>
      <c r="D387" s="230"/>
      <c r="E387" s="223"/>
      <c r="F387" s="224"/>
      <c r="G387" s="89"/>
      <c r="H387" s="75" t="s">
        <v>122</v>
      </c>
      <c r="I387" s="75">
        <v>1</v>
      </c>
      <c r="J387" s="81" t="e" cm="1">
        <f t="array" aca="1" ref="J387" ca="1">INDIRECT(H387)=I387</f>
        <v>#REF!</v>
      </c>
      <c r="K387" s="48"/>
      <c r="L387" s="33"/>
      <c r="M387" s="33"/>
    </row>
    <row r="388" spans="1:14" ht="15.75" thickBot="1">
      <c r="D388" s="156"/>
      <c r="E388" s="156"/>
      <c r="F388" s="156"/>
      <c r="G388" s="156"/>
    </row>
    <row r="389" spans="1:14" ht="15.75" thickBot="1">
      <c r="A389" s="20" t="s">
        <v>435</v>
      </c>
      <c r="B389" s="34" t="s">
        <v>136</v>
      </c>
      <c r="C389" s="34" t="s">
        <v>137</v>
      </c>
      <c r="D389" s="228" t="s">
        <v>125</v>
      </c>
      <c r="E389" s="229" t="s">
        <v>142</v>
      </c>
      <c r="F389" s="228" t="s">
        <v>123</v>
      </c>
      <c r="G389" s="228" t="s">
        <v>124</v>
      </c>
      <c r="H389" s="47" t="s">
        <v>245</v>
      </c>
      <c r="I389" s="69" t="s">
        <v>205</v>
      </c>
      <c r="J389" s="46">
        <f ca="1">IFERROR(IF(AND(J390:J396),0,1),0)</f>
        <v>0</v>
      </c>
      <c r="K389" s="222" t="s">
        <v>2353</v>
      </c>
      <c r="L389" s="62" t="s">
        <v>447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3" t="str">
        <f t="shared" ref="B390:B396" si="70">DEC2HEX(C390)</f>
        <v>0</v>
      </c>
      <c r="C390" s="33">
        <v>0</v>
      </c>
      <c r="D390" s="230"/>
      <c r="E390" s="223" t="s">
        <v>141</v>
      </c>
      <c r="F390" s="224" t="s">
        <v>146</v>
      </c>
      <c r="G390" s="89" t="s">
        <v>140</v>
      </c>
      <c r="H390" s="48" t="s">
        <v>146</v>
      </c>
      <c r="I390" s="75" t="s">
        <v>264</v>
      </c>
      <c r="J390" s="79" t="b" cm="1">
        <f t="array" aca="1" ref="J390" ca="1">RIGHT("00"&amp;INDIRECT("R_"&amp;H390),2)=RIGHT("00"&amp;I390,2)</f>
        <v>0</v>
      </c>
      <c r="K390" s="48"/>
      <c r="L390" s="33"/>
      <c r="M390" s="33"/>
    </row>
    <row r="391" spans="1:14">
      <c r="B391" s="33" t="str">
        <f t="shared" si="70"/>
        <v>1</v>
      </c>
      <c r="C391" s="33">
        <v>1</v>
      </c>
      <c r="D391" s="230"/>
      <c r="E391" s="223" t="s">
        <v>141</v>
      </c>
      <c r="F391" s="224" t="s">
        <v>144</v>
      </c>
      <c r="G391" s="89" t="s">
        <v>263</v>
      </c>
      <c r="H391" s="48" t="s">
        <v>144</v>
      </c>
      <c r="I391" s="75" t="s">
        <v>263</v>
      </c>
      <c r="J391" s="79" t="e" cm="1">
        <f t="array" aca="1" ref="J391" ca="1">RIGHT("00"&amp;INDIRECT("R_"&amp;H391),2)=RIGHT("00"&amp;I391,2)</f>
        <v>#REF!</v>
      </c>
      <c r="K391" s="48"/>
      <c r="L391" s="33"/>
      <c r="M391" s="33"/>
    </row>
    <row r="392" spans="1:14">
      <c r="B392" s="33" t="str">
        <f t="shared" si="70"/>
        <v>2</v>
      </c>
      <c r="C392" s="33">
        <v>2</v>
      </c>
      <c r="D392" s="230"/>
      <c r="E392" s="223" t="s">
        <v>72</v>
      </c>
      <c r="F392" s="224"/>
      <c r="G392" s="89"/>
      <c r="H392" s="48" t="s">
        <v>116</v>
      </c>
      <c r="I392" s="75">
        <v>1</v>
      </c>
      <c r="J392" s="81" t="e" cm="1">
        <f t="array" aca="1" ref="J392" ca="1">INDIRECT(H392)=I392</f>
        <v>#REF!</v>
      </c>
      <c r="K392" s="48"/>
      <c r="L392" s="33"/>
      <c r="M392" s="33"/>
    </row>
    <row r="393" spans="1:14">
      <c r="B393" s="33" t="str">
        <f t="shared" si="70"/>
        <v>3</v>
      </c>
      <c r="C393" s="33">
        <v>3</v>
      </c>
      <c r="D393" s="230"/>
      <c r="E393" s="223" t="s">
        <v>448</v>
      </c>
      <c r="F393" s="224" t="s">
        <v>144</v>
      </c>
      <c r="G393" s="89"/>
      <c r="H393" s="75" t="s">
        <v>120</v>
      </c>
      <c r="I393" s="75">
        <v>1</v>
      </c>
      <c r="J393" s="81" t="e" cm="1">
        <f t="array" aca="1" ref="J393" ca="1">INDIRECT(H393)=I393</f>
        <v>#REF!</v>
      </c>
      <c r="K393" s="48"/>
      <c r="L393" s="33"/>
      <c r="M393" s="33"/>
    </row>
    <row r="394" spans="1:14">
      <c r="B394" s="33" t="str">
        <f t="shared" si="70"/>
        <v>4</v>
      </c>
      <c r="C394" s="33">
        <v>4</v>
      </c>
      <c r="D394" s="230"/>
      <c r="E394" s="223"/>
      <c r="F394" s="224"/>
      <c r="G394" s="89"/>
      <c r="H394" s="75" t="s">
        <v>119</v>
      </c>
      <c r="I394" s="75">
        <v>0</v>
      </c>
      <c r="J394" s="81" t="b" cm="1">
        <f t="array" aca="1" ref="J394" ca="1">INDIRECT(H394)=I394</f>
        <v>1</v>
      </c>
      <c r="K394" s="48"/>
      <c r="L394" s="33"/>
      <c r="M394" s="33"/>
    </row>
    <row r="395" spans="1:14">
      <c r="B395" s="33" t="str">
        <f t="shared" si="70"/>
        <v>5</v>
      </c>
      <c r="C395" s="33">
        <v>5</v>
      </c>
      <c r="D395" s="230"/>
      <c r="E395" s="223"/>
      <c r="F395" s="224"/>
      <c r="G395" s="89"/>
      <c r="H395" s="75" t="s">
        <v>115</v>
      </c>
      <c r="I395" s="75">
        <v>0</v>
      </c>
      <c r="J395" s="81" t="b" cm="1">
        <f t="array" aca="1" ref="J395" ca="1">INDIRECT(H395)=I395</f>
        <v>0</v>
      </c>
      <c r="K395" s="48"/>
      <c r="L395" s="33"/>
      <c r="M395" s="33"/>
    </row>
    <row r="396" spans="1:14">
      <c r="B396" s="33" t="str">
        <f t="shared" si="70"/>
        <v>6</v>
      </c>
      <c r="C396" s="33">
        <v>6</v>
      </c>
      <c r="D396" s="230"/>
      <c r="E396" s="223" t="s">
        <v>184</v>
      </c>
      <c r="F396" s="224"/>
      <c r="G396" s="89"/>
      <c r="H396" s="75" t="s">
        <v>122</v>
      </c>
      <c r="I396" s="75">
        <v>0</v>
      </c>
      <c r="J396" s="81" t="e" cm="1">
        <f t="array" aca="1" ref="J396" ca="1">INDIRECT(H396)=I396</f>
        <v>#REF!</v>
      </c>
      <c r="K396" s="48"/>
      <c r="L396" s="33"/>
      <c r="M396" s="33"/>
    </row>
    <row r="397" spans="1:14" ht="15.75" thickBot="1">
      <c r="D397" s="156"/>
      <c r="E397" s="156"/>
      <c r="F397" s="156"/>
      <c r="G397" s="156"/>
    </row>
    <row r="398" spans="1:14" ht="15.75" thickBot="1">
      <c r="A398" s="20" t="s">
        <v>436</v>
      </c>
      <c r="B398" s="34" t="s">
        <v>136</v>
      </c>
      <c r="C398" s="34" t="s">
        <v>137</v>
      </c>
      <c r="D398" s="228" t="s">
        <v>125</v>
      </c>
      <c r="E398" s="229" t="s">
        <v>142</v>
      </c>
      <c r="F398" s="228" t="s">
        <v>123</v>
      </c>
      <c r="G398" s="228" t="s">
        <v>124</v>
      </c>
      <c r="H398" s="47" t="s">
        <v>245</v>
      </c>
      <c r="I398" s="69" t="s">
        <v>205</v>
      </c>
      <c r="J398" s="46">
        <f ca="1">IFERROR(IF(AND(J399:J405),0,1),0)</f>
        <v>0</v>
      </c>
      <c r="K398" s="222" t="s">
        <v>2353</v>
      </c>
      <c r="L398" s="62" t="s">
        <v>450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3" t="str">
        <f t="shared" ref="B399:B405" si="71">DEC2HEX(C399)</f>
        <v>0</v>
      </c>
      <c r="C399" s="33">
        <v>0</v>
      </c>
      <c r="D399" s="230"/>
      <c r="E399" s="223" t="s">
        <v>141</v>
      </c>
      <c r="F399" s="224" t="s">
        <v>146</v>
      </c>
      <c r="G399" s="89" t="s">
        <v>185</v>
      </c>
      <c r="H399" s="48" t="s">
        <v>146</v>
      </c>
      <c r="I399" s="75" t="s">
        <v>180</v>
      </c>
      <c r="J399" s="79" t="b" cm="1">
        <f t="array" aca="1" ref="J399" ca="1">RIGHT("00"&amp;INDIRECT("R_"&amp;H399),2)=RIGHT("00"&amp;I399,2)</f>
        <v>0</v>
      </c>
      <c r="K399" s="48"/>
      <c r="L399" s="33"/>
      <c r="M399" s="33"/>
    </row>
    <row r="400" spans="1:14">
      <c r="B400" s="33" t="str">
        <f t="shared" si="71"/>
        <v>1</v>
      </c>
      <c r="C400" s="33">
        <v>1</v>
      </c>
      <c r="D400" s="230"/>
      <c r="E400" s="223" t="s">
        <v>155</v>
      </c>
      <c r="F400" s="224" t="s">
        <v>140</v>
      </c>
      <c r="G400" s="89"/>
      <c r="H400" s="48"/>
      <c r="I400" s="48"/>
      <c r="J400" s="48"/>
      <c r="K400" s="48"/>
      <c r="L400" s="33"/>
      <c r="M400" s="33"/>
    </row>
    <row r="401" spans="1:14">
      <c r="B401" s="33" t="str">
        <f t="shared" si="71"/>
        <v>2</v>
      </c>
      <c r="C401" s="33">
        <v>2</v>
      </c>
      <c r="D401" s="230"/>
      <c r="E401" s="223"/>
      <c r="F401" s="224"/>
      <c r="G401" s="89"/>
      <c r="H401" s="48" t="s">
        <v>116</v>
      </c>
      <c r="I401" s="75">
        <v>1</v>
      </c>
      <c r="J401" s="81" t="e" cm="1">
        <f t="array" aca="1" ref="J401" ca="1">INDIRECT(H401)=I401</f>
        <v>#REF!</v>
      </c>
      <c r="K401" s="48"/>
      <c r="L401" s="33"/>
      <c r="M401" s="33"/>
    </row>
    <row r="402" spans="1:14">
      <c r="B402" s="33" t="str">
        <f t="shared" si="71"/>
        <v>3</v>
      </c>
      <c r="C402" s="33">
        <v>3</v>
      </c>
      <c r="D402" s="230"/>
      <c r="E402" s="223"/>
      <c r="F402" s="224"/>
      <c r="G402" s="89"/>
      <c r="H402" s="75" t="s">
        <v>120</v>
      </c>
      <c r="I402" s="75">
        <v>1</v>
      </c>
      <c r="J402" s="81" t="e" cm="1">
        <f t="array" aca="1" ref="J402" ca="1">INDIRECT(H402)=I402</f>
        <v>#REF!</v>
      </c>
      <c r="K402" s="48"/>
      <c r="L402" s="33"/>
      <c r="M402" s="33"/>
    </row>
    <row r="403" spans="1:14">
      <c r="B403" s="33" t="str">
        <f t="shared" si="71"/>
        <v>4</v>
      </c>
      <c r="C403" s="33">
        <v>4</v>
      </c>
      <c r="D403" s="230"/>
      <c r="E403" s="223" t="s">
        <v>184</v>
      </c>
      <c r="F403" s="224"/>
      <c r="G403" s="89"/>
      <c r="H403" s="75" t="s">
        <v>119</v>
      </c>
      <c r="I403" s="75">
        <v>0</v>
      </c>
      <c r="J403" s="81" t="b" cm="1">
        <f t="array" aca="1" ref="J403" ca="1">INDIRECT(H403)=I403</f>
        <v>1</v>
      </c>
      <c r="K403" s="48"/>
      <c r="L403" s="33"/>
      <c r="M403" s="33"/>
    </row>
    <row r="404" spans="1:14">
      <c r="B404" s="33" t="str">
        <f t="shared" si="71"/>
        <v>5</v>
      </c>
      <c r="C404" s="33">
        <v>5</v>
      </c>
      <c r="D404" s="230"/>
      <c r="E404" s="223"/>
      <c r="F404" s="224"/>
      <c r="G404" s="89"/>
      <c r="H404" s="75" t="s">
        <v>115</v>
      </c>
      <c r="I404" s="75">
        <v>0</v>
      </c>
      <c r="J404" s="81" t="b" cm="1">
        <f t="array" aca="1" ref="J404" ca="1">INDIRECT(H404)=I404</f>
        <v>0</v>
      </c>
      <c r="K404" s="48"/>
      <c r="L404" s="33"/>
      <c r="M404" s="33"/>
    </row>
    <row r="405" spans="1:14">
      <c r="B405" s="33" t="str">
        <f t="shared" si="71"/>
        <v>6</v>
      </c>
      <c r="C405" s="33">
        <v>6</v>
      </c>
      <c r="D405" s="230"/>
      <c r="E405" s="223"/>
      <c r="F405" s="224"/>
      <c r="G405" s="89"/>
      <c r="H405" s="75" t="s">
        <v>122</v>
      </c>
      <c r="I405" s="75">
        <v>0</v>
      </c>
      <c r="J405" s="81" t="e" cm="1">
        <f t="array" aca="1" ref="J405" ca="1">INDIRECT(H405)=I405</f>
        <v>#REF!</v>
      </c>
      <c r="K405" s="48"/>
      <c r="L405" s="33"/>
      <c r="M405" s="33"/>
    </row>
    <row r="406" spans="1:14" ht="15.75" thickBot="1">
      <c r="D406" s="156"/>
      <c r="E406" s="156"/>
      <c r="F406" s="156"/>
      <c r="G406" s="156"/>
    </row>
    <row r="407" spans="1:14" ht="15.75" thickBot="1">
      <c r="A407" s="20" t="s">
        <v>437</v>
      </c>
      <c r="B407" s="34" t="s">
        <v>136</v>
      </c>
      <c r="C407" s="34" t="s">
        <v>137</v>
      </c>
      <c r="D407" s="228" t="s">
        <v>125</v>
      </c>
      <c r="E407" s="229" t="s">
        <v>142</v>
      </c>
      <c r="F407" s="228" t="s">
        <v>123</v>
      </c>
      <c r="G407" s="228" t="s">
        <v>124</v>
      </c>
      <c r="H407" s="47" t="s">
        <v>245</v>
      </c>
      <c r="I407" s="69" t="s">
        <v>205</v>
      </c>
      <c r="J407" s="46">
        <f ca="1">IFERROR(IF(AND(J408:J414),0,1),0)</f>
        <v>1</v>
      </c>
      <c r="K407" s="222" t="s">
        <v>2353</v>
      </c>
      <c r="L407" s="62" t="s">
        <v>451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3" t="str">
        <f t="shared" ref="B408:B414" si="72">DEC2HEX(C408)</f>
        <v>0</v>
      </c>
      <c r="C408" s="33">
        <v>0</v>
      </c>
      <c r="D408" s="230"/>
      <c r="E408" s="223" t="s">
        <v>141</v>
      </c>
      <c r="F408" s="224" t="s">
        <v>146</v>
      </c>
      <c r="G408" s="89" t="s">
        <v>449</v>
      </c>
      <c r="H408" s="48" t="s">
        <v>146</v>
      </c>
      <c r="I408" s="75" t="s">
        <v>216</v>
      </c>
      <c r="J408" s="79" t="b" cm="1">
        <f t="array" aca="1" ref="J408" ca="1">RIGHT("00"&amp;INDIRECT("R_"&amp;H408),2)=RIGHT("00"&amp;I408,2)</f>
        <v>0</v>
      </c>
      <c r="K408" s="48"/>
      <c r="L408" s="33"/>
      <c r="M408" s="33"/>
    </row>
    <row r="409" spans="1:14">
      <c r="B409" s="33" t="str">
        <f t="shared" si="72"/>
        <v>1</v>
      </c>
      <c r="C409" s="33">
        <v>1</v>
      </c>
      <c r="D409" s="230"/>
      <c r="E409" s="223" t="s">
        <v>452</v>
      </c>
      <c r="F409" s="224"/>
      <c r="G409" s="89"/>
      <c r="H409" s="48"/>
      <c r="I409" s="48"/>
      <c r="J409" s="48"/>
      <c r="K409" s="48"/>
      <c r="L409" s="33"/>
      <c r="M409" s="33"/>
    </row>
    <row r="410" spans="1:14">
      <c r="B410" s="33" t="str">
        <f t="shared" si="72"/>
        <v>2</v>
      </c>
      <c r="C410" s="33">
        <v>2</v>
      </c>
      <c r="D410" s="230"/>
      <c r="E410" s="223"/>
      <c r="F410" s="224"/>
      <c r="G410" s="89"/>
      <c r="H410" s="48"/>
      <c r="I410" s="75"/>
      <c r="J410" s="48"/>
      <c r="K410" s="48"/>
      <c r="L410" s="33"/>
      <c r="M410" s="33"/>
    </row>
    <row r="411" spans="1:14">
      <c r="B411" s="33" t="str">
        <f t="shared" si="72"/>
        <v>3</v>
      </c>
      <c r="C411" s="33">
        <v>3</v>
      </c>
      <c r="D411" s="230"/>
      <c r="E411" s="223" t="s">
        <v>141</v>
      </c>
      <c r="F411" s="224" t="s">
        <v>146</v>
      </c>
      <c r="G411" s="89" t="s">
        <v>295</v>
      </c>
      <c r="H411" s="75"/>
      <c r="I411" s="75"/>
      <c r="J411" s="48"/>
      <c r="K411" s="48"/>
      <c r="L411" s="33"/>
      <c r="M411" s="33"/>
    </row>
    <row r="412" spans="1:14">
      <c r="B412" s="33" t="str">
        <f t="shared" si="72"/>
        <v>4</v>
      </c>
      <c r="C412" s="33">
        <v>4</v>
      </c>
      <c r="D412" s="230"/>
      <c r="E412" s="223" t="s">
        <v>153</v>
      </c>
      <c r="F412" s="224"/>
      <c r="G412" s="89"/>
      <c r="H412" s="75"/>
      <c r="I412" s="75"/>
      <c r="J412" s="48"/>
      <c r="K412" s="48"/>
      <c r="L412" s="33"/>
      <c r="M412" s="33"/>
    </row>
    <row r="413" spans="1:14">
      <c r="B413" s="33" t="str">
        <f t="shared" si="72"/>
        <v>5</v>
      </c>
      <c r="C413" s="33">
        <v>5</v>
      </c>
      <c r="D413" s="230"/>
      <c r="E413" s="223"/>
      <c r="F413" s="224"/>
      <c r="G413" s="89"/>
      <c r="H413" s="75" t="s">
        <v>115</v>
      </c>
      <c r="I413" s="75">
        <v>1</v>
      </c>
      <c r="J413" s="81" t="b" cm="1">
        <f t="array" aca="1" ref="J413" ca="1">INDIRECT(H413)=I413</f>
        <v>1</v>
      </c>
      <c r="K413" s="48"/>
      <c r="L413" s="33"/>
      <c r="M413" s="33"/>
    </row>
    <row r="414" spans="1:14">
      <c r="B414" s="33" t="str">
        <f t="shared" si="72"/>
        <v>6</v>
      </c>
      <c r="C414" s="33">
        <v>6</v>
      </c>
      <c r="D414" s="230"/>
      <c r="E414" s="223" t="s">
        <v>184</v>
      </c>
      <c r="F414" s="224"/>
      <c r="G414" s="89"/>
      <c r="H414" s="75"/>
      <c r="I414" s="75"/>
      <c r="J414" s="48"/>
      <c r="K414" s="48"/>
      <c r="L414" s="33"/>
      <c r="M414" s="33"/>
    </row>
    <row r="415" spans="1:14" ht="15.75" thickBot="1">
      <c r="D415" s="156"/>
      <c r="E415" s="156"/>
      <c r="F415" s="156"/>
      <c r="G415" s="156"/>
    </row>
    <row r="416" spans="1:14" ht="15.75" thickBot="1">
      <c r="A416" s="20" t="s">
        <v>438</v>
      </c>
      <c r="B416" s="34" t="s">
        <v>136</v>
      </c>
      <c r="C416" s="34" t="s">
        <v>137</v>
      </c>
      <c r="D416" s="228" t="s">
        <v>125</v>
      </c>
      <c r="E416" s="229" t="s">
        <v>142</v>
      </c>
      <c r="F416" s="228" t="s">
        <v>123</v>
      </c>
      <c r="G416" s="228" t="s">
        <v>124</v>
      </c>
      <c r="H416" s="47" t="s">
        <v>245</v>
      </c>
      <c r="I416" s="69" t="s">
        <v>205</v>
      </c>
      <c r="J416" s="46">
        <f ca="1">IFERROR(IF(AND(J417:J425),0,1),0)</f>
        <v>1</v>
      </c>
      <c r="K416" s="222" t="s">
        <v>2353</v>
      </c>
      <c r="L416" s="62" t="s">
        <v>453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3" t="str">
        <f t="shared" ref="B417:B421" si="73">DEC2HEX(C417)</f>
        <v>0</v>
      </c>
      <c r="C417" s="33">
        <v>0</v>
      </c>
      <c r="D417" s="230"/>
      <c r="E417" s="223" t="s">
        <v>72</v>
      </c>
      <c r="F417" s="224"/>
      <c r="G417" s="89"/>
      <c r="H417" s="48" t="s">
        <v>146</v>
      </c>
      <c r="I417" s="75" t="s">
        <v>216</v>
      </c>
      <c r="J417" s="79" t="b" cm="1">
        <f t="array" aca="1" ref="J417" ca="1">RIGHT("00"&amp;INDIRECT("R_"&amp;H417),2)=RIGHT("00"&amp;I417,2)</f>
        <v>0</v>
      </c>
      <c r="K417" s="48"/>
      <c r="L417" s="33"/>
      <c r="M417" s="33"/>
    </row>
    <row r="418" spans="1:14">
      <c r="B418" s="33" t="str">
        <f t="shared" si="73"/>
        <v>1</v>
      </c>
      <c r="C418" s="33">
        <v>1</v>
      </c>
      <c r="D418" s="230"/>
      <c r="E418" s="223" t="s">
        <v>141</v>
      </c>
      <c r="F418" s="224" t="s">
        <v>146</v>
      </c>
      <c r="G418" s="89" t="s">
        <v>216</v>
      </c>
      <c r="H418" s="48"/>
      <c r="I418" s="75"/>
      <c r="J418" s="48"/>
      <c r="K418" s="48"/>
      <c r="L418" s="33"/>
      <c r="M418" s="33"/>
    </row>
    <row r="419" spans="1:14">
      <c r="B419" s="33" t="str">
        <f t="shared" si="73"/>
        <v>2</v>
      </c>
      <c r="C419" s="33">
        <v>2</v>
      </c>
      <c r="D419" s="230"/>
      <c r="E419" s="223" t="s">
        <v>454</v>
      </c>
      <c r="F419" s="224"/>
      <c r="G419" s="89"/>
      <c r="H419" s="48"/>
      <c r="I419" s="75"/>
      <c r="J419" s="48"/>
      <c r="K419" s="48"/>
      <c r="L419" s="33"/>
      <c r="M419" s="33"/>
    </row>
    <row r="420" spans="1:14">
      <c r="B420" s="33" t="str">
        <f t="shared" si="73"/>
        <v>3</v>
      </c>
      <c r="C420" s="33">
        <v>3</v>
      </c>
      <c r="D420" s="230"/>
      <c r="E420" s="223"/>
      <c r="F420" s="224"/>
      <c r="G420" s="89"/>
      <c r="H420" s="48"/>
      <c r="I420" s="75"/>
      <c r="J420" s="48"/>
      <c r="K420" s="48"/>
      <c r="L420" s="33"/>
      <c r="M420" s="33"/>
    </row>
    <row r="421" spans="1:14">
      <c r="B421" s="33" t="str">
        <f t="shared" si="73"/>
        <v>4</v>
      </c>
      <c r="C421" s="33">
        <v>4</v>
      </c>
      <c r="D421" s="230"/>
      <c r="E421" s="223" t="s">
        <v>72</v>
      </c>
      <c r="F421" s="224"/>
      <c r="G421" s="89"/>
      <c r="H421" s="48"/>
      <c r="I421" s="75"/>
      <c r="J421" s="48"/>
      <c r="K421" s="48"/>
      <c r="L421" s="33"/>
      <c r="M421" s="33"/>
    </row>
    <row r="422" spans="1:14">
      <c r="B422" s="33" t="str">
        <f t="shared" ref="B422:B425" si="74">DEC2HEX(C422)</f>
        <v>5</v>
      </c>
      <c r="C422" s="33">
        <v>5</v>
      </c>
      <c r="D422" s="230"/>
      <c r="E422" s="223" t="s">
        <v>141</v>
      </c>
      <c r="F422" s="224" t="s">
        <v>146</v>
      </c>
      <c r="G422" s="89" t="s">
        <v>295</v>
      </c>
      <c r="H422" s="48"/>
      <c r="I422" s="75"/>
      <c r="J422" s="48"/>
      <c r="K422" s="48"/>
      <c r="L422" s="33"/>
      <c r="M422" s="33"/>
    </row>
    <row r="423" spans="1:14">
      <c r="B423" s="33" t="str">
        <f t="shared" si="74"/>
        <v>6</v>
      </c>
      <c r="C423" s="33">
        <v>6</v>
      </c>
      <c r="D423" s="230"/>
      <c r="E423" s="223" t="s">
        <v>151</v>
      </c>
      <c r="F423" s="224"/>
      <c r="G423" s="89"/>
      <c r="H423" s="48"/>
      <c r="I423" s="75"/>
      <c r="J423" s="48"/>
      <c r="K423" s="48"/>
      <c r="L423" s="33"/>
      <c r="M423" s="33"/>
    </row>
    <row r="424" spans="1:14">
      <c r="B424" s="33" t="str">
        <f t="shared" si="74"/>
        <v>7</v>
      </c>
      <c r="C424" s="33">
        <v>7</v>
      </c>
      <c r="D424" s="230"/>
      <c r="E424" s="223"/>
      <c r="F424" s="224"/>
      <c r="G424" s="89"/>
      <c r="H424" s="48" t="s">
        <v>115</v>
      </c>
      <c r="I424" s="75">
        <v>1</v>
      </c>
      <c r="J424" s="81" t="b" cm="1">
        <f t="array" aca="1" ref="J424" ca="1">INDIRECT(H424)=VALUE(I424)</f>
        <v>1</v>
      </c>
      <c r="K424" s="48"/>
      <c r="L424" s="33"/>
      <c r="M424" s="33"/>
    </row>
    <row r="425" spans="1:14">
      <c r="B425" s="33" t="str">
        <f t="shared" si="74"/>
        <v>8</v>
      </c>
      <c r="C425" s="33">
        <v>8</v>
      </c>
      <c r="D425" s="230"/>
      <c r="E425" s="223" t="s">
        <v>184</v>
      </c>
      <c r="F425" s="224"/>
      <c r="G425" s="89"/>
      <c r="H425" s="48"/>
      <c r="I425" s="75"/>
      <c r="J425" s="48"/>
      <c r="K425" s="48"/>
      <c r="L425" s="33"/>
      <c r="M425" s="33"/>
    </row>
    <row r="426" spans="1:14" ht="15.75" thickBot="1">
      <c r="D426" s="156"/>
      <c r="E426" s="156"/>
      <c r="F426" s="156"/>
      <c r="G426" s="156"/>
    </row>
    <row r="427" spans="1:14" ht="15.75" thickBot="1">
      <c r="A427" s="20" t="s">
        <v>439</v>
      </c>
      <c r="B427" s="34" t="s">
        <v>136</v>
      </c>
      <c r="C427" s="34" t="s">
        <v>137</v>
      </c>
      <c r="D427" s="228" t="s">
        <v>125</v>
      </c>
      <c r="E427" s="229" t="s">
        <v>142</v>
      </c>
      <c r="F427" s="228" t="s">
        <v>123</v>
      </c>
      <c r="G427" s="228" t="s">
        <v>124</v>
      </c>
      <c r="H427" s="47" t="s">
        <v>245</v>
      </c>
      <c r="I427" s="69" t="s">
        <v>205</v>
      </c>
      <c r="J427" s="46">
        <f ca="1">IFERROR(IF(AND(J428:J434),0,1),0)</f>
        <v>1</v>
      </c>
      <c r="K427" s="222" t="s">
        <v>2353</v>
      </c>
      <c r="L427" s="62" t="s">
        <v>455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3" t="str">
        <f t="shared" ref="B428:B434" si="75">DEC2HEX(C428)</f>
        <v>0</v>
      </c>
      <c r="C428" s="33">
        <v>0</v>
      </c>
      <c r="D428" s="230"/>
      <c r="E428" s="223" t="s">
        <v>72</v>
      </c>
      <c r="F428" s="224"/>
      <c r="G428" s="89"/>
      <c r="H428" s="48" t="s">
        <v>146</v>
      </c>
      <c r="I428" s="75" t="s">
        <v>180</v>
      </c>
      <c r="J428" s="79" t="b" cm="1">
        <f t="array" aca="1" ref="J428" ca="1">RIGHT("00"&amp;INDIRECT("R_"&amp;H428),2)=RIGHT("00"&amp;I428,2)</f>
        <v>0</v>
      </c>
      <c r="K428" s="48"/>
      <c r="L428" s="33"/>
      <c r="M428" s="33"/>
    </row>
    <row r="429" spans="1:14">
      <c r="B429" s="33" t="str">
        <f t="shared" si="75"/>
        <v>1</v>
      </c>
      <c r="C429" s="33">
        <v>1</v>
      </c>
      <c r="D429" s="230"/>
      <c r="E429" s="223" t="s">
        <v>141</v>
      </c>
      <c r="F429" s="224" t="s">
        <v>146</v>
      </c>
      <c r="G429" s="89" t="s">
        <v>185</v>
      </c>
      <c r="H429" s="48"/>
      <c r="I429" s="75"/>
      <c r="J429" s="48"/>
      <c r="K429" s="48"/>
      <c r="L429" s="33"/>
      <c r="M429" s="33"/>
    </row>
    <row r="430" spans="1:14">
      <c r="B430" s="33" t="str">
        <f t="shared" si="75"/>
        <v>2</v>
      </c>
      <c r="C430" s="33">
        <v>2</v>
      </c>
      <c r="D430" s="230"/>
      <c r="E430" s="223" t="s">
        <v>68</v>
      </c>
      <c r="F430" s="224"/>
      <c r="G430" s="89"/>
      <c r="H430" s="48"/>
      <c r="I430" s="75"/>
      <c r="J430" s="48"/>
      <c r="K430" s="48"/>
      <c r="L430" s="33"/>
      <c r="M430" s="33"/>
    </row>
    <row r="431" spans="1:14">
      <c r="B431" s="33" t="str">
        <f t="shared" si="75"/>
        <v>3</v>
      </c>
      <c r="C431" s="33">
        <v>3</v>
      </c>
      <c r="D431" s="230"/>
      <c r="E431" s="223"/>
      <c r="F431" s="224"/>
      <c r="G431" s="89"/>
      <c r="H431" s="48" t="s">
        <v>115</v>
      </c>
      <c r="I431" s="75" t="s">
        <v>210</v>
      </c>
      <c r="J431" s="81" t="b" cm="1">
        <f t="array" aca="1" ref="J431" ca="1">INDIRECT(H431)=VALUE(I431)</f>
        <v>1</v>
      </c>
      <c r="K431" s="48"/>
      <c r="L431" s="33"/>
      <c r="M431" s="33"/>
    </row>
    <row r="432" spans="1:14">
      <c r="B432" s="33" t="str">
        <f t="shared" si="75"/>
        <v>4</v>
      </c>
      <c r="C432" s="33">
        <v>4</v>
      </c>
      <c r="D432" s="230"/>
      <c r="E432" s="223" t="s">
        <v>184</v>
      </c>
      <c r="F432" s="224"/>
      <c r="G432" s="89"/>
      <c r="H432" s="48"/>
      <c r="I432" s="75"/>
      <c r="J432" s="48"/>
      <c r="K432" s="48"/>
      <c r="L432" s="33"/>
      <c r="M432" s="33"/>
    </row>
    <row r="433" spans="1:14">
      <c r="B433" s="33" t="str">
        <f t="shared" si="75"/>
        <v>5</v>
      </c>
      <c r="C433" s="33">
        <v>5</v>
      </c>
      <c r="D433" s="230"/>
      <c r="E433" s="223"/>
      <c r="F433" s="224"/>
      <c r="G433" s="89"/>
      <c r="H433" s="48"/>
      <c r="I433" s="75"/>
      <c r="J433" s="48"/>
      <c r="K433" s="48"/>
      <c r="L433" s="33"/>
      <c r="M433" s="33"/>
    </row>
    <row r="434" spans="1:14">
      <c r="B434" s="33" t="str">
        <f t="shared" si="75"/>
        <v>6</v>
      </c>
      <c r="C434" s="33">
        <v>6</v>
      </c>
      <c r="D434" s="230"/>
      <c r="E434" s="223"/>
      <c r="F434" s="224"/>
      <c r="G434" s="89"/>
      <c r="H434" s="48"/>
      <c r="I434" s="75"/>
      <c r="J434" s="48"/>
      <c r="K434" s="48"/>
      <c r="L434" s="33"/>
      <c r="M434" s="33"/>
    </row>
    <row r="435" spans="1:14" ht="15.75" thickBot="1">
      <c r="D435" s="156"/>
      <c r="E435" s="156"/>
      <c r="F435" s="156"/>
      <c r="G435" s="156"/>
      <c r="H435" s="45"/>
      <c r="I435" s="99"/>
      <c r="J435" s="45"/>
      <c r="K435" s="45"/>
    </row>
    <row r="436" spans="1:14" ht="15.75" thickBot="1">
      <c r="A436" s="20" t="s">
        <v>440</v>
      </c>
      <c r="B436" s="34" t="s">
        <v>136</v>
      </c>
      <c r="C436" s="34" t="s">
        <v>137</v>
      </c>
      <c r="D436" s="228" t="s">
        <v>125</v>
      </c>
      <c r="E436" s="229" t="s">
        <v>142</v>
      </c>
      <c r="F436" s="228" t="s">
        <v>123</v>
      </c>
      <c r="G436" s="228" t="s">
        <v>124</v>
      </c>
      <c r="H436" s="47" t="s">
        <v>245</v>
      </c>
      <c r="I436" s="69" t="s">
        <v>205</v>
      </c>
      <c r="J436" s="46">
        <f ca="1">IFERROR(IF(AND(J437:J443),0,1),0)</f>
        <v>1</v>
      </c>
      <c r="K436" s="222" t="s">
        <v>2353</v>
      </c>
      <c r="L436" s="62" t="s">
        <v>456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3" t="str">
        <f t="shared" ref="B437:B443" si="76">DEC2HEX(C437)</f>
        <v>0</v>
      </c>
      <c r="C437" s="33">
        <v>0</v>
      </c>
      <c r="D437" s="230"/>
      <c r="E437" s="223" t="s">
        <v>72</v>
      </c>
      <c r="F437" s="224"/>
      <c r="G437" s="89"/>
      <c r="H437" s="48"/>
      <c r="I437" s="75"/>
      <c r="J437" s="48"/>
      <c r="K437" s="48"/>
      <c r="L437" s="33"/>
      <c r="M437" s="33"/>
    </row>
    <row r="438" spans="1:14">
      <c r="B438" s="33" t="str">
        <f t="shared" si="76"/>
        <v>1</v>
      </c>
      <c r="C438" s="33">
        <v>1</v>
      </c>
      <c r="D438" s="230"/>
      <c r="E438" s="223"/>
      <c r="F438" s="224"/>
      <c r="G438" s="89"/>
      <c r="H438" s="48" t="s">
        <v>115</v>
      </c>
      <c r="I438" s="75">
        <v>0</v>
      </c>
      <c r="J438" s="81" t="b" cm="1">
        <f t="array" aca="1" ref="J438" ca="1">INDIRECT(H438)=VALUE(I438)</f>
        <v>0</v>
      </c>
      <c r="K438" s="48"/>
      <c r="L438" s="33"/>
      <c r="M438" s="33"/>
    </row>
    <row r="439" spans="1:14">
      <c r="B439" s="33" t="str">
        <f t="shared" si="76"/>
        <v>2</v>
      </c>
      <c r="C439" s="33">
        <v>2</v>
      </c>
      <c r="D439" s="230"/>
      <c r="E439" s="223" t="s">
        <v>70</v>
      </c>
      <c r="F439" s="224"/>
      <c r="G439" s="89"/>
      <c r="H439" s="48"/>
      <c r="I439" s="75"/>
      <c r="J439" s="48"/>
      <c r="K439" s="48"/>
      <c r="L439" s="33"/>
      <c r="M439" s="33"/>
    </row>
    <row r="440" spans="1:14">
      <c r="B440" s="33" t="str">
        <f t="shared" si="76"/>
        <v>3</v>
      </c>
      <c r="C440" s="33">
        <v>3</v>
      </c>
      <c r="D440" s="230"/>
      <c r="E440" s="223"/>
      <c r="F440" s="224"/>
      <c r="G440" s="89"/>
      <c r="H440" s="48"/>
      <c r="I440" s="75"/>
      <c r="J440" s="48"/>
      <c r="K440" s="48"/>
      <c r="L440" s="33"/>
      <c r="M440" s="33"/>
    </row>
    <row r="441" spans="1:14">
      <c r="B441" s="33" t="str">
        <f t="shared" si="76"/>
        <v>4</v>
      </c>
      <c r="C441" s="33">
        <v>4</v>
      </c>
      <c r="D441" s="230"/>
      <c r="E441" s="223" t="s">
        <v>184</v>
      </c>
      <c r="F441" s="224"/>
      <c r="G441" s="89"/>
      <c r="H441" s="48"/>
      <c r="I441" s="75"/>
      <c r="J441" s="48"/>
      <c r="K441" s="48"/>
      <c r="L441" s="33"/>
      <c r="M441" s="33"/>
    </row>
    <row r="442" spans="1:14">
      <c r="B442" s="33" t="str">
        <f t="shared" si="76"/>
        <v>5</v>
      </c>
      <c r="C442" s="33">
        <v>5</v>
      </c>
      <c r="D442" s="230"/>
      <c r="E442" s="223"/>
      <c r="F442" s="224"/>
      <c r="G442" s="89"/>
      <c r="H442" s="48"/>
      <c r="I442" s="75"/>
      <c r="J442" s="48"/>
      <c r="K442" s="48"/>
      <c r="L442" s="33"/>
      <c r="M442" s="33"/>
    </row>
    <row r="443" spans="1:14">
      <c r="B443" s="33" t="str">
        <f t="shared" si="76"/>
        <v>6</v>
      </c>
      <c r="C443" s="33">
        <v>6</v>
      </c>
      <c r="D443" s="230"/>
      <c r="E443" s="223"/>
      <c r="F443" s="224"/>
      <c r="G443" s="89"/>
      <c r="H443" s="48"/>
      <c r="I443" s="75"/>
      <c r="J443" s="48"/>
      <c r="K443" s="48"/>
      <c r="L443" s="33"/>
      <c r="M443" s="33"/>
    </row>
    <row r="444" spans="1:14" ht="15.75" thickBot="1">
      <c r="D444" s="156"/>
      <c r="E444" s="156"/>
      <c r="F444" s="156"/>
      <c r="G444" s="156"/>
    </row>
    <row r="445" spans="1:14" ht="15.75" thickBot="1">
      <c r="A445" s="20" t="s">
        <v>441</v>
      </c>
      <c r="B445" s="34" t="s">
        <v>136</v>
      </c>
      <c r="C445" s="34" t="s">
        <v>137</v>
      </c>
      <c r="D445" s="228" t="s">
        <v>125</v>
      </c>
      <c r="E445" s="229" t="s">
        <v>142</v>
      </c>
      <c r="F445" s="228" t="s">
        <v>123</v>
      </c>
      <c r="G445" s="228" t="s">
        <v>124</v>
      </c>
      <c r="H445" s="47" t="s">
        <v>245</v>
      </c>
      <c r="I445" s="69" t="s">
        <v>205</v>
      </c>
      <c r="J445" s="46">
        <f ca="1">IFERROR(IF(AND(J446:J458),0,1),0)</f>
        <v>0</v>
      </c>
      <c r="K445" s="222" t="s">
        <v>2353</v>
      </c>
      <c r="L445" s="62" t="s">
        <v>466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3" t="str">
        <f t="shared" ref="B446:B452" si="77">DEC2HEX(C446)</f>
        <v>0</v>
      </c>
      <c r="C446" s="33">
        <v>0</v>
      </c>
      <c r="D446" s="230"/>
      <c r="E446" s="223" t="s">
        <v>289</v>
      </c>
      <c r="F446" s="224" t="s">
        <v>144</v>
      </c>
      <c r="G446" s="89" t="s">
        <v>460</v>
      </c>
      <c r="H446" s="48" t="s">
        <v>144</v>
      </c>
      <c r="I446" s="75" t="s">
        <v>215</v>
      </c>
      <c r="J446" s="79" t="e" cm="1">
        <f t="array" aca="1" ref="J446" ca="1">RIGHT("00"&amp;INDIRECT("R_"&amp;H446),2)=RIGHT("00"&amp;I446,2)</f>
        <v>#REF!</v>
      </c>
      <c r="K446" s="48"/>
      <c r="L446" s="33"/>
      <c r="M446" s="33"/>
    </row>
    <row r="447" spans="1:14">
      <c r="B447" s="33" t="str">
        <f t="shared" si="77"/>
        <v>1</v>
      </c>
      <c r="C447" s="33">
        <f>C446+1</f>
        <v>1</v>
      </c>
      <c r="D447" s="230"/>
      <c r="E447" s="223"/>
      <c r="F447" s="224"/>
      <c r="G447" s="89"/>
      <c r="H447" s="48" t="s">
        <v>182</v>
      </c>
      <c r="I447" s="75" t="s">
        <v>140</v>
      </c>
      <c r="J447" s="79" t="e" cm="1">
        <f t="array" aca="1" ref="J447" ca="1">RIGHT("00"&amp;INDIRECT("R_"&amp;H447),2)=RIGHT("00"&amp;I447,2)</f>
        <v>#REF!</v>
      </c>
      <c r="K447" s="48"/>
      <c r="L447" s="33"/>
      <c r="M447" s="33"/>
    </row>
    <row r="448" spans="1:14">
      <c r="B448" s="33" t="str">
        <f t="shared" si="77"/>
        <v>2</v>
      </c>
      <c r="C448" s="33">
        <f t="shared" ref="C448:C452" si="78">C447+1</f>
        <v>2</v>
      </c>
      <c r="D448" s="230"/>
      <c r="E448" s="223" t="s">
        <v>461</v>
      </c>
      <c r="F448" s="224" t="s">
        <v>144</v>
      </c>
      <c r="G448" s="89"/>
      <c r="H448" s="48" t="s">
        <v>303</v>
      </c>
      <c r="I448" s="75" t="s">
        <v>215</v>
      </c>
      <c r="J448" s="79" t="e" cm="1">
        <f t="array" aca="1" ref="J448" ca="1">RIGHT("00"&amp;INDIRECT("R_"&amp;H448),2)=RIGHT("00"&amp;I448,2)</f>
        <v>#REF!</v>
      </c>
      <c r="K448" s="48"/>
      <c r="L448" s="33"/>
      <c r="M448" s="33"/>
    </row>
    <row r="449" spans="1:14">
      <c r="B449" s="33" t="str">
        <f t="shared" si="77"/>
        <v>3</v>
      </c>
      <c r="C449" s="33">
        <f t="shared" si="78"/>
        <v>3</v>
      </c>
      <c r="D449" s="230"/>
      <c r="E449" s="223"/>
      <c r="F449" s="224"/>
      <c r="G449" s="89"/>
      <c r="H449" s="48" t="s">
        <v>327</v>
      </c>
      <c r="I449" s="75" t="s">
        <v>215</v>
      </c>
      <c r="J449" s="79" t="e" cm="1">
        <f t="array" aca="1" ref="J449" ca="1">RIGHT("00"&amp;INDIRECT("R_"&amp;H449),2)=RIGHT("00"&amp;I449,2)</f>
        <v>#REF!</v>
      </c>
      <c r="K449" s="48"/>
      <c r="L449" s="33"/>
      <c r="M449" s="33"/>
    </row>
    <row r="450" spans="1:14">
      <c r="B450" s="33" t="str">
        <f t="shared" si="77"/>
        <v>4</v>
      </c>
      <c r="C450" s="33">
        <f t="shared" si="78"/>
        <v>4</v>
      </c>
      <c r="D450" s="230"/>
      <c r="E450" s="223" t="s">
        <v>462</v>
      </c>
      <c r="F450" s="224" t="s">
        <v>144</v>
      </c>
      <c r="G450" s="89"/>
      <c r="H450" s="48"/>
      <c r="I450" s="75"/>
      <c r="J450" s="48"/>
      <c r="K450" s="48"/>
      <c r="L450" s="33"/>
      <c r="M450" s="33"/>
    </row>
    <row r="451" spans="1:14">
      <c r="B451" s="33" t="str">
        <f t="shared" si="77"/>
        <v>5</v>
      </c>
      <c r="C451" s="33">
        <f t="shared" si="78"/>
        <v>5</v>
      </c>
      <c r="D451" s="230"/>
      <c r="E451" s="223"/>
      <c r="F451" s="224"/>
      <c r="G451" s="89"/>
      <c r="H451" s="48"/>
      <c r="I451" s="75"/>
      <c r="J451" s="48"/>
      <c r="K451" s="48"/>
      <c r="L451" s="33"/>
      <c r="M451" s="33"/>
    </row>
    <row r="452" spans="1:14">
      <c r="B452" s="33" t="str">
        <f t="shared" si="77"/>
        <v>6</v>
      </c>
      <c r="C452" s="33">
        <f t="shared" si="78"/>
        <v>6</v>
      </c>
      <c r="D452" s="230"/>
      <c r="E452" s="223" t="s">
        <v>289</v>
      </c>
      <c r="F452" s="224" t="s">
        <v>303</v>
      </c>
      <c r="G452" s="89" t="s">
        <v>463</v>
      </c>
      <c r="H452" s="48"/>
      <c r="I452" s="75"/>
      <c r="J452" s="48"/>
      <c r="K452" s="48"/>
      <c r="L452" s="33"/>
      <c r="M452" s="33"/>
    </row>
    <row r="453" spans="1:14">
      <c r="B453" s="33" t="str">
        <f t="shared" ref="B453:B458" si="79">DEC2HEX(C453)</f>
        <v>7</v>
      </c>
      <c r="C453" s="33">
        <f t="shared" ref="C453:C458" si="80">C452+1</f>
        <v>7</v>
      </c>
      <c r="D453" s="230"/>
      <c r="E453" s="223"/>
      <c r="F453" s="224"/>
      <c r="G453" s="89"/>
      <c r="H453" s="48" t="s">
        <v>115</v>
      </c>
      <c r="I453" s="75">
        <v>1</v>
      </c>
      <c r="J453" s="81" t="b" cm="1">
        <f t="array" aca="1" ref="J453" ca="1">INDIRECT(H453)=VALUE(I453)</f>
        <v>1</v>
      </c>
      <c r="K453" s="48"/>
      <c r="L453" s="33"/>
      <c r="M453" s="33"/>
    </row>
    <row r="454" spans="1:14">
      <c r="B454" s="33" t="str">
        <f t="shared" si="79"/>
        <v>8</v>
      </c>
      <c r="C454" s="33">
        <f t="shared" si="80"/>
        <v>8</v>
      </c>
      <c r="D454" s="230"/>
      <c r="E454" s="223" t="s">
        <v>289</v>
      </c>
      <c r="F454" s="224" t="s">
        <v>183</v>
      </c>
      <c r="G454" s="89" t="s">
        <v>464</v>
      </c>
      <c r="H454" s="48"/>
      <c r="I454" s="75"/>
      <c r="J454" s="48"/>
      <c r="K454" s="48"/>
      <c r="L454" s="33"/>
      <c r="M454" s="33"/>
    </row>
    <row r="455" spans="1:14">
      <c r="B455" s="33" t="str">
        <f t="shared" si="79"/>
        <v>9</v>
      </c>
      <c r="C455" s="33">
        <f t="shared" si="80"/>
        <v>9</v>
      </c>
      <c r="D455" s="230"/>
      <c r="E455" s="223" t="s">
        <v>465</v>
      </c>
      <c r="F455" s="224" t="s">
        <v>183</v>
      </c>
      <c r="G455" s="89"/>
      <c r="H455" s="48"/>
      <c r="I455" s="75"/>
      <c r="J455" s="48"/>
      <c r="K455" s="48"/>
      <c r="L455" s="33"/>
      <c r="M455" s="33"/>
    </row>
    <row r="456" spans="1:14">
      <c r="B456" s="33" t="str">
        <f t="shared" si="79"/>
        <v>A</v>
      </c>
      <c r="C456" s="33">
        <f t="shared" si="80"/>
        <v>10</v>
      </c>
      <c r="D456" s="230"/>
      <c r="E456" s="223"/>
      <c r="F456" s="224"/>
      <c r="G456" s="89"/>
      <c r="H456" s="48"/>
      <c r="I456" s="75"/>
      <c r="J456" s="48"/>
      <c r="K456" s="48"/>
      <c r="L456" s="33"/>
      <c r="M456" s="33"/>
    </row>
    <row r="457" spans="1:14">
      <c r="B457" s="33" t="str">
        <f t="shared" si="79"/>
        <v>B</v>
      </c>
      <c r="C457" s="33">
        <f t="shared" si="80"/>
        <v>11</v>
      </c>
      <c r="D457" s="230"/>
      <c r="E457" s="223"/>
      <c r="F457" s="224"/>
      <c r="G457" s="89"/>
      <c r="H457" s="48"/>
      <c r="I457" s="75"/>
      <c r="J457" s="48"/>
      <c r="K457" s="48"/>
      <c r="L457" s="33"/>
      <c r="M457" s="33"/>
    </row>
    <row r="458" spans="1:14">
      <c r="B458" s="33" t="str">
        <f t="shared" si="79"/>
        <v>C</v>
      </c>
      <c r="C458" s="33">
        <f t="shared" si="80"/>
        <v>12</v>
      </c>
      <c r="D458" s="230"/>
      <c r="E458" s="223" t="s">
        <v>184</v>
      </c>
      <c r="F458" s="224"/>
      <c r="G458" s="89"/>
      <c r="H458" s="48"/>
      <c r="I458" s="75"/>
      <c r="J458" s="48"/>
      <c r="K458" s="48"/>
      <c r="L458" s="33"/>
      <c r="M458" s="33"/>
    </row>
    <row r="459" spans="1:14" ht="15.75" thickBot="1">
      <c r="D459" s="156"/>
      <c r="E459" s="156"/>
      <c r="F459" s="156"/>
      <c r="G459" s="156"/>
    </row>
    <row r="460" spans="1:14" ht="15.75" thickBot="1">
      <c r="A460" s="20" t="s">
        <v>467</v>
      </c>
      <c r="B460" s="34" t="s">
        <v>136</v>
      </c>
      <c r="C460" s="34" t="s">
        <v>137</v>
      </c>
      <c r="D460" s="228" t="s">
        <v>125</v>
      </c>
      <c r="E460" s="229" t="s">
        <v>142</v>
      </c>
      <c r="F460" s="228" t="s">
        <v>123</v>
      </c>
      <c r="G460" s="228" t="s">
        <v>124</v>
      </c>
      <c r="H460" s="47" t="s">
        <v>245</v>
      </c>
      <c r="I460" s="69" t="s">
        <v>205</v>
      </c>
      <c r="J460" s="46">
        <f ca="1">IFERROR(IF(AND(J461:J465),0,1),0)</f>
        <v>1</v>
      </c>
      <c r="K460" s="222" t="s">
        <v>2353</v>
      </c>
      <c r="L460" s="62" t="s">
        <v>473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3" t="str">
        <f t="shared" ref="B461:B465" si="81">DEC2HEX(C461)</f>
        <v>0</v>
      </c>
      <c r="C461" s="33">
        <v>0</v>
      </c>
      <c r="D461" s="230"/>
      <c r="E461" s="223" t="s">
        <v>141</v>
      </c>
      <c r="F461" s="224" t="s">
        <v>146</v>
      </c>
      <c r="G461" s="89" t="s">
        <v>457</v>
      </c>
      <c r="H461" s="48"/>
      <c r="I461" s="75"/>
      <c r="J461" s="48"/>
      <c r="K461" s="48"/>
      <c r="L461" s="33"/>
      <c r="M461" s="33"/>
    </row>
    <row r="462" spans="1:14">
      <c r="B462" s="33" t="str">
        <f t="shared" si="81"/>
        <v>1</v>
      </c>
      <c r="C462" s="33">
        <f>C461+1</f>
        <v>1</v>
      </c>
      <c r="D462" s="230"/>
      <c r="E462" s="223" t="s">
        <v>395</v>
      </c>
      <c r="F462" s="224" t="s">
        <v>457</v>
      </c>
      <c r="G462" s="89"/>
      <c r="H462" s="48"/>
      <c r="I462" s="75"/>
      <c r="J462" s="48"/>
      <c r="K462" s="48"/>
      <c r="L462" s="33"/>
      <c r="M462" s="33"/>
    </row>
    <row r="463" spans="1:14">
      <c r="B463" s="33" t="str">
        <f t="shared" si="81"/>
        <v>2</v>
      </c>
      <c r="C463" s="33">
        <f t="shared" ref="C463:C465" si="82">C462+1</f>
        <v>2</v>
      </c>
      <c r="D463" s="230"/>
      <c r="E463" s="223" t="s">
        <v>52</v>
      </c>
      <c r="F463" s="224"/>
      <c r="G463" s="89"/>
      <c r="H463" s="48" t="s">
        <v>146</v>
      </c>
      <c r="I463" s="75" t="s">
        <v>474</v>
      </c>
      <c r="J463" s="79" t="b" cm="1">
        <f t="array" aca="1" ref="J463" ca="1">RIGHT("00"&amp;INDIRECT("R_"&amp;H463),2)=RIGHT("00"&amp;I463,2)</f>
        <v>0</v>
      </c>
      <c r="K463" s="48"/>
      <c r="L463" s="33"/>
      <c r="M463" s="33"/>
    </row>
    <row r="464" spans="1:14">
      <c r="B464" s="33" t="str">
        <f t="shared" si="81"/>
        <v>3</v>
      </c>
      <c r="C464" s="33">
        <f t="shared" si="82"/>
        <v>3</v>
      </c>
      <c r="D464" s="230"/>
      <c r="E464" s="223"/>
      <c r="F464" s="224"/>
      <c r="G464" s="89"/>
      <c r="H464" s="48" t="s">
        <v>115</v>
      </c>
      <c r="I464" s="75" t="s">
        <v>209</v>
      </c>
      <c r="J464" s="81" t="b" cm="1">
        <f t="array" aca="1" ref="J464" ca="1">INDIRECT(H464)=VALUE(I464)</f>
        <v>0</v>
      </c>
      <c r="K464" s="48"/>
      <c r="L464" s="33"/>
      <c r="M464" s="33"/>
    </row>
    <row r="465" spans="1:14">
      <c r="B465" s="33" t="str">
        <f t="shared" si="81"/>
        <v>4</v>
      </c>
      <c r="C465" s="33">
        <f t="shared" si="82"/>
        <v>4</v>
      </c>
      <c r="D465" s="230"/>
      <c r="E465" s="223" t="s">
        <v>184</v>
      </c>
      <c r="F465" s="224"/>
      <c r="G465" s="89"/>
      <c r="H465" s="48"/>
      <c r="I465" s="75"/>
      <c r="J465" s="48"/>
      <c r="K465" s="48"/>
      <c r="L465" s="33"/>
      <c r="M465" s="33"/>
    </row>
    <row r="466" spans="1:14" ht="15.75" thickBot="1">
      <c r="D466" s="156"/>
      <c r="E466" s="156"/>
      <c r="F466" s="156"/>
      <c r="G466" s="156"/>
    </row>
    <row r="467" spans="1:14" ht="15.75" thickBot="1">
      <c r="A467" s="20" t="s">
        <v>468</v>
      </c>
      <c r="B467" s="34" t="s">
        <v>136</v>
      </c>
      <c r="C467" s="34" t="s">
        <v>137</v>
      </c>
      <c r="D467" s="228" t="s">
        <v>125</v>
      </c>
      <c r="E467" s="229" t="s">
        <v>142</v>
      </c>
      <c r="F467" s="228" t="s">
        <v>123</v>
      </c>
      <c r="G467" s="228" t="s">
        <v>124</v>
      </c>
      <c r="H467" s="47" t="s">
        <v>245</v>
      </c>
      <c r="I467" s="69" t="s">
        <v>205</v>
      </c>
      <c r="J467" s="46">
        <f ca="1">IFERROR(IF(AND(J468:J476),0,1),0)</f>
        <v>0</v>
      </c>
      <c r="K467" s="222" t="s">
        <v>2353</v>
      </c>
      <c r="L467" s="62" t="s">
        <v>475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3" t="str">
        <f t="shared" ref="B468:B472" si="83">DEC2HEX(C468)</f>
        <v>0</v>
      </c>
      <c r="C468" s="33">
        <v>0</v>
      </c>
      <c r="D468" s="230"/>
      <c r="E468" s="223" t="s">
        <v>289</v>
      </c>
      <c r="F468" s="224" t="s">
        <v>183</v>
      </c>
      <c r="G468" s="89" t="s">
        <v>476</v>
      </c>
      <c r="H468" s="48"/>
      <c r="I468" s="75"/>
      <c r="J468" s="48"/>
      <c r="K468" s="48"/>
      <c r="L468" s="33"/>
      <c r="M468" s="33"/>
    </row>
    <row r="469" spans="1:14">
      <c r="B469" s="33" t="str">
        <f t="shared" si="83"/>
        <v>1</v>
      </c>
      <c r="C469" s="33">
        <f>C468+1</f>
        <v>1</v>
      </c>
      <c r="D469" s="230"/>
      <c r="E469" s="223"/>
      <c r="F469" s="224"/>
      <c r="G469" s="89"/>
      <c r="H469" s="48"/>
      <c r="I469" s="75"/>
      <c r="J469" s="48"/>
      <c r="K469" s="48"/>
      <c r="L469" s="33"/>
      <c r="M469" s="33"/>
    </row>
    <row r="470" spans="1:14">
      <c r="B470" s="33" t="str">
        <f t="shared" si="83"/>
        <v>2</v>
      </c>
      <c r="C470" s="33">
        <f t="shared" ref="C470:C472" si="84">C469+1</f>
        <v>2</v>
      </c>
      <c r="D470" s="230"/>
      <c r="E470" s="223" t="s">
        <v>289</v>
      </c>
      <c r="F470" s="224" t="s">
        <v>303</v>
      </c>
      <c r="G470" s="89" t="s">
        <v>477</v>
      </c>
      <c r="H470" s="48"/>
      <c r="I470" s="75"/>
      <c r="J470" s="48"/>
      <c r="K470" s="48"/>
      <c r="L470" s="33"/>
      <c r="M470" s="33"/>
    </row>
    <row r="471" spans="1:14">
      <c r="B471" s="33" t="str">
        <f t="shared" si="83"/>
        <v>3</v>
      </c>
      <c r="C471" s="33">
        <f t="shared" si="84"/>
        <v>3</v>
      </c>
      <c r="D471" s="230"/>
      <c r="E471" s="223"/>
      <c r="F471" s="224"/>
      <c r="G471" s="89"/>
      <c r="H471" s="48"/>
      <c r="I471" s="75"/>
      <c r="J471" s="48"/>
      <c r="K471" s="48"/>
      <c r="L471" s="33"/>
      <c r="M471" s="33"/>
    </row>
    <row r="472" spans="1:14">
      <c r="B472" s="33" t="str">
        <f t="shared" si="83"/>
        <v>4</v>
      </c>
      <c r="C472" s="33">
        <f t="shared" si="84"/>
        <v>4</v>
      </c>
      <c r="D472" s="230"/>
      <c r="E472" s="223" t="s">
        <v>22</v>
      </c>
      <c r="F472" s="224"/>
      <c r="G472" s="89"/>
      <c r="H472" s="48" t="s">
        <v>183</v>
      </c>
      <c r="I472" s="75" t="s">
        <v>326</v>
      </c>
      <c r="J472" s="79" t="e" cm="1">
        <f t="array" aca="1" ref="J472" ca="1">RIGHT("00"&amp;INDIRECT("R_"&amp;H472),2)=RIGHT("00"&amp;I472,2)</f>
        <v>#REF!</v>
      </c>
      <c r="K472" s="48"/>
      <c r="L472" s="33"/>
      <c r="M472" s="33"/>
    </row>
    <row r="473" spans="1:14">
      <c r="B473" s="33" t="str">
        <f t="shared" ref="B473:B476" si="85">DEC2HEX(C473)</f>
        <v>5</v>
      </c>
      <c r="C473" s="33">
        <f t="shared" ref="C473:C476" si="86">C472+1</f>
        <v>5</v>
      </c>
      <c r="D473" s="230"/>
      <c r="E473" s="223"/>
      <c r="F473" s="224"/>
      <c r="G473" s="89"/>
      <c r="H473" s="48" t="s">
        <v>265</v>
      </c>
      <c r="I473" s="75" t="s">
        <v>478</v>
      </c>
      <c r="J473" s="79" t="e" cm="1">
        <f t="array" aca="1" ref="J473" ca="1">RIGHT("00"&amp;INDIRECT("R_"&amp;H473),2)=RIGHT("00"&amp;I473,2)</f>
        <v>#REF!</v>
      </c>
      <c r="K473" s="48"/>
      <c r="L473" s="33"/>
      <c r="M473" s="33"/>
    </row>
    <row r="474" spans="1:14">
      <c r="B474" s="33" t="str">
        <f t="shared" si="85"/>
        <v>6</v>
      </c>
      <c r="C474" s="33">
        <f t="shared" si="86"/>
        <v>6</v>
      </c>
      <c r="D474" s="230"/>
      <c r="E474" s="223"/>
      <c r="F474" s="224"/>
      <c r="G474" s="89"/>
      <c r="H474" s="48" t="s">
        <v>303</v>
      </c>
      <c r="I474" s="75" t="s">
        <v>458</v>
      </c>
      <c r="J474" s="79" t="e" cm="1">
        <f t="array" aca="1" ref="J474" ca="1">RIGHT("00"&amp;INDIRECT("R_"&amp;H474),2)=RIGHT("00"&amp;I474,2)</f>
        <v>#REF!</v>
      </c>
      <c r="K474" s="48"/>
      <c r="L474" s="33"/>
      <c r="M474" s="33"/>
    </row>
    <row r="475" spans="1:14">
      <c r="B475" s="33" t="str">
        <f t="shared" si="85"/>
        <v>7</v>
      </c>
      <c r="C475" s="33">
        <f t="shared" si="86"/>
        <v>7</v>
      </c>
      <c r="D475" s="230"/>
      <c r="E475" s="223"/>
      <c r="F475" s="224"/>
      <c r="G475" s="89"/>
      <c r="H475" s="48" t="s">
        <v>327</v>
      </c>
      <c r="I475" s="75" t="s">
        <v>459</v>
      </c>
      <c r="J475" s="79" t="e" cm="1">
        <f t="array" aca="1" ref="J475" ca="1">RIGHT("00"&amp;INDIRECT("R_"&amp;H475),2)=RIGHT("00"&amp;I475,2)</f>
        <v>#REF!</v>
      </c>
      <c r="K475" s="48"/>
      <c r="L475" s="33"/>
      <c r="M475" s="33"/>
    </row>
    <row r="476" spans="1:14">
      <c r="B476" s="33" t="str">
        <f t="shared" si="85"/>
        <v>8</v>
      </c>
      <c r="C476" s="33">
        <f t="shared" si="86"/>
        <v>8</v>
      </c>
      <c r="D476" s="230"/>
      <c r="E476" s="223" t="s">
        <v>184</v>
      </c>
      <c r="F476" s="224"/>
      <c r="G476" s="89"/>
      <c r="H476" s="48"/>
      <c r="I476" s="75"/>
      <c r="J476" s="48"/>
      <c r="K476" s="48"/>
      <c r="L476" s="33"/>
      <c r="M476" s="33"/>
    </row>
    <row r="477" spans="1:14" ht="15.75" thickBot="1">
      <c r="D477" s="156"/>
      <c r="E477" s="156"/>
      <c r="F477" s="156"/>
      <c r="G477" s="156"/>
    </row>
    <row r="478" spans="1:14" ht="15.75" thickBot="1">
      <c r="A478" s="20" t="s">
        <v>469</v>
      </c>
      <c r="B478" s="34" t="s">
        <v>136</v>
      </c>
      <c r="C478" s="34" t="s">
        <v>137</v>
      </c>
      <c r="D478" s="228" t="s">
        <v>125</v>
      </c>
      <c r="E478" s="229" t="s">
        <v>142</v>
      </c>
      <c r="F478" s="228" t="s">
        <v>123</v>
      </c>
      <c r="G478" s="228" t="s">
        <v>124</v>
      </c>
      <c r="H478" s="47" t="s">
        <v>245</v>
      </c>
      <c r="I478" s="69" t="s">
        <v>205</v>
      </c>
      <c r="J478" s="46">
        <f ca="1">IFERROR(IF(AND(J479:J481),0,1),0)</f>
        <v>1</v>
      </c>
      <c r="K478" s="222" t="s">
        <v>2353</v>
      </c>
      <c r="L478" s="62" t="s">
        <v>479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3" t="str">
        <f t="shared" ref="B479:B481" si="87">DEC2HEX(C479)</f>
        <v>0</v>
      </c>
      <c r="C479" s="33">
        <v>0</v>
      </c>
      <c r="D479" s="230"/>
      <c r="E479" s="223" t="s">
        <v>289</v>
      </c>
      <c r="F479" s="224" t="s">
        <v>303</v>
      </c>
      <c r="G479" s="89" t="s">
        <v>480</v>
      </c>
      <c r="H479" s="48"/>
      <c r="I479" s="75"/>
      <c r="J479" s="48"/>
      <c r="K479" s="48"/>
      <c r="L479" s="33"/>
      <c r="M479" s="33"/>
    </row>
    <row r="480" spans="1:14">
      <c r="B480" s="33" t="str">
        <f t="shared" si="87"/>
        <v>1</v>
      </c>
      <c r="C480" s="33">
        <f>C479+1</f>
        <v>1</v>
      </c>
      <c r="D480" s="230"/>
      <c r="E480" s="223" t="s">
        <v>100</v>
      </c>
      <c r="F480" s="224"/>
      <c r="G480" s="89"/>
      <c r="H480" s="48" t="s">
        <v>114</v>
      </c>
      <c r="I480" s="75" t="s">
        <v>480</v>
      </c>
      <c r="J480" s="116" t="b" cm="1">
        <f t="array" aca="1" ref="J480" ca="1">RIGHT("0000"&amp;INDIRECT(H480),4)=RIGHT("0000"&amp;I480,4)</f>
        <v>0</v>
      </c>
      <c r="K480" s="48"/>
      <c r="L480" s="33"/>
      <c r="M480" s="33"/>
    </row>
    <row r="481" spans="1:14">
      <c r="B481" s="33" t="str">
        <f t="shared" si="87"/>
        <v>2</v>
      </c>
      <c r="C481" s="33">
        <f t="shared" ref="C481" si="88">C480+1</f>
        <v>2</v>
      </c>
      <c r="D481" s="230"/>
      <c r="E481" s="223" t="s">
        <v>184</v>
      </c>
      <c r="F481" s="224"/>
      <c r="G481" s="89"/>
      <c r="H481" s="48"/>
      <c r="I481" s="75"/>
      <c r="J481" s="48"/>
      <c r="K481" s="48"/>
      <c r="L481" s="33"/>
      <c r="M481" s="33"/>
    </row>
    <row r="482" spans="1:14" ht="15.75" thickBot="1">
      <c r="D482" s="156"/>
      <c r="E482" s="156"/>
      <c r="F482" s="156"/>
      <c r="G482" s="156"/>
    </row>
    <row r="483" spans="1:14" ht="15.75" thickBot="1">
      <c r="A483" s="20" t="s">
        <v>470</v>
      </c>
      <c r="B483" s="34" t="s">
        <v>136</v>
      </c>
      <c r="C483" s="34" t="s">
        <v>137</v>
      </c>
      <c r="D483" s="228" t="s">
        <v>125</v>
      </c>
      <c r="E483" s="229" t="s">
        <v>142</v>
      </c>
      <c r="F483" s="228" t="s">
        <v>123</v>
      </c>
      <c r="G483" s="228" t="s">
        <v>124</v>
      </c>
      <c r="H483" s="47" t="s">
        <v>245</v>
      </c>
      <c r="I483" s="69" t="s">
        <v>205</v>
      </c>
      <c r="J483" s="46">
        <f ca="1">IFERROR(IF(AND(J484:J488),0,1),0)</f>
        <v>1</v>
      </c>
      <c r="K483" s="222" t="s">
        <v>2353</v>
      </c>
      <c r="L483" s="62" t="s">
        <v>481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3" t="str">
        <f t="shared" ref="B484:B485" si="89">DEC2HEX(C484)</f>
        <v>0</v>
      </c>
      <c r="C484" s="33">
        <v>0</v>
      </c>
      <c r="D484" s="230"/>
      <c r="E484" s="223" t="s">
        <v>289</v>
      </c>
      <c r="F484" s="224" t="s">
        <v>303</v>
      </c>
      <c r="G484" s="89" t="s">
        <v>249</v>
      </c>
      <c r="H484" s="48"/>
      <c r="I484" s="75"/>
      <c r="J484" s="48"/>
      <c r="K484" s="48"/>
      <c r="L484" s="33"/>
      <c r="M484" s="33"/>
    </row>
    <row r="485" spans="1:14">
      <c r="B485" s="33" t="str">
        <f t="shared" si="89"/>
        <v>1</v>
      </c>
      <c r="C485" s="33">
        <f>C484+1</f>
        <v>1</v>
      </c>
      <c r="D485" s="230"/>
      <c r="E485" s="223" t="s">
        <v>88</v>
      </c>
      <c r="F485" s="224"/>
      <c r="G485" s="89"/>
      <c r="H485" s="48"/>
      <c r="I485" s="75"/>
      <c r="J485" s="48"/>
      <c r="K485" s="48"/>
      <c r="L485" s="33"/>
      <c r="M485" s="33"/>
    </row>
    <row r="486" spans="1:14">
      <c r="B486" s="33" t="str">
        <f t="shared" ref="B486:B488" si="90">DEC2HEX(C486)</f>
        <v>2</v>
      </c>
      <c r="C486" s="33">
        <f>C485+1</f>
        <v>2</v>
      </c>
      <c r="D486" s="230"/>
      <c r="E486" s="223" t="s">
        <v>108</v>
      </c>
      <c r="F486" s="224"/>
      <c r="G486" s="89"/>
      <c r="H486" s="48"/>
      <c r="I486" s="75"/>
      <c r="J486" s="48"/>
      <c r="K486" s="48"/>
      <c r="L486" s="33"/>
      <c r="M486" s="33"/>
    </row>
    <row r="487" spans="1:14">
      <c r="B487" s="33" t="str">
        <f t="shared" si="90"/>
        <v>3</v>
      </c>
      <c r="C487" s="33">
        <f>C486+1</f>
        <v>3</v>
      </c>
      <c r="D487" s="230" t="s">
        <v>249</v>
      </c>
      <c r="E487" s="223" t="s">
        <v>141</v>
      </c>
      <c r="F487" s="224" t="s">
        <v>146</v>
      </c>
      <c r="G487" s="89" t="s">
        <v>482</v>
      </c>
      <c r="H487" s="48" t="s">
        <v>146</v>
      </c>
      <c r="I487" s="75" t="s">
        <v>482</v>
      </c>
      <c r="J487" s="79" t="b" cm="1">
        <f t="array" aca="1" ref="J487" ca="1">RIGHT("00"&amp;INDIRECT("R_"&amp;H487),2)=RIGHT("00"&amp;I487,2)</f>
        <v>0</v>
      </c>
      <c r="K487" s="48"/>
      <c r="L487" s="33"/>
      <c r="M487" s="33"/>
    </row>
    <row r="488" spans="1:14">
      <c r="B488" s="33" t="str">
        <f t="shared" si="90"/>
        <v>4</v>
      </c>
      <c r="C488" s="33">
        <f>C487+1</f>
        <v>4</v>
      </c>
      <c r="D488" s="230"/>
      <c r="E488" s="223" t="s">
        <v>184</v>
      </c>
      <c r="F488" s="224"/>
      <c r="G488" s="89"/>
      <c r="H488" s="48"/>
      <c r="I488" s="75"/>
      <c r="J488" s="48"/>
      <c r="K488" s="48"/>
      <c r="L488" s="33"/>
      <c r="M488" s="33"/>
    </row>
    <row r="489" spans="1:14" ht="15.75" thickBot="1">
      <c r="D489" s="156"/>
      <c r="E489" s="156"/>
      <c r="F489" s="156"/>
      <c r="G489" s="156"/>
    </row>
    <row r="490" spans="1:14" ht="15.75" thickBot="1">
      <c r="A490" s="20" t="s">
        <v>471</v>
      </c>
      <c r="B490" s="34" t="s">
        <v>136</v>
      </c>
      <c r="C490" s="34" t="s">
        <v>137</v>
      </c>
      <c r="D490" s="228" t="s">
        <v>125</v>
      </c>
      <c r="E490" s="229" t="s">
        <v>142</v>
      </c>
      <c r="F490" s="228" t="s">
        <v>123</v>
      </c>
      <c r="G490" s="228" t="s">
        <v>124</v>
      </c>
      <c r="H490" s="47" t="s">
        <v>245</v>
      </c>
      <c r="I490" s="69" t="s">
        <v>205</v>
      </c>
      <c r="J490" s="46">
        <f ca="1">IFERROR(IF(AND(J491:J498),0,1),0)</f>
        <v>0</v>
      </c>
      <c r="K490" s="222" t="s">
        <v>2353</v>
      </c>
      <c r="L490" s="62" t="s">
        <v>483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3" t="str">
        <f t="shared" ref="B491:B492" si="91">DEC2HEX(C491)</f>
        <v>0</v>
      </c>
      <c r="C491" s="33">
        <v>0</v>
      </c>
      <c r="D491" s="230"/>
      <c r="E491" s="223" t="s">
        <v>141</v>
      </c>
      <c r="F491" s="224" t="s">
        <v>146</v>
      </c>
      <c r="G491" s="89" t="s">
        <v>295</v>
      </c>
      <c r="H491" s="48"/>
      <c r="I491" s="75"/>
      <c r="J491" s="48"/>
      <c r="K491" s="48"/>
      <c r="L491" s="33"/>
      <c r="M491" s="33"/>
    </row>
    <row r="492" spans="1:14">
      <c r="B492" s="33" t="str">
        <f t="shared" si="91"/>
        <v>1</v>
      </c>
      <c r="C492" s="33">
        <f>C491+1</f>
        <v>1</v>
      </c>
      <c r="D492" s="230"/>
      <c r="E492" s="223" t="s">
        <v>232</v>
      </c>
      <c r="F492" s="224" t="s">
        <v>146</v>
      </c>
      <c r="G492" s="89"/>
      <c r="H492" s="48" t="s">
        <v>119</v>
      </c>
      <c r="I492" s="75" t="s">
        <v>210</v>
      </c>
      <c r="J492" s="81" t="b" cm="1">
        <f t="array" aca="1" ref="J492" ca="1">INDIRECT(H492)=VALUE(I492)</f>
        <v>0</v>
      </c>
      <c r="K492" s="48"/>
      <c r="L492" s="33"/>
      <c r="M492" s="33"/>
    </row>
    <row r="493" spans="1:14">
      <c r="B493" s="33" t="str">
        <f t="shared" ref="B493:B497" si="92">DEC2HEX(C493)</f>
        <v>2</v>
      </c>
      <c r="C493" s="33">
        <f t="shared" ref="C493:C497" si="93">C492+1</f>
        <v>2</v>
      </c>
      <c r="D493" s="230"/>
      <c r="E493" s="223" t="s">
        <v>484</v>
      </c>
      <c r="F493" s="224" t="s">
        <v>191</v>
      </c>
      <c r="G493" s="89"/>
      <c r="H493" s="48" t="s">
        <v>182</v>
      </c>
      <c r="I493" s="75" t="s">
        <v>394</v>
      </c>
      <c r="J493" s="79" t="e" cm="1">
        <f t="array" aca="1" ref="J493" ca="1">RIGHT("00"&amp;INDIRECT("R_"&amp;H493),2)=RIGHT("00"&amp;I493,2)</f>
        <v>#REF!</v>
      </c>
      <c r="K493" s="48"/>
      <c r="L493" s="33"/>
      <c r="M493" s="33"/>
    </row>
    <row r="494" spans="1:14">
      <c r="B494" s="33" t="str">
        <f t="shared" si="92"/>
        <v>3</v>
      </c>
      <c r="C494" s="33">
        <f t="shared" si="93"/>
        <v>3</v>
      </c>
      <c r="D494" s="230"/>
      <c r="E494" s="223" t="s">
        <v>141</v>
      </c>
      <c r="F494" s="224" t="s">
        <v>144</v>
      </c>
      <c r="G494" s="89" t="s">
        <v>201</v>
      </c>
      <c r="H494" s="48" t="s">
        <v>144</v>
      </c>
      <c r="I494" s="75" t="s">
        <v>201</v>
      </c>
      <c r="J494" s="79" t="e" cm="1">
        <f t="array" aca="1" ref="J494" ca="1">RIGHT("00"&amp;INDIRECT("R_"&amp;H494),2)=RIGHT("00"&amp;I494,2)</f>
        <v>#REF!</v>
      </c>
      <c r="K494" s="48"/>
      <c r="L494" s="33"/>
      <c r="M494" s="33"/>
    </row>
    <row r="495" spans="1:14">
      <c r="B495" s="33" t="str">
        <f t="shared" si="92"/>
        <v>4</v>
      </c>
      <c r="C495" s="33">
        <f t="shared" si="93"/>
        <v>4</v>
      </c>
      <c r="D495" s="230"/>
      <c r="E495" s="223" t="s">
        <v>184</v>
      </c>
      <c r="F495" s="224"/>
      <c r="G495" s="89"/>
      <c r="H495" s="48"/>
      <c r="I495" s="75"/>
      <c r="J495" s="48"/>
      <c r="K495" s="48"/>
      <c r="L495" s="33"/>
      <c r="M495" s="33"/>
    </row>
    <row r="496" spans="1:14">
      <c r="B496" s="33" t="str">
        <f t="shared" si="92"/>
        <v>5</v>
      </c>
      <c r="C496" s="33">
        <f t="shared" si="93"/>
        <v>5</v>
      </c>
      <c r="D496" s="230" t="s">
        <v>191</v>
      </c>
      <c r="E496" s="223" t="s">
        <v>141</v>
      </c>
      <c r="F496" s="224" t="s">
        <v>182</v>
      </c>
      <c r="G496" s="89" t="s">
        <v>394</v>
      </c>
      <c r="H496" s="48" t="s">
        <v>146</v>
      </c>
      <c r="I496" s="75" t="s">
        <v>215</v>
      </c>
      <c r="J496" s="79" t="b" cm="1">
        <f t="array" aca="1" ref="J496" ca="1">RIGHT("00"&amp;INDIRECT("R_"&amp;H496),2)=RIGHT("00"&amp;I496,2)</f>
        <v>0</v>
      </c>
      <c r="K496" s="48"/>
      <c r="L496" s="33"/>
      <c r="M496" s="33"/>
    </row>
    <row r="497" spans="1:14">
      <c r="B497" s="33" t="str">
        <f t="shared" si="92"/>
        <v>6</v>
      </c>
      <c r="C497" s="33">
        <f t="shared" si="93"/>
        <v>6</v>
      </c>
      <c r="D497" s="230"/>
      <c r="E497" s="223" t="s">
        <v>485</v>
      </c>
      <c r="F497" s="224"/>
      <c r="G497" s="89"/>
      <c r="H497" s="48"/>
      <c r="I497" s="75"/>
      <c r="J497" s="48"/>
      <c r="K497" s="48"/>
      <c r="L497" s="33"/>
      <c r="M497" s="33"/>
    </row>
    <row r="498" spans="1:14">
      <c r="B498" s="33" t="str">
        <f t="shared" ref="B498" si="94">DEC2HEX(C498)</f>
        <v>7</v>
      </c>
      <c r="C498" s="33">
        <f t="shared" ref="C498" si="95">C497+1</f>
        <v>7</v>
      </c>
      <c r="D498" s="230"/>
      <c r="E498" s="223" t="s">
        <v>108</v>
      </c>
      <c r="F498" s="224"/>
      <c r="G498" s="89"/>
      <c r="H498" s="48"/>
      <c r="I498" s="75"/>
      <c r="J498" s="48"/>
      <c r="K498" s="48"/>
      <c r="L498" s="33"/>
      <c r="M498" s="33"/>
    </row>
    <row r="499" spans="1:14" ht="15.75" thickBot="1">
      <c r="D499" s="156"/>
      <c r="E499" s="156"/>
      <c r="F499" s="156"/>
      <c r="G499" s="156"/>
    </row>
    <row r="500" spans="1:14" ht="15.75" thickBot="1">
      <c r="A500" s="20" t="s">
        <v>472</v>
      </c>
      <c r="B500" s="34" t="s">
        <v>136</v>
      </c>
      <c r="C500" s="34" t="s">
        <v>137</v>
      </c>
      <c r="D500" s="228" t="s">
        <v>125</v>
      </c>
      <c r="E500" s="229" t="s">
        <v>142</v>
      </c>
      <c r="F500" s="228" t="s">
        <v>123</v>
      </c>
      <c r="G500" s="228" t="s">
        <v>124</v>
      </c>
      <c r="H500" s="47" t="s">
        <v>245</v>
      </c>
      <c r="I500" s="69" t="s">
        <v>205</v>
      </c>
      <c r="J500" s="46">
        <f>IFERROR(IF(AND(J501:J528),0,1),0)</f>
        <v>1</v>
      </c>
      <c r="K500" s="222" t="s">
        <v>2353</v>
      </c>
      <c r="L500" s="62" t="s">
        <v>965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3" t="str">
        <f t="shared" ref="B501:B502" si="96">DEC2HEX(C501)</f>
        <v>0</v>
      </c>
      <c r="C501" s="33">
        <v>0</v>
      </c>
      <c r="D501" s="230"/>
      <c r="E501" s="223" t="s">
        <v>141</v>
      </c>
      <c r="F501" s="224" t="s">
        <v>146</v>
      </c>
      <c r="G501" s="89" t="s">
        <v>215</v>
      </c>
      <c r="H501" s="48"/>
      <c r="I501" s="75"/>
      <c r="J501" s="48"/>
      <c r="K501" s="48"/>
      <c r="L501" s="33"/>
      <c r="M501" s="33"/>
    </row>
    <row r="502" spans="1:14">
      <c r="B502" s="33" t="str">
        <f t="shared" si="96"/>
        <v>1</v>
      </c>
      <c r="C502" s="33">
        <f>C501+1</f>
        <v>1</v>
      </c>
      <c r="D502" s="230"/>
      <c r="E502" s="223" t="s">
        <v>961</v>
      </c>
      <c r="F502" s="224" t="s">
        <v>146</v>
      </c>
      <c r="G502" s="89"/>
      <c r="H502" s="48"/>
      <c r="I502" s="48"/>
      <c r="J502" s="48"/>
      <c r="K502" s="48"/>
      <c r="L502" s="33"/>
      <c r="M502" s="33"/>
    </row>
    <row r="503" spans="1:14">
      <c r="B503" s="33" t="str">
        <f t="shared" ref="B503:B516" si="97">DEC2HEX(C503)</f>
        <v>2</v>
      </c>
      <c r="C503" s="33">
        <f t="shared" ref="C503:C528" si="98">C502+1</f>
        <v>2</v>
      </c>
      <c r="D503" s="230"/>
      <c r="E503" s="223" t="s">
        <v>961</v>
      </c>
      <c r="F503" s="224" t="s">
        <v>144</v>
      </c>
      <c r="G503" s="89"/>
      <c r="H503" s="48"/>
      <c r="I503" s="75" t="s">
        <v>326</v>
      </c>
      <c r="J503" s="85" t="b">
        <f t="shared" ref="J503:J508" si="99">NOT(ISERROR(FIND(I503,consoleText)))</f>
        <v>0</v>
      </c>
      <c r="K503" s="48"/>
      <c r="L503" s="33"/>
      <c r="M503" s="33"/>
    </row>
    <row r="504" spans="1:14">
      <c r="B504" s="33" t="str">
        <f t="shared" si="97"/>
        <v>3</v>
      </c>
      <c r="C504" s="33">
        <f t="shared" si="98"/>
        <v>3</v>
      </c>
      <c r="D504" s="230"/>
      <c r="E504" s="223" t="s">
        <v>141</v>
      </c>
      <c r="F504" s="224" t="s">
        <v>146</v>
      </c>
      <c r="G504" s="89" t="s">
        <v>295</v>
      </c>
      <c r="H504" s="48"/>
      <c r="I504" s="75" t="s">
        <v>966</v>
      </c>
      <c r="J504" s="85" t="b">
        <f t="shared" si="99"/>
        <v>0</v>
      </c>
      <c r="K504" s="48"/>
      <c r="L504" s="33"/>
      <c r="M504" s="33"/>
    </row>
    <row r="505" spans="1:14">
      <c r="B505" s="33" t="str">
        <f t="shared" si="97"/>
        <v>4</v>
      </c>
      <c r="C505" s="33">
        <f t="shared" si="98"/>
        <v>4</v>
      </c>
      <c r="D505" s="230"/>
      <c r="E505" s="223" t="s">
        <v>961</v>
      </c>
      <c r="F505" s="224" t="s">
        <v>182</v>
      </c>
      <c r="G505" s="89" t="s">
        <v>295</v>
      </c>
      <c r="H505" s="48"/>
      <c r="I505" s="75" t="s">
        <v>265</v>
      </c>
      <c r="J505" s="85" t="b">
        <f t="shared" si="99"/>
        <v>0</v>
      </c>
      <c r="K505" s="48"/>
      <c r="L505" s="33"/>
      <c r="M505" s="33"/>
    </row>
    <row r="506" spans="1:14">
      <c r="B506" s="33" t="str">
        <f t="shared" si="97"/>
        <v>5</v>
      </c>
      <c r="C506" s="33">
        <f t="shared" si="98"/>
        <v>5</v>
      </c>
      <c r="D506" s="230"/>
      <c r="E506" s="223" t="s">
        <v>141</v>
      </c>
      <c r="F506" s="224" t="s">
        <v>146</v>
      </c>
      <c r="G506" s="89" t="s">
        <v>364</v>
      </c>
      <c r="H506" s="48"/>
      <c r="I506" s="75" t="s">
        <v>967</v>
      </c>
      <c r="J506" s="85" t="b">
        <f t="shared" si="99"/>
        <v>0</v>
      </c>
      <c r="K506" s="48"/>
      <c r="L506" s="33"/>
      <c r="M506" s="33"/>
    </row>
    <row r="507" spans="1:14">
      <c r="B507" s="33" t="str">
        <f t="shared" si="97"/>
        <v>6</v>
      </c>
      <c r="C507" s="33">
        <f t="shared" si="98"/>
        <v>6</v>
      </c>
      <c r="D507" s="230"/>
      <c r="E507" s="223" t="s">
        <v>961</v>
      </c>
      <c r="F507" s="224" t="s">
        <v>183</v>
      </c>
      <c r="G507" s="89"/>
      <c r="H507" s="48"/>
      <c r="I507" s="75" t="s">
        <v>971</v>
      </c>
      <c r="J507" s="85" t="b">
        <f t="shared" si="99"/>
        <v>0</v>
      </c>
      <c r="K507" s="48"/>
      <c r="L507" s="33"/>
      <c r="M507" s="33"/>
    </row>
    <row r="508" spans="1:14">
      <c r="B508" s="33" t="str">
        <f t="shared" si="97"/>
        <v>7</v>
      </c>
      <c r="C508" s="33">
        <f t="shared" si="98"/>
        <v>7</v>
      </c>
      <c r="D508" s="230"/>
      <c r="E508" s="223" t="s">
        <v>141</v>
      </c>
      <c r="F508" s="224" t="s">
        <v>146</v>
      </c>
      <c r="G508" s="89" t="s">
        <v>878</v>
      </c>
      <c r="H508" s="48"/>
      <c r="I508" s="75" t="s">
        <v>972</v>
      </c>
      <c r="J508" s="85" t="b">
        <f t="shared" si="99"/>
        <v>0</v>
      </c>
      <c r="K508" s="48"/>
      <c r="L508" s="33"/>
      <c r="M508" s="33"/>
    </row>
    <row r="509" spans="1:14">
      <c r="B509" s="33" t="str">
        <f t="shared" si="97"/>
        <v>8</v>
      </c>
      <c r="C509" s="33">
        <f t="shared" si="98"/>
        <v>8</v>
      </c>
      <c r="D509" s="230"/>
      <c r="E509" s="223" t="s">
        <v>961</v>
      </c>
      <c r="F509" s="224" t="s">
        <v>265</v>
      </c>
      <c r="G509" s="89" t="s">
        <v>878</v>
      </c>
      <c r="H509" s="48"/>
      <c r="I509" s="75"/>
      <c r="J509" s="48"/>
      <c r="K509" s="48"/>
      <c r="L509" s="33"/>
      <c r="M509" s="33"/>
    </row>
    <row r="510" spans="1:14">
      <c r="B510" s="33" t="str">
        <f t="shared" si="97"/>
        <v>9</v>
      </c>
      <c r="C510" s="33">
        <f t="shared" si="98"/>
        <v>9</v>
      </c>
      <c r="D510" s="230"/>
      <c r="E510" s="223" t="s">
        <v>141</v>
      </c>
      <c r="F510" s="224" t="s">
        <v>146</v>
      </c>
      <c r="G510" s="89" t="s">
        <v>295</v>
      </c>
      <c r="H510" s="48"/>
      <c r="I510" s="75"/>
      <c r="J510" s="48"/>
      <c r="K510" s="48"/>
      <c r="L510" s="33"/>
      <c r="M510" s="33"/>
    </row>
    <row r="511" spans="1:14">
      <c r="B511" s="33" t="str">
        <f t="shared" si="97"/>
        <v>A</v>
      </c>
      <c r="C511" s="33">
        <f t="shared" si="98"/>
        <v>10</v>
      </c>
      <c r="D511" s="230"/>
      <c r="E511" s="223" t="s">
        <v>961</v>
      </c>
      <c r="F511" s="224" t="s">
        <v>962</v>
      </c>
      <c r="G511" s="89"/>
      <c r="H511" s="48"/>
      <c r="I511" s="75"/>
      <c r="J511" s="48"/>
      <c r="K511" s="48"/>
      <c r="L511" s="33"/>
      <c r="M511" s="33"/>
    </row>
    <row r="512" spans="1:14">
      <c r="B512" s="33" t="str">
        <f t="shared" si="97"/>
        <v>B</v>
      </c>
      <c r="C512" s="33">
        <f t="shared" si="98"/>
        <v>11</v>
      </c>
      <c r="D512" s="230"/>
      <c r="E512" s="223" t="s">
        <v>141</v>
      </c>
      <c r="F512" s="224" t="s">
        <v>146</v>
      </c>
      <c r="G512" s="89" t="s">
        <v>878</v>
      </c>
      <c r="H512" s="48"/>
      <c r="I512" s="75"/>
      <c r="J512" s="48"/>
      <c r="K512" s="48"/>
      <c r="L512" s="33"/>
      <c r="M512" s="33"/>
    </row>
    <row r="513" spans="2:13">
      <c r="B513" s="33" t="str">
        <f t="shared" si="97"/>
        <v>C</v>
      </c>
      <c r="C513" s="33">
        <f t="shared" si="98"/>
        <v>12</v>
      </c>
      <c r="D513" s="230"/>
      <c r="E513" s="223" t="s">
        <v>961</v>
      </c>
      <c r="F513" s="224" t="s">
        <v>963</v>
      </c>
      <c r="G513" s="89"/>
      <c r="H513" s="48"/>
      <c r="I513" s="75"/>
      <c r="J513" s="48"/>
      <c r="K513" s="48"/>
      <c r="L513" s="33"/>
      <c r="M513" s="33"/>
    </row>
    <row r="514" spans="2:13">
      <c r="B514" s="33" t="str">
        <f t="shared" si="97"/>
        <v>D</v>
      </c>
      <c r="C514" s="33">
        <f t="shared" si="98"/>
        <v>13</v>
      </c>
      <c r="D514" s="230" t="s">
        <v>970</v>
      </c>
      <c r="E514" s="223" t="s">
        <v>158</v>
      </c>
      <c r="F514" s="224">
        <v>66</v>
      </c>
      <c r="G514" s="89"/>
      <c r="H514" s="48"/>
      <c r="I514" s="75"/>
      <c r="J514" s="48"/>
      <c r="K514" s="48"/>
      <c r="L514" s="33"/>
      <c r="M514" s="33"/>
    </row>
    <row r="515" spans="2:13">
      <c r="B515" s="33" t="str">
        <f t="shared" si="97"/>
        <v>E</v>
      </c>
      <c r="C515" s="33">
        <f t="shared" si="98"/>
        <v>14</v>
      </c>
      <c r="D515" s="230"/>
      <c r="E515" s="223" t="s">
        <v>141</v>
      </c>
      <c r="F515" s="224" t="s">
        <v>146</v>
      </c>
      <c r="G515" s="89" t="s">
        <v>231</v>
      </c>
      <c r="H515" s="48"/>
      <c r="I515" s="75"/>
      <c r="J515" s="48"/>
      <c r="K515" s="48"/>
      <c r="L515" s="33"/>
      <c r="M515" s="33"/>
    </row>
    <row r="516" spans="2:13">
      <c r="B516" s="33" t="str">
        <f t="shared" si="97"/>
        <v>F</v>
      </c>
      <c r="C516" s="33">
        <f t="shared" si="98"/>
        <v>15</v>
      </c>
      <c r="D516" s="230"/>
      <c r="E516" s="223" t="s">
        <v>961</v>
      </c>
      <c r="F516" s="224" t="s">
        <v>970</v>
      </c>
      <c r="G516" s="89"/>
      <c r="H516" s="48"/>
      <c r="I516" s="75"/>
      <c r="J516" s="48"/>
      <c r="K516" s="48"/>
      <c r="L516" s="33"/>
      <c r="M516" s="33"/>
    </row>
    <row r="517" spans="2:13">
      <c r="B517" s="33" t="str">
        <f t="shared" ref="B517:B528" si="100">DEC2HEX(C517)</f>
        <v>10</v>
      </c>
      <c r="C517" s="33">
        <f t="shared" si="98"/>
        <v>16</v>
      </c>
      <c r="D517" s="230"/>
      <c r="E517" s="223" t="s">
        <v>141</v>
      </c>
      <c r="F517" s="224" t="s">
        <v>146</v>
      </c>
      <c r="G517" s="89" t="s">
        <v>201</v>
      </c>
      <c r="H517" s="48"/>
      <c r="I517" s="75"/>
      <c r="J517" s="48"/>
      <c r="K517" s="48"/>
      <c r="L517" s="33"/>
      <c r="M517" s="33"/>
    </row>
    <row r="518" spans="2:13">
      <c r="B518" s="33" t="str">
        <f t="shared" si="100"/>
        <v>11</v>
      </c>
      <c r="C518" s="33">
        <f t="shared" si="98"/>
        <v>17</v>
      </c>
      <c r="D518" s="230"/>
      <c r="E518" s="223" t="s">
        <v>961</v>
      </c>
      <c r="F518" s="224">
        <v>67</v>
      </c>
      <c r="G518" s="89"/>
      <c r="H518" s="48"/>
      <c r="I518" s="75"/>
      <c r="J518" s="48"/>
      <c r="K518" s="48"/>
      <c r="L518" s="33"/>
      <c r="M518" s="33"/>
    </row>
    <row r="519" spans="2:13">
      <c r="B519" s="33" t="str">
        <f t="shared" si="100"/>
        <v>12</v>
      </c>
      <c r="C519" s="33">
        <f t="shared" si="98"/>
        <v>18</v>
      </c>
      <c r="D519" s="230"/>
      <c r="E519" s="223" t="s">
        <v>141</v>
      </c>
      <c r="F519" s="224" t="s">
        <v>146</v>
      </c>
      <c r="G519" s="89" t="s">
        <v>231</v>
      </c>
      <c r="H519" s="48"/>
      <c r="I519" s="75"/>
      <c r="J519" s="48"/>
      <c r="K519" s="48"/>
      <c r="L519" s="33"/>
      <c r="M519" s="33"/>
    </row>
    <row r="520" spans="2:13">
      <c r="B520" s="33" t="str">
        <f t="shared" si="100"/>
        <v>13</v>
      </c>
      <c r="C520" s="33">
        <f t="shared" si="98"/>
        <v>19</v>
      </c>
      <c r="D520" s="230"/>
      <c r="E520" s="223" t="s">
        <v>961</v>
      </c>
      <c r="F520" s="224">
        <v>68</v>
      </c>
      <c r="G520" s="89"/>
      <c r="H520" s="48"/>
      <c r="I520" s="75"/>
      <c r="J520" s="48"/>
      <c r="K520" s="48"/>
      <c r="L520" s="33"/>
      <c r="M520" s="33"/>
    </row>
    <row r="521" spans="2:13">
      <c r="B521" s="33" t="str">
        <f t="shared" si="100"/>
        <v>14</v>
      </c>
      <c r="C521" s="33">
        <f t="shared" si="98"/>
        <v>20</v>
      </c>
      <c r="D521" s="230"/>
      <c r="E521" s="223" t="s">
        <v>141</v>
      </c>
      <c r="F521" s="224" t="s">
        <v>146</v>
      </c>
      <c r="G521" s="89" t="s">
        <v>201</v>
      </c>
      <c r="H521" s="48"/>
      <c r="I521" s="75"/>
      <c r="J521" s="48"/>
      <c r="K521" s="48"/>
      <c r="L521" s="33"/>
      <c r="M521" s="33"/>
    </row>
    <row r="522" spans="2:13">
      <c r="B522" s="33" t="str">
        <f t="shared" si="100"/>
        <v>15</v>
      </c>
      <c r="C522" s="33">
        <f t="shared" si="98"/>
        <v>21</v>
      </c>
      <c r="D522" s="230"/>
      <c r="E522" s="223" t="s">
        <v>961</v>
      </c>
      <c r="F522" s="224">
        <v>69</v>
      </c>
      <c r="G522" s="89"/>
      <c r="H522" s="48"/>
      <c r="I522" s="75"/>
      <c r="J522" s="48"/>
      <c r="K522" s="48"/>
      <c r="L522" s="33"/>
      <c r="M522" s="33"/>
    </row>
    <row r="523" spans="2:13">
      <c r="B523" s="33" t="str">
        <f t="shared" si="100"/>
        <v>16</v>
      </c>
      <c r="C523" s="33">
        <f t="shared" si="98"/>
        <v>22</v>
      </c>
      <c r="D523" s="230"/>
      <c r="E523" s="223" t="s">
        <v>141</v>
      </c>
      <c r="F523" s="224" t="s">
        <v>146</v>
      </c>
      <c r="G523" s="89" t="s">
        <v>878</v>
      </c>
      <c r="H523" s="48"/>
      <c r="I523" s="75"/>
      <c r="J523" s="48"/>
      <c r="K523" s="48"/>
      <c r="L523" s="33"/>
      <c r="M523" s="33"/>
    </row>
    <row r="524" spans="2:13">
      <c r="B524" s="33" t="str">
        <f t="shared" si="100"/>
        <v>17</v>
      </c>
      <c r="C524" s="33">
        <f t="shared" si="98"/>
        <v>23</v>
      </c>
      <c r="D524" s="230"/>
      <c r="E524" s="223" t="s">
        <v>961</v>
      </c>
      <c r="F524" s="224" t="s">
        <v>964</v>
      </c>
      <c r="G524" s="89"/>
      <c r="H524" s="48"/>
      <c r="I524" s="75"/>
      <c r="J524" s="48"/>
      <c r="K524" s="48"/>
      <c r="L524" s="33"/>
      <c r="M524" s="33"/>
    </row>
    <row r="525" spans="2:13">
      <c r="B525" s="33" t="str">
        <f t="shared" si="100"/>
        <v>18</v>
      </c>
      <c r="C525" s="33">
        <f t="shared" si="98"/>
        <v>24</v>
      </c>
      <c r="D525" s="230" t="s">
        <v>969</v>
      </c>
      <c r="E525" s="223" t="s">
        <v>158</v>
      </c>
      <c r="F525" s="224" t="s">
        <v>935</v>
      </c>
      <c r="G525" s="89"/>
      <c r="H525" s="48"/>
      <c r="I525" s="75"/>
      <c r="J525" s="48"/>
      <c r="K525" s="48"/>
      <c r="L525" s="33"/>
      <c r="M525" s="33"/>
    </row>
    <row r="526" spans="2:13">
      <c r="B526" s="33" t="str">
        <f t="shared" si="100"/>
        <v>19</v>
      </c>
      <c r="C526" s="33">
        <f t="shared" si="98"/>
        <v>25</v>
      </c>
      <c r="D526" s="230"/>
      <c r="E526" s="223" t="s">
        <v>141</v>
      </c>
      <c r="F526" s="224" t="s">
        <v>146</v>
      </c>
      <c r="G526" s="89" t="s">
        <v>201</v>
      </c>
      <c r="H526" s="48"/>
      <c r="I526" s="75"/>
      <c r="J526" s="48"/>
      <c r="K526" s="48"/>
      <c r="L526" s="33"/>
      <c r="M526" s="33"/>
    </row>
    <row r="527" spans="2:13">
      <c r="B527" s="33" t="str">
        <f t="shared" si="100"/>
        <v>1A</v>
      </c>
      <c r="C527" s="33">
        <f t="shared" si="98"/>
        <v>26</v>
      </c>
      <c r="D527" s="230"/>
      <c r="E527" s="223" t="s">
        <v>961</v>
      </c>
      <c r="F527" s="224" t="s">
        <v>969</v>
      </c>
      <c r="G527" s="89" t="s">
        <v>201</v>
      </c>
      <c r="H527" s="48"/>
      <c r="I527" s="75"/>
      <c r="J527" s="48"/>
      <c r="K527" s="48"/>
      <c r="L527" s="33"/>
      <c r="M527" s="33"/>
    </row>
    <row r="528" spans="2:13">
      <c r="B528" s="33" t="str">
        <f t="shared" si="100"/>
        <v>1B</v>
      </c>
      <c r="C528" s="33">
        <f t="shared" si="98"/>
        <v>27</v>
      </c>
      <c r="D528" s="230"/>
      <c r="E528" s="223" t="s">
        <v>184</v>
      </c>
      <c r="F528" s="224"/>
      <c r="G528" s="89"/>
      <c r="H528" s="48"/>
      <c r="I528" s="75"/>
      <c r="J528" s="48"/>
      <c r="K528" s="48"/>
      <c r="L528" s="33"/>
      <c r="M528" s="33"/>
    </row>
    <row r="529" spans="1:14" ht="15.75" thickBot="1">
      <c r="D529" s="156"/>
      <c r="E529" s="156"/>
      <c r="F529" s="156"/>
      <c r="G529" s="156"/>
    </row>
    <row r="530" spans="1:14" ht="15.75" thickBot="1">
      <c r="A530" s="20" t="s">
        <v>983</v>
      </c>
      <c r="B530" s="34" t="s">
        <v>136</v>
      </c>
      <c r="C530" s="34" t="s">
        <v>137</v>
      </c>
      <c r="D530" s="228" t="s">
        <v>125</v>
      </c>
      <c r="E530" s="229" t="s">
        <v>142</v>
      </c>
      <c r="F530" s="228" t="s">
        <v>123</v>
      </c>
      <c r="G530" s="228" t="s">
        <v>124</v>
      </c>
      <c r="H530" s="47" t="s">
        <v>245</v>
      </c>
      <c r="I530" s="69" t="s">
        <v>205</v>
      </c>
      <c r="J530" s="46">
        <f>IFERROR(IF(AND(J531:J543),0,1),0)</f>
        <v>1</v>
      </c>
      <c r="K530" s="222" t="s">
        <v>2353</v>
      </c>
      <c r="L530" s="62" t="s">
        <v>986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3" t="str">
        <f t="shared" ref="B531:B538" si="101">DEC2HEX(C531)</f>
        <v>0</v>
      </c>
      <c r="C531" s="33">
        <v>0</v>
      </c>
      <c r="D531" s="230"/>
      <c r="E531" s="223" t="s">
        <v>141</v>
      </c>
      <c r="F531" s="224" t="s">
        <v>146</v>
      </c>
      <c r="G531" s="89" t="s">
        <v>215</v>
      </c>
      <c r="H531" s="48"/>
      <c r="I531" s="75"/>
      <c r="J531" s="48"/>
      <c r="K531" s="48"/>
      <c r="L531" s="33"/>
      <c r="M531" s="33"/>
    </row>
    <row r="532" spans="1:14">
      <c r="B532" s="33" t="str">
        <f t="shared" si="101"/>
        <v>1</v>
      </c>
      <c r="C532" s="33">
        <f>C531+1</f>
        <v>1</v>
      </c>
      <c r="D532" s="230" t="s">
        <v>290</v>
      </c>
      <c r="E532" s="223" t="s">
        <v>292</v>
      </c>
      <c r="F532" s="89">
        <v>12345</v>
      </c>
      <c r="G532" s="89"/>
      <c r="H532" s="48"/>
      <c r="I532" s="75" t="s">
        <v>985</v>
      </c>
      <c r="J532" s="85" t="b">
        <f t="shared" ref="J532:J533" si="102">NOT(ISERROR(FIND(I532,consoleText)))</f>
        <v>0</v>
      </c>
      <c r="K532" s="48"/>
      <c r="L532" s="33"/>
      <c r="M532" s="33"/>
    </row>
    <row r="533" spans="1:14">
      <c r="B533" s="33" t="str">
        <f t="shared" si="101"/>
        <v>2</v>
      </c>
      <c r="C533" s="33">
        <f t="shared" ref="C533:C543" si="103">C532+1</f>
        <v>2</v>
      </c>
      <c r="D533" s="230"/>
      <c r="E533" s="223" t="s">
        <v>289</v>
      </c>
      <c r="F533" s="224" t="s">
        <v>303</v>
      </c>
      <c r="G533" s="89" t="s">
        <v>290</v>
      </c>
      <c r="H533" s="48"/>
      <c r="I533" s="75" t="s">
        <v>984</v>
      </c>
      <c r="J533" s="85" t="b">
        <f t="shared" si="102"/>
        <v>0</v>
      </c>
      <c r="K533" s="48"/>
      <c r="L533" s="33"/>
      <c r="M533" s="33"/>
    </row>
    <row r="534" spans="1:14">
      <c r="B534" s="33" t="str">
        <f t="shared" si="101"/>
        <v>3</v>
      </c>
      <c r="C534" s="33">
        <f t="shared" si="103"/>
        <v>3</v>
      </c>
      <c r="D534" s="230"/>
      <c r="E534" s="223" t="s">
        <v>973</v>
      </c>
      <c r="F534" s="224"/>
      <c r="G534" s="89"/>
      <c r="H534" s="48"/>
      <c r="I534" s="48"/>
      <c r="J534" s="48"/>
      <c r="K534" s="48"/>
      <c r="L534" s="33"/>
      <c r="M534" s="33"/>
    </row>
    <row r="535" spans="1:14">
      <c r="B535" s="33" t="str">
        <f t="shared" si="101"/>
        <v>4</v>
      </c>
      <c r="C535" s="33">
        <f t="shared" si="103"/>
        <v>4</v>
      </c>
      <c r="D535" s="230" t="s">
        <v>982</v>
      </c>
      <c r="E535" s="223" t="s">
        <v>292</v>
      </c>
      <c r="F535" s="89">
        <v>67890</v>
      </c>
      <c r="G535" s="89"/>
      <c r="H535" s="48"/>
      <c r="I535" s="48"/>
      <c r="J535" s="48"/>
      <c r="K535" s="48"/>
      <c r="L535" s="33"/>
      <c r="M535" s="33"/>
    </row>
    <row r="536" spans="1:14">
      <c r="B536" s="33" t="str">
        <f t="shared" si="101"/>
        <v>5</v>
      </c>
      <c r="C536" s="33">
        <f t="shared" si="103"/>
        <v>5</v>
      </c>
      <c r="D536" s="230"/>
      <c r="E536" s="223" t="s">
        <v>141</v>
      </c>
      <c r="F536" s="224" t="s">
        <v>146</v>
      </c>
      <c r="G536" s="89" t="s">
        <v>364</v>
      </c>
      <c r="H536" s="48"/>
      <c r="I536" s="48"/>
      <c r="J536" s="48"/>
      <c r="K536" s="48"/>
      <c r="L536" s="33"/>
      <c r="M536" s="33"/>
    </row>
    <row r="537" spans="1:14">
      <c r="B537" s="33" t="str">
        <f t="shared" si="101"/>
        <v>6</v>
      </c>
      <c r="C537" s="33">
        <f t="shared" si="103"/>
        <v>6</v>
      </c>
      <c r="D537" s="230"/>
      <c r="E537" s="223" t="s">
        <v>289</v>
      </c>
      <c r="F537" s="224" t="s">
        <v>303</v>
      </c>
      <c r="G537" s="89" t="s">
        <v>982</v>
      </c>
      <c r="H537" s="48"/>
      <c r="I537" s="48"/>
      <c r="J537" s="48"/>
      <c r="K537" s="48"/>
      <c r="L537" s="33"/>
      <c r="M537" s="33"/>
    </row>
    <row r="538" spans="1:14">
      <c r="B538" s="33" t="str">
        <f t="shared" si="101"/>
        <v>7</v>
      </c>
      <c r="C538" s="33">
        <f t="shared" si="103"/>
        <v>7</v>
      </c>
      <c r="D538" s="230"/>
      <c r="E538" s="223" t="s">
        <v>973</v>
      </c>
      <c r="F538" s="224"/>
      <c r="G538" s="89"/>
      <c r="H538" s="48"/>
      <c r="I538" s="48"/>
      <c r="J538" s="48"/>
      <c r="K538" s="48"/>
      <c r="L538" s="33"/>
      <c r="M538" s="33"/>
    </row>
    <row r="539" spans="1:14">
      <c r="B539" s="33" t="str">
        <f t="shared" ref="B539" si="104">DEC2HEX(C539)</f>
        <v>8</v>
      </c>
      <c r="C539" s="33">
        <f t="shared" si="103"/>
        <v>8</v>
      </c>
      <c r="D539" s="230"/>
      <c r="E539" s="223" t="s">
        <v>141</v>
      </c>
      <c r="F539" s="224" t="s">
        <v>146</v>
      </c>
      <c r="G539" s="89" t="s">
        <v>878</v>
      </c>
      <c r="H539" s="48"/>
      <c r="I539" s="48"/>
      <c r="J539" s="48"/>
      <c r="K539" s="48"/>
      <c r="L539" s="33"/>
      <c r="M539" s="33"/>
    </row>
    <row r="540" spans="1:14">
      <c r="B540" s="33" t="str">
        <f t="shared" ref="B540:B543" si="105">DEC2HEX(C540)</f>
        <v>9</v>
      </c>
      <c r="C540" s="33">
        <f t="shared" si="103"/>
        <v>9</v>
      </c>
      <c r="D540" s="230" t="s">
        <v>293</v>
      </c>
      <c r="E540" s="223" t="s">
        <v>292</v>
      </c>
      <c r="F540" s="224" t="s">
        <v>984</v>
      </c>
      <c r="G540" s="89"/>
      <c r="H540" s="48"/>
      <c r="I540" s="48"/>
      <c r="J540" s="48"/>
      <c r="K540" s="48"/>
      <c r="L540" s="33"/>
      <c r="M540" s="33"/>
    </row>
    <row r="541" spans="1:14">
      <c r="B541" s="33" t="str">
        <f t="shared" si="105"/>
        <v>A</v>
      </c>
      <c r="C541" s="33">
        <f t="shared" si="103"/>
        <v>10</v>
      </c>
      <c r="D541" s="230"/>
      <c r="E541" s="223" t="s">
        <v>289</v>
      </c>
      <c r="F541" s="224" t="s">
        <v>303</v>
      </c>
      <c r="G541" s="89" t="s">
        <v>293</v>
      </c>
      <c r="H541" s="48"/>
      <c r="I541" s="48"/>
      <c r="J541" s="48"/>
      <c r="K541" s="48"/>
      <c r="L541" s="33"/>
      <c r="M541" s="33"/>
    </row>
    <row r="542" spans="1:14">
      <c r="B542" s="33" t="str">
        <f t="shared" si="105"/>
        <v>B</v>
      </c>
      <c r="C542" s="33">
        <f t="shared" si="103"/>
        <v>11</v>
      </c>
      <c r="D542" s="230"/>
      <c r="E542" s="223" t="s">
        <v>973</v>
      </c>
      <c r="F542" s="224"/>
      <c r="G542" s="89"/>
      <c r="H542" s="48"/>
      <c r="I542" s="48"/>
      <c r="J542" s="48"/>
      <c r="K542" s="48"/>
      <c r="L542" s="33"/>
      <c r="M542" s="33"/>
    </row>
    <row r="543" spans="1:14">
      <c r="B543" s="33" t="str">
        <f t="shared" si="105"/>
        <v>C</v>
      </c>
      <c r="C543" s="33">
        <f t="shared" si="103"/>
        <v>12</v>
      </c>
      <c r="D543" s="230"/>
      <c r="E543" s="223" t="s">
        <v>184</v>
      </c>
      <c r="F543" s="224"/>
      <c r="G543" s="89"/>
      <c r="H543" s="48"/>
      <c r="I543" s="48"/>
      <c r="J543" s="48"/>
      <c r="K543" s="48"/>
      <c r="L543" s="33"/>
      <c r="M543" s="33"/>
    </row>
    <row r="544" spans="1:14" ht="15.75" thickBot="1">
      <c r="D544" s="156"/>
      <c r="E544" s="156"/>
      <c r="F544" s="156"/>
      <c r="G544" s="156"/>
    </row>
    <row r="545" spans="1:14" ht="15.75" thickBot="1">
      <c r="A545" s="20" t="s">
        <v>995</v>
      </c>
      <c r="B545" s="34" t="s">
        <v>136</v>
      </c>
      <c r="C545" s="34" t="s">
        <v>137</v>
      </c>
      <c r="D545" s="228" t="s">
        <v>125</v>
      </c>
      <c r="E545" s="229" t="s">
        <v>142</v>
      </c>
      <c r="F545" s="228" t="s">
        <v>123</v>
      </c>
      <c r="G545" s="228" t="s">
        <v>124</v>
      </c>
      <c r="H545" s="47" t="s">
        <v>245</v>
      </c>
      <c r="I545" s="148" t="s">
        <v>205</v>
      </c>
      <c r="J545" s="46">
        <f ca="1">IFERROR(IF(AND(J546:J562),0,1),0)</f>
        <v>1</v>
      </c>
      <c r="K545" s="222" t="s">
        <v>2353</v>
      </c>
      <c r="L545" s="62" t="s">
        <v>1012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3" t="str">
        <f t="shared" ref="B546:B552" si="106">DEC2HEX(C546)</f>
        <v>0</v>
      </c>
      <c r="C546" s="33">
        <v>0</v>
      </c>
      <c r="D546" s="230"/>
      <c r="E546" s="223" t="s">
        <v>141</v>
      </c>
      <c r="F546" s="224" t="s">
        <v>146</v>
      </c>
      <c r="G546" s="89" t="s">
        <v>180</v>
      </c>
      <c r="H546" s="48" t="s">
        <v>146</v>
      </c>
      <c r="I546" s="60" t="s">
        <v>180</v>
      </c>
      <c r="J546" s="79" t="b" cm="1">
        <f t="array" aca="1" ref="J546" ca="1">RIGHT("00"&amp;INDIRECT("R_"&amp;H546),2)=RIGHT("00"&amp;I546,2)</f>
        <v>0</v>
      </c>
      <c r="K546" s="48"/>
      <c r="L546" s="33"/>
      <c r="M546" s="33"/>
    </row>
    <row r="547" spans="1:14">
      <c r="B547" s="33" t="str">
        <f t="shared" si="106"/>
        <v>1</v>
      </c>
      <c r="C547" s="33">
        <f>C546+1</f>
        <v>1</v>
      </c>
      <c r="D547" s="230"/>
      <c r="E547" s="223" t="s">
        <v>869</v>
      </c>
      <c r="F547" s="224" t="s">
        <v>425</v>
      </c>
      <c r="G547" s="89"/>
      <c r="H547" s="48"/>
      <c r="I547" s="49" t="s">
        <v>999</v>
      </c>
      <c r="J547" s="147" t="b" cm="1">
        <f t="array" aca="1" ref="J547" ca="1">INDIRECT(I547)=0</f>
        <v>1</v>
      </c>
      <c r="K547" s="48"/>
      <c r="L547" s="33"/>
      <c r="M547" s="33"/>
    </row>
    <row r="548" spans="1:14">
      <c r="B548" s="33" t="str">
        <f t="shared" si="106"/>
        <v>2</v>
      </c>
      <c r="C548" s="33">
        <f t="shared" ref="C548:C562" si="107">C547+1</f>
        <v>2</v>
      </c>
      <c r="D548" s="230"/>
      <c r="E548" s="223" t="s">
        <v>872</v>
      </c>
      <c r="F548" s="89" t="s">
        <v>140</v>
      </c>
      <c r="G548" s="89"/>
      <c r="H548" s="48"/>
      <c r="I548" s="49" t="s">
        <v>998</v>
      </c>
      <c r="J548" s="146" t="b" cm="1">
        <f t="array" aca="1" ref="J548" ca="1">INDIRECT(I548)=1</f>
        <v>1</v>
      </c>
      <c r="K548" s="48"/>
      <c r="L548" s="33"/>
      <c r="M548" s="33"/>
    </row>
    <row r="549" spans="1:14">
      <c r="B549" s="33" t="str">
        <f t="shared" si="106"/>
        <v>3</v>
      </c>
      <c r="C549" s="33">
        <f t="shared" si="107"/>
        <v>3</v>
      </c>
      <c r="D549" s="230"/>
      <c r="E549" s="223" t="s">
        <v>157</v>
      </c>
      <c r="F549" s="89" t="s">
        <v>180</v>
      </c>
      <c r="G549" s="89"/>
      <c r="H549" s="48"/>
      <c r="I549" s="49" t="s">
        <v>1000</v>
      </c>
      <c r="J549" s="147" t="b" cm="1">
        <f t="array" aca="1" ref="J549" ca="1">INDIRECT(I549)=0</f>
        <v>1</v>
      </c>
      <c r="K549" s="48"/>
      <c r="L549" s="33"/>
      <c r="M549" s="33"/>
    </row>
    <row r="550" spans="1:14">
      <c r="B550" s="33" t="str">
        <f t="shared" si="106"/>
        <v>4</v>
      </c>
      <c r="C550" s="33">
        <f t="shared" si="107"/>
        <v>4</v>
      </c>
      <c r="D550" s="230"/>
      <c r="E550" s="223" t="s">
        <v>248</v>
      </c>
      <c r="F550" s="224" t="s">
        <v>266</v>
      </c>
      <c r="G550" s="89"/>
      <c r="H550" s="48"/>
      <c r="I550" s="49" t="s">
        <v>1001</v>
      </c>
      <c r="J550" s="146" t="b" cm="1">
        <f t="array" aca="1" ref="J550" ca="1">INDIRECT(I550)=1</f>
        <v>1</v>
      </c>
      <c r="K550" s="48"/>
      <c r="L550" s="33"/>
      <c r="M550" s="33"/>
    </row>
    <row r="551" spans="1:14">
      <c r="B551" s="33" t="str">
        <f t="shared" si="106"/>
        <v>5</v>
      </c>
      <c r="C551" s="33">
        <f t="shared" si="107"/>
        <v>5</v>
      </c>
      <c r="D551" s="230"/>
      <c r="E551" s="223" t="s">
        <v>108</v>
      </c>
      <c r="F551" s="224"/>
      <c r="G551" s="89"/>
      <c r="H551" s="48"/>
      <c r="I551" s="49" t="s">
        <v>997</v>
      </c>
      <c r="J551" s="147" t="b" cm="1">
        <f t="array" aca="1" ref="J551" ca="1">INDIRECT(I551)=0</f>
        <v>1</v>
      </c>
      <c r="K551" s="48"/>
      <c r="L551" s="33"/>
      <c r="M551" s="33"/>
    </row>
    <row r="552" spans="1:14">
      <c r="B552" s="33" t="str">
        <f t="shared" si="106"/>
        <v>6</v>
      </c>
      <c r="C552" s="33">
        <f t="shared" si="107"/>
        <v>6</v>
      </c>
      <c r="D552" s="230" t="s">
        <v>266</v>
      </c>
      <c r="E552" s="223" t="s">
        <v>869</v>
      </c>
      <c r="F552" s="224" t="s">
        <v>140</v>
      </c>
      <c r="G552" s="89"/>
      <c r="H552" s="48"/>
      <c r="I552" s="49" t="s">
        <v>1002</v>
      </c>
      <c r="J552" s="146" t="b" cm="1">
        <f t="array" aca="1" ref="J552" ca="1">INDIRECT(I552)=1</f>
        <v>1</v>
      </c>
      <c r="K552" s="48"/>
      <c r="L552" s="33"/>
      <c r="M552" s="33"/>
    </row>
    <row r="553" spans="1:14">
      <c r="B553" s="33" t="str">
        <f t="shared" ref="B553" si="108">DEC2HEX(C553)</f>
        <v>7</v>
      </c>
      <c r="C553" s="33">
        <f t="shared" si="107"/>
        <v>7</v>
      </c>
      <c r="D553" s="230"/>
      <c r="E553" s="223" t="s">
        <v>184</v>
      </c>
      <c r="F553" s="224"/>
      <c r="G553" s="89"/>
      <c r="H553" s="48"/>
      <c r="I553" s="49" t="s">
        <v>1003</v>
      </c>
      <c r="J553" s="147" t="b" cm="1">
        <f t="array" aca="1" ref="J553" ca="1">INDIRECT(I553)=0</f>
        <v>1</v>
      </c>
      <c r="K553" s="48"/>
      <c r="L553" s="33"/>
      <c r="M553" s="33"/>
    </row>
    <row r="554" spans="1:14">
      <c r="B554" s="33" t="str">
        <f t="shared" ref="B554:B562" si="109">DEC2HEX(C554)</f>
        <v>8</v>
      </c>
      <c r="C554" s="33">
        <f t="shared" si="107"/>
        <v>8</v>
      </c>
      <c r="D554" s="230"/>
      <c r="E554" s="223"/>
      <c r="F554" s="224"/>
      <c r="G554" s="89"/>
      <c r="H554" s="48"/>
      <c r="I554" s="49" t="s">
        <v>996</v>
      </c>
      <c r="J554" s="146" t="b" cm="1">
        <f t="array" aca="1" ref="J554" ca="1">INDIRECT(I554)=1</f>
        <v>1</v>
      </c>
      <c r="K554" s="48"/>
      <c r="L554" s="33"/>
      <c r="M554" s="33"/>
    </row>
    <row r="555" spans="1:14">
      <c r="B555" s="33" t="str">
        <f t="shared" si="109"/>
        <v>9</v>
      </c>
      <c r="C555" s="33">
        <f t="shared" si="107"/>
        <v>9</v>
      </c>
      <c r="D555" s="230"/>
      <c r="E555" s="223"/>
      <c r="F555" s="224"/>
      <c r="G555" s="89"/>
      <c r="H555" s="48"/>
      <c r="I555" s="49" t="s">
        <v>1005</v>
      </c>
      <c r="J555" s="147" t="b" cm="1">
        <f t="array" aca="1" ref="J555" ca="1">INDIRECT(I555)=0</f>
        <v>1</v>
      </c>
      <c r="K555" s="48"/>
      <c r="L555" s="33"/>
      <c r="M555" s="33"/>
    </row>
    <row r="556" spans="1:14">
      <c r="B556" s="33" t="str">
        <f t="shared" si="109"/>
        <v>A</v>
      </c>
      <c r="C556" s="33">
        <f t="shared" si="107"/>
        <v>10</v>
      </c>
      <c r="D556" s="230"/>
      <c r="E556" s="223"/>
      <c r="F556" s="224"/>
      <c r="G556" s="89"/>
      <c r="H556" s="48"/>
      <c r="I556" s="49" t="s">
        <v>1006</v>
      </c>
      <c r="J556" s="146" t="b" cm="1">
        <f t="array" aca="1" ref="J556" ca="1">INDIRECT(I556)=1</f>
        <v>1</v>
      </c>
      <c r="K556" s="48"/>
      <c r="L556" s="33"/>
      <c r="M556" s="33"/>
    </row>
    <row r="557" spans="1:14">
      <c r="B557" s="33" t="str">
        <f t="shared" si="109"/>
        <v>B</v>
      </c>
      <c r="C557" s="33">
        <f t="shared" si="107"/>
        <v>11</v>
      </c>
      <c r="D557" s="230"/>
      <c r="E557" s="223"/>
      <c r="F557" s="224"/>
      <c r="G557" s="89"/>
      <c r="H557" s="48"/>
      <c r="I557" s="49" t="s">
        <v>1007</v>
      </c>
      <c r="J557" s="147" t="b" cm="1">
        <f t="array" aca="1" ref="J557" ca="1">INDIRECT(I557)=0</f>
        <v>1</v>
      </c>
      <c r="K557" s="48"/>
      <c r="L557" s="33"/>
      <c r="M557" s="33"/>
    </row>
    <row r="558" spans="1:14">
      <c r="B558" s="33" t="str">
        <f t="shared" si="109"/>
        <v>C</v>
      </c>
      <c r="C558" s="33">
        <f t="shared" si="107"/>
        <v>12</v>
      </c>
      <c r="D558" s="230"/>
      <c r="E558" s="223"/>
      <c r="F558" s="224"/>
      <c r="G558" s="89"/>
      <c r="H558" s="48"/>
      <c r="I558" s="49" t="s">
        <v>1008</v>
      </c>
      <c r="J558" s="146" t="b" cm="1">
        <f t="array" aca="1" ref="J558" ca="1">INDIRECT(I558)=1</f>
        <v>1</v>
      </c>
      <c r="K558" s="48"/>
      <c r="L558" s="33"/>
      <c r="M558" s="33"/>
    </row>
    <row r="559" spans="1:14">
      <c r="B559" s="33" t="str">
        <f t="shared" si="109"/>
        <v>D</v>
      </c>
      <c r="C559" s="33">
        <f t="shared" si="107"/>
        <v>13</v>
      </c>
      <c r="D559" s="230"/>
      <c r="E559" s="223"/>
      <c r="F559" s="224"/>
      <c r="G559" s="89"/>
      <c r="H559" s="48"/>
      <c r="I559" s="49" t="s">
        <v>1004</v>
      </c>
      <c r="J559" s="147" t="b" cm="1">
        <f t="array" aca="1" ref="J559" ca="1">INDIRECT(I559)=0</f>
        <v>1</v>
      </c>
      <c r="K559" s="48"/>
      <c r="L559" s="33"/>
      <c r="M559" s="33"/>
    </row>
    <row r="560" spans="1:14">
      <c r="B560" s="33" t="str">
        <f t="shared" si="109"/>
        <v>E</v>
      </c>
      <c r="C560" s="33">
        <f t="shared" si="107"/>
        <v>14</v>
      </c>
      <c r="D560" s="230"/>
      <c r="E560" s="223"/>
      <c r="F560" s="224"/>
      <c r="G560" s="89"/>
      <c r="H560" s="48"/>
      <c r="I560" s="49" t="s">
        <v>1009</v>
      </c>
      <c r="J560" s="146" t="b" cm="1">
        <f t="array" aca="1" ref="J560" ca="1">INDIRECT(I560)=1</f>
        <v>1</v>
      </c>
      <c r="K560" s="48"/>
      <c r="L560" s="33"/>
      <c r="M560" s="33"/>
    </row>
    <row r="561" spans="1:14">
      <c r="B561" s="33" t="str">
        <f t="shared" si="109"/>
        <v>F</v>
      </c>
      <c r="C561" s="33">
        <f t="shared" si="107"/>
        <v>15</v>
      </c>
      <c r="D561" s="230"/>
      <c r="E561" s="223"/>
      <c r="F561" s="224"/>
      <c r="G561" s="89"/>
      <c r="H561" s="48"/>
      <c r="I561" s="49" t="s">
        <v>1010</v>
      </c>
      <c r="J561" s="147" t="b" cm="1">
        <f t="array" aca="1" ref="J561" ca="1">INDIRECT(I561)=0</f>
        <v>1</v>
      </c>
      <c r="K561" s="48"/>
      <c r="L561" s="33"/>
      <c r="M561" s="33"/>
    </row>
    <row r="562" spans="1:14">
      <c r="B562" s="33" t="str">
        <f t="shared" si="109"/>
        <v>10</v>
      </c>
      <c r="C562" s="33">
        <f t="shared" si="107"/>
        <v>16</v>
      </c>
      <c r="D562" s="230"/>
      <c r="E562" s="223"/>
      <c r="F562" s="224"/>
      <c r="G562" s="89"/>
      <c r="H562" s="48"/>
      <c r="I562" s="49" t="s">
        <v>1011</v>
      </c>
      <c r="J562" s="146" t="b" cm="1">
        <f t="array" aca="1" ref="J562" ca="1">INDIRECT(I562)=1</f>
        <v>1</v>
      </c>
      <c r="K562" s="48"/>
      <c r="L562" s="33"/>
      <c r="M562" s="33"/>
    </row>
    <row r="563" spans="1:14" ht="15.75" thickBot="1">
      <c r="D563" s="156"/>
      <c r="E563" s="156"/>
      <c r="F563" s="156"/>
      <c r="G563" s="156"/>
    </row>
    <row r="564" spans="1:14" ht="15.75" thickBot="1">
      <c r="A564" s="20" t="s">
        <v>1013</v>
      </c>
      <c r="B564" s="152" t="s">
        <v>136</v>
      </c>
      <c r="C564" s="152" t="s">
        <v>137</v>
      </c>
      <c r="D564" s="231" t="s">
        <v>125</v>
      </c>
      <c r="E564" s="232" t="s">
        <v>142</v>
      </c>
      <c r="F564" s="231" t="s">
        <v>123</v>
      </c>
      <c r="G564" s="231" t="s">
        <v>124</v>
      </c>
      <c r="H564" s="153" t="s">
        <v>245</v>
      </c>
      <c r="I564" s="148" t="s">
        <v>205</v>
      </c>
      <c r="J564" s="143">
        <f ca="1">IFERROR(IF(AND(J565:J573),0,1),0)</f>
        <v>1</v>
      </c>
      <c r="K564" s="219" t="s">
        <v>2353</v>
      </c>
      <c r="L564" s="50" t="s">
        <v>1051</v>
      </c>
      <c r="M564" s="154">
        <f>IFERROR(VLOOKUP($A564,$P$6:$S$1048576,3,0),0)</f>
        <v>0</v>
      </c>
      <c r="N564" s="154">
        <f>IFERROR(VLOOKUP($A564,$P$6:$S$1048576,4,0),0)</f>
        <v>0</v>
      </c>
    </row>
    <row r="565" spans="1:14">
      <c r="B565" s="6" t="str">
        <f t="shared" ref="B565:B568" si="110">DEC2HEX(C565)</f>
        <v>0</v>
      </c>
      <c r="C565" s="6">
        <v>0</v>
      </c>
      <c r="D565" s="227"/>
      <c r="E565" s="227" t="s">
        <v>289</v>
      </c>
      <c r="F565" s="91" t="s">
        <v>303</v>
      </c>
      <c r="G565" s="90" t="s">
        <v>1050</v>
      </c>
      <c r="H565" s="48" t="s">
        <v>146</v>
      </c>
      <c r="I565" s="60" t="s">
        <v>265</v>
      </c>
      <c r="J565" s="79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10"/>
        <v>1</v>
      </c>
      <c r="C566" s="6">
        <f>C565+1</f>
        <v>1</v>
      </c>
      <c r="D566" s="227"/>
      <c r="E566" s="227" t="s">
        <v>141</v>
      </c>
      <c r="F566" s="91" t="s">
        <v>146</v>
      </c>
      <c r="G566" s="90" t="s">
        <v>880</v>
      </c>
      <c r="H566" s="6"/>
      <c r="I566" s="49"/>
      <c r="J566" s="6"/>
      <c r="K566" s="6"/>
      <c r="L566" s="6"/>
      <c r="M566" s="6"/>
      <c r="N566" s="6"/>
    </row>
    <row r="567" spans="1:14">
      <c r="B567" s="6" t="str">
        <f t="shared" si="110"/>
        <v>2</v>
      </c>
      <c r="C567" s="6">
        <f t="shared" ref="C567:C573" si="111">C566+1</f>
        <v>2</v>
      </c>
      <c r="D567" s="227"/>
      <c r="E567" s="227" t="s">
        <v>181</v>
      </c>
      <c r="F567" s="91" t="s">
        <v>577</v>
      </c>
      <c r="G567" s="90" t="s">
        <v>146</v>
      </c>
      <c r="H567" s="6"/>
      <c r="I567" s="49"/>
      <c r="J567" s="6"/>
      <c r="K567" s="6"/>
      <c r="L567" s="6"/>
      <c r="M567" s="6"/>
      <c r="N567" s="6"/>
    </row>
    <row r="568" spans="1:14">
      <c r="B568" s="6" t="str">
        <f t="shared" si="110"/>
        <v>3</v>
      </c>
      <c r="C568" s="6">
        <f t="shared" si="111"/>
        <v>3</v>
      </c>
      <c r="D568" s="227"/>
      <c r="E568" s="227" t="s">
        <v>141</v>
      </c>
      <c r="F568" s="91" t="s">
        <v>146</v>
      </c>
      <c r="G568" s="90" t="s">
        <v>215</v>
      </c>
      <c r="H568" s="6"/>
      <c r="I568" s="49"/>
      <c r="J568" s="6"/>
      <c r="K568" s="6"/>
      <c r="L568" s="6"/>
      <c r="M568" s="6"/>
      <c r="N568" s="6"/>
    </row>
    <row r="569" spans="1:14">
      <c r="B569" s="6" t="str">
        <f t="shared" ref="B569:B573" si="112">DEC2HEX(C569)</f>
        <v>4</v>
      </c>
      <c r="C569" s="6">
        <f t="shared" si="111"/>
        <v>4</v>
      </c>
      <c r="D569" s="227"/>
      <c r="E569" s="227" t="s">
        <v>181</v>
      </c>
      <c r="F569" s="90" t="s">
        <v>146</v>
      </c>
      <c r="G569" s="90" t="s">
        <v>577</v>
      </c>
      <c r="H569" s="6"/>
      <c r="I569" s="49"/>
      <c r="J569" s="6"/>
      <c r="K569" s="6"/>
      <c r="L569" s="6"/>
      <c r="M569" s="6"/>
      <c r="N569" s="6"/>
    </row>
    <row r="570" spans="1:14">
      <c r="B570" s="6" t="str">
        <f t="shared" si="112"/>
        <v>5</v>
      </c>
      <c r="C570" s="6">
        <f t="shared" si="111"/>
        <v>5</v>
      </c>
      <c r="D570" s="227"/>
      <c r="E570" s="227" t="s">
        <v>141</v>
      </c>
      <c r="F570" s="90" t="s">
        <v>146</v>
      </c>
      <c r="G570" s="90" t="s">
        <v>457</v>
      </c>
      <c r="H570" s="6"/>
      <c r="I570" s="49"/>
      <c r="J570" s="6"/>
      <c r="K570" s="6"/>
      <c r="L570" s="6"/>
      <c r="M570" s="6"/>
      <c r="N570" s="6"/>
    </row>
    <row r="571" spans="1:14">
      <c r="B571" s="6" t="str">
        <f t="shared" si="112"/>
        <v>6</v>
      </c>
      <c r="C571" s="6">
        <f t="shared" si="111"/>
        <v>6</v>
      </c>
      <c r="D571" s="227"/>
      <c r="E571" s="227" t="s">
        <v>392</v>
      </c>
      <c r="F571" s="90" t="s">
        <v>577</v>
      </c>
      <c r="G571" s="90"/>
      <c r="H571" s="6"/>
      <c r="I571" s="49"/>
      <c r="J571" s="6"/>
      <c r="K571" s="6"/>
      <c r="L571" s="6"/>
      <c r="M571" s="6"/>
      <c r="N571" s="6"/>
    </row>
    <row r="572" spans="1:14">
      <c r="B572" s="6" t="str">
        <f t="shared" si="112"/>
        <v>7</v>
      </c>
      <c r="C572" s="6">
        <f t="shared" si="111"/>
        <v>7</v>
      </c>
      <c r="D572" s="227"/>
      <c r="E572" s="227"/>
      <c r="F572" s="90" t="s">
        <v>280</v>
      </c>
      <c r="G572" s="90"/>
      <c r="H572" s="6"/>
      <c r="I572" s="49"/>
      <c r="J572" s="6"/>
      <c r="K572" s="6"/>
      <c r="L572" s="6"/>
      <c r="M572" s="6"/>
      <c r="N572" s="6"/>
    </row>
    <row r="573" spans="1:14">
      <c r="B573" s="6" t="str">
        <f t="shared" si="112"/>
        <v>8</v>
      </c>
      <c r="C573" s="6">
        <f t="shared" si="111"/>
        <v>8</v>
      </c>
      <c r="D573" s="227"/>
      <c r="E573" s="227" t="s">
        <v>184</v>
      </c>
      <c r="F573" s="90"/>
      <c r="G573" s="90"/>
      <c r="H573" s="6"/>
      <c r="I573" s="49"/>
      <c r="J573" s="6"/>
      <c r="K573" s="6"/>
      <c r="L573" s="6"/>
      <c r="M573" s="6"/>
      <c r="N573" s="6"/>
    </row>
    <row r="574" spans="1:14" ht="15.75" thickBot="1">
      <c r="D574" s="156"/>
      <c r="E574" s="156"/>
      <c r="F574" s="156"/>
      <c r="G574" s="156"/>
    </row>
    <row r="575" spans="1:14" ht="15.75" thickBot="1">
      <c r="A575" s="20" t="s">
        <v>1014</v>
      </c>
      <c r="B575" s="152" t="s">
        <v>136</v>
      </c>
      <c r="C575" s="152" t="s">
        <v>137</v>
      </c>
      <c r="D575" s="231" t="s">
        <v>125</v>
      </c>
      <c r="E575" s="232" t="s">
        <v>142</v>
      </c>
      <c r="F575" s="231" t="s">
        <v>123</v>
      </c>
      <c r="G575" s="231" t="s">
        <v>124</v>
      </c>
      <c r="H575" s="153" t="s">
        <v>245</v>
      </c>
      <c r="I575" s="148" t="s">
        <v>205</v>
      </c>
      <c r="J575" s="143">
        <f ca="1">IFERROR(IF(AND(J576:J584),0,1),0)</f>
        <v>0</v>
      </c>
      <c r="K575" s="219" t="s">
        <v>2353</v>
      </c>
      <c r="L575" s="50" t="s">
        <v>1052</v>
      </c>
      <c r="M575" s="154">
        <f>IFERROR(VLOOKUP($A575,$P$6:$S$1048576,3,0),0)</f>
        <v>0</v>
      </c>
      <c r="N575" s="154">
        <f>IFERROR(VLOOKUP($A575,$P$6:$S$1048576,4,0),0)</f>
        <v>0</v>
      </c>
    </row>
    <row r="576" spans="1:14">
      <c r="B576" s="6" t="str">
        <f t="shared" ref="B576:B584" si="113">DEC2HEX(C576)</f>
        <v>0</v>
      </c>
      <c r="C576" s="6">
        <v>0</v>
      </c>
      <c r="D576" s="227"/>
      <c r="E576" s="227" t="s">
        <v>289</v>
      </c>
      <c r="F576" s="91" t="s">
        <v>303</v>
      </c>
      <c r="G576" s="90" t="s">
        <v>1050</v>
      </c>
      <c r="H576" s="48" t="s">
        <v>146</v>
      </c>
      <c r="I576" s="60" t="s">
        <v>209</v>
      </c>
      <c r="J576" s="79" t="b" cm="1">
        <f t="array" aca="1" ref="J576" ca="1">RIGHT("00"&amp;INDIRECT("R_"&amp;H576),2)=RIGHT("00"&amp;I576,2)</f>
        <v>0</v>
      </c>
      <c r="K576" s="6"/>
      <c r="L576" s="6"/>
      <c r="M576" s="6"/>
      <c r="N576" s="6"/>
    </row>
    <row r="577" spans="1:14">
      <c r="B577" s="6" t="str">
        <f t="shared" si="113"/>
        <v>1</v>
      </c>
      <c r="C577" s="6">
        <f>C576+1</f>
        <v>1</v>
      </c>
      <c r="D577" s="227"/>
      <c r="E577" s="227" t="s">
        <v>141</v>
      </c>
      <c r="F577" s="91" t="s">
        <v>146</v>
      </c>
      <c r="G577" s="90" t="s">
        <v>295</v>
      </c>
      <c r="H577" s="48" t="s">
        <v>116</v>
      </c>
      <c r="I577" s="75">
        <v>1</v>
      </c>
      <c r="J577" s="81" t="e" cm="1">
        <f t="array" aca="1" ref="J577" ca="1">INDIRECT(H577)=I577</f>
        <v>#REF!</v>
      </c>
      <c r="K577" s="6"/>
      <c r="L577" s="6"/>
      <c r="M577" s="6"/>
      <c r="N577" s="6"/>
    </row>
    <row r="578" spans="1:14">
      <c r="B578" s="6" t="str">
        <f t="shared" si="113"/>
        <v>2</v>
      </c>
      <c r="C578" s="6">
        <f t="shared" ref="C578:C584" si="114">C577+1</f>
        <v>2</v>
      </c>
      <c r="D578" s="227"/>
      <c r="E578" s="227" t="s">
        <v>181</v>
      </c>
      <c r="F578" s="91" t="s">
        <v>577</v>
      </c>
      <c r="G578" s="90" t="s">
        <v>146</v>
      </c>
      <c r="H578" s="75" t="s">
        <v>120</v>
      </c>
      <c r="I578" s="75">
        <v>0</v>
      </c>
      <c r="J578" s="81" t="e" cm="1">
        <f t="array" aca="1" ref="J578" ca="1">INDIRECT(H578)=I578</f>
        <v>#REF!</v>
      </c>
      <c r="K578" s="6"/>
      <c r="L578" s="6"/>
      <c r="M578" s="6"/>
      <c r="N578" s="6"/>
    </row>
    <row r="579" spans="1:14">
      <c r="B579" s="6" t="str">
        <f t="shared" si="113"/>
        <v>3</v>
      </c>
      <c r="C579" s="6">
        <f t="shared" si="114"/>
        <v>3</v>
      </c>
      <c r="D579" s="227"/>
      <c r="E579" s="227" t="s">
        <v>141</v>
      </c>
      <c r="F579" s="91" t="s">
        <v>146</v>
      </c>
      <c r="G579" s="90" t="s">
        <v>140</v>
      </c>
      <c r="H579" s="75" t="s">
        <v>119</v>
      </c>
      <c r="I579" s="75">
        <v>1</v>
      </c>
      <c r="J579" s="81" t="b" cm="1">
        <f t="array" aca="1" ref="J579" ca="1">INDIRECT(H579)=I579</f>
        <v>0</v>
      </c>
      <c r="K579" s="6"/>
      <c r="L579" s="6"/>
      <c r="M579" s="6"/>
      <c r="N579" s="6"/>
    </row>
    <row r="580" spans="1:14">
      <c r="B580" s="6" t="str">
        <f t="shared" si="113"/>
        <v>4</v>
      </c>
      <c r="C580" s="6">
        <f t="shared" si="114"/>
        <v>4</v>
      </c>
      <c r="D580" s="227"/>
      <c r="E580" s="227" t="s">
        <v>392</v>
      </c>
      <c r="F580" s="90" t="s">
        <v>577</v>
      </c>
      <c r="G580" s="90"/>
      <c r="H580" s="75" t="s">
        <v>115</v>
      </c>
      <c r="I580" s="75">
        <v>1</v>
      </c>
      <c r="J580" s="81" t="b" cm="1">
        <f t="array" aca="1" ref="J580" ca="1">INDIRECT(H580)=I580</f>
        <v>1</v>
      </c>
      <c r="K580" s="6"/>
      <c r="L580" s="6"/>
      <c r="M580" s="6"/>
      <c r="N580" s="6"/>
    </row>
    <row r="581" spans="1:14">
      <c r="B581" s="6" t="str">
        <f t="shared" si="113"/>
        <v>5</v>
      </c>
      <c r="C581" s="6">
        <f t="shared" si="114"/>
        <v>5</v>
      </c>
      <c r="D581" s="227"/>
      <c r="E581" s="227"/>
      <c r="F581" s="90"/>
      <c r="G581" s="90"/>
      <c r="H581" s="75" t="s">
        <v>122</v>
      </c>
      <c r="I581" s="75">
        <v>1</v>
      </c>
      <c r="J581" s="81" t="e" cm="1">
        <f t="array" aca="1" ref="J581" ca="1">INDIRECT(H581)=I581</f>
        <v>#REF!</v>
      </c>
      <c r="K581" s="6"/>
      <c r="L581" s="6"/>
      <c r="M581" s="6"/>
      <c r="N581" s="6"/>
    </row>
    <row r="582" spans="1:14">
      <c r="B582" s="6" t="str">
        <f t="shared" si="113"/>
        <v>6</v>
      </c>
      <c r="C582" s="6">
        <f t="shared" si="114"/>
        <v>6</v>
      </c>
      <c r="D582" s="227"/>
      <c r="E582" s="227" t="s">
        <v>184</v>
      </c>
      <c r="F582" s="90"/>
      <c r="G582" s="90"/>
      <c r="H582" s="6"/>
      <c r="I582" s="49"/>
      <c r="J582" s="6"/>
      <c r="K582" s="6"/>
      <c r="L582" s="6"/>
      <c r="M582" s="6"/>
      <c r="N582" s="6"/>
    </row>
    <row r="583" spans="1:14">
      <c r="B583" s="6" t="str">
        <f t="shared" si="113"/>
        <v>7</v>
      </c>
      <c r="C583" s="6">
        <f t="shared" si="114"/>
        <v>7</v>
      </c>
      <c r="D583" s="227"/>
      <c r="E583" s="227"/>
      <c r="F583" s="90"/>
      <c r="G583" s="90"/>
      <c r="H583" s="6"/>
      <c r="I583" s="49"/>
      <c r="J583" s="6"/>
      <c r="K583" s="6"/>
      <c r="L583" s="6"/>
      <c r="M583" s="6"/>
      <c r="N583" s="6"/>
    </row>
    <row r="584" spans="1:14">
      <c r="B584" s="6" t="str">
        <f t="shared" si="113"/>
        <v>8</v>
      </c>
      <c r="C584" s="6">
        <f t="shared" si="114"/>
        <v>8</v>
      </c>
      <c r="D584" s="227"/>
      <c r="E584" s="227"/>
      <c r="F584" s="90"/>
      <c r="G584" s="90"/>
      <c r="H584" s="6"/>
      <c r="I584" s="49"/>
      <c r="J584" s="6"/>
      <c r="K584" s="6"/>
      <c r="L584" s="6"/>
      <c r="M584" s="6"/>
      <c r="N584" s="6"/>
    </row>
    <row r="585" spans="1:14" ht="15.75" thickBot="1">
      <c r="D585" s="156"/>
      <c r="E585" s="156"/>
      <c r="F585" s="156"/>
      <c r="G585" s="156"/>
    </row>
    <row r="586" spans="1:14" ht="15.75" thickBot="1">
      <c r="A586" s="20" t="s">
        <v>1053</v>
      </c>
      <c r="B586" s="152" t="s">
        <v>136</v>
      </c>
      <c r="C586" s="152" t="s">
        <v>137</v>
      </c>
      <c r="D586" s="231" t="s">
        <v>125</v>
      </c>
      <c r="E586" s="232" t="s">
        <v>142</v>
      </c>
      <c r="F586" s="231" t="s">
        <v>123</v>
      </c>
      <c r="G586" s="231" t="s">
        <v>124</v>
      </c>
      <c r="H586" s="153" t="s">
        <v>245</v>
      </c>
      <c r="I586" s="148" t="s">
        <v>205</v>
      </c>
      <c r="J586" s="143">
        <f ca="1">IFERROR(IF(AND(J587:J591),0,1),0)</f>
        <v>1</v>
      </c>
      <c r="K586" s="219" t="s">
        <v>2353</v>
      </c>
      <c r="L586" s="50" t="s">
        <v>1054</v>
      </c>
      <c r="M586" s="154">
        <f>IFERROR(VLOOKUP($A586,$P$6:$S$1048576,3,0),0)</f>
        <v>0</v>
      </c>
      <c r="N586" s="154">
        <f>IFERROR(VLOOKUP($A586,$P$6:$S$1048576,4,0),0)</f>
        <v>0</v>
      </c>
    </row>
    <row r="587" spans="1:14">
      <c r="B587" s="6" t="str">
        <f t="shared" ref="B587:B591" si="115">DEC2HEX(C587)</f>
        <v>0</v>
      </c>
      <c r="C587" s="6">
        <v>0</v>
      </c>
      <c r="D587" s="227"/>
      <c r="E587" s="227" t="s">
        <v>141</v>
      </c>
      <c r="F587" s="90" t="s">
        <v>146</v>
      </c>
      <c r="G587" s="90">
        <v>99</v>
      </c>
      <c r="H587" s="48" t="s">
        <v>146</v>
      </c>
      <c r="I587" s="60" t="s">
        <v>960</v>
      </c>
      <c r="J587" s="79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5"/>
        <v>1</v>
      </c>
      <c r="C588" s="6">
        <f>C587+1</f>
        <v>1</v>
      </c>
      <c r="D588" s="227"/>
      <c r="E588" s="227" t="s">
        <v>395</v>
      </c>
      <c r="F588" s="90">
        <v>99</v>
      </c>
      <c r="G588" s="90"/>
      <c r="H588" s="75" t="s">
        <v>115</v>
      </c>
      <c r="I588" s="75">
        <v>1</v>
      </c>
      <c r="J588" s="81" t="b" cm="1">
        <f t="array" aca="1" ref="J588" ca="1">INDIRECT(H588)=I588</f>
        <v>1</v>
      </c>
      <c r="K588" s="6"/>
      <c r="L588" s="6"/>
      <c r="M588" s="6"/>
      <c r="N588" s="6"/>
    </row>
    <row r="589" spans="1:14">
      <c r="B589" s="6" t="str">
        <f t="shared" si="115"/>
        <v>2</v>
      </c>
      <c r="C589" s="6">
        <f t="shared" ref="C589:C591" si="116">C588+1</f>
        <v>2</v>
      </c>
      <c r="D589" s="227"/>
      <c r="E589" s="227" t="s">
        <v>52</v>
      </c>
      <c r="F589" s="90"/>
      <c r="G589" s="90"/>
      <c r="H589" s="6"/>
      <c r="I589" s="49"/>
      <c r="J589" s="6"/>
      <c r="K589" s="6"/>
      <c r="L589" s="6"/>
      <c r="M589" s="6"/>
      <c r="N589" s="6"/>
    </row>
    <row r="590" spans="1:14">
      <c r="B590" s="6" t="str">
        <f t="shared" si="115"/>
        <v>3</v>
      </c>
      <c r="C590" s="6">
        <f t="shared" si="116"/>
        <v>3</v>
      </c>
      <c r="D590" s="227"/>
      <c r="E590" s="227" t="s">
        <v>184</v>
      </c>
      <c r="F590" s="90"/>
      <c r="G590" s="90"/>
      <c r="H590" s="6"/>
      <c r="I590" s="49"/>
      <c r="J590" s="6"/>
      <c r="K590" s="6"/>
      <c r="L590" s="6"/>
      <c r="M590" s="6"/>
      <c r="N590" s="6"/>
    </row>
    <row r="591" spans="1:14">
      <c r="B591" s="6" t="str">
        <f t="shared" si="115"/>
        <v>4</v>
      </c>
      <c r="C591" s="6">
        <f t="shared" si="116"/>
        <v>4</v>
      </c>
      <c r="D591" s="227"/>
      <c r="E591" s="227"/>
      <c r="F591" s="90"/>
      <c r="G591" s="90"/>
      <c r="H591" s="6"/>
      <c r="I591" s="49"/>
      <c r="J591" s="6"/>
      <c r="K591" s="6"/>
      <c r="L591" s="6"/>
      <c r="M591" s="6"/>
      <c r="N591" s="6"/>
    </row>
    <row r="592" spans="1:14" ht="15.75" thickBot="1">
      <c r="D592" s="156"/>
      <c r="E592" s="156"/>
      <c r="F592" s="156"/>
      <c r="G592" s="156"/>
    </row>
    <row r="593" spans="1:14" ht="15.75" thickBot="1">
      <c r="A593" s="20" t="s">
        <v>1056</v>
      </c>
      <c r="B593" s="152" t="s">
        <v>136</v>
      </c>
      <c r="C593" s="152" t="s">
        <v>137</v>
      </c>
      <c r="D593" s="231" t="s">
        <v>125</v>
      </c>
      <c r="E593" s="232" t="s">
        <v>142</v>
      </c>
      <c r="F593" s="231" t="s">
        <v>123</v>
      </c>
      <c r="G593" s="231" t="s">
        <v>124</v>
      </c>
      <c r="H593" s="153" t="s">
        <v>245</v>
      </c>
      <c r="I593" s="148" t="s">
        <v>205</v>
      </c>
      <c r="J593" s="143">
        <f ca="1">IFERROR(IF(AND(J594:J598),0,1),0)</f>
        <v>1</v>
      </c>
      <c r="K593" s="219" t="s">
        <v>2353</v>
      </c>
      <c r="L593" s="50" t="s">
        <v>1055</v>
      </c>
      <c r="M593" s="154">
        <f>IFERROR(VLOOKUP($A593,$P$6:$S$1048576,3,0),0)</f>
        <v>0</v>
      </c>
      <c r="N593" s="154">
        <f>IFERROR(VLOOKUP($A593,$P$6:$S$1048576,4,0),0)</f>
        <v>0</v>
      </c>
    </row>
    <row r="594" spans="1:14">
      <c r="B594" s="6" t="str">
        <f t="shared" ref="B594:B598" si="117">DEC2HEX(C594)</f>
        <v>0</v>
      </c>
      <c r="C594" s="6">
        <v>0</v>
      </c>
      <c r="D594" s="227"/>
      <c r="E594" s="227" t="s">
        <v>141</v>
      </c>
      <c r="F594" s="90" t="s">
        <v>146</v>
      </c>
      <c r="G594" s="90" t="s">
        <v>886</v>
      </c>
      <c r="H594" s="48" t="s">
        <v>146</v>
      </c>
      <c r="I594" s="60">
        <v>42</v>
      </c>
      <c r="J594" s="79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7"/>
        <v>1</v>
      </c>
      <c r="C595" s="6">
        <f>C594+1</f>
        <v>1</v>
      </c>
      <c r="D595" s="227"/>
      <c r="E595" s="227" t="s">
        <v>395</v>
      </c>
      <c r="F595" s="90">
        <v>27</v>
      </c>
      <c r="G595" s="90"/>
      <c r="H595" s="75" t="s">
        <v>115</v>
      </c>
      <c r="I595" s="75">
        <v>0</v>
      </c>
      <c r="J595" s="81" t="b" cm="1">
        <f t="array" aca="1" ref="J595" ca="1">INDIRECT(H595)=I595</f>
        <v>0</v>
      </c>
      <c r="K595" s="6"/>
      <c r="L595" s="6"/>
      <c r="M595" s="6"/>
      <c r="N595" s="6"/>
    </row>
    <row r="596" spans="1:14">
      <c r="B596" s="6" t="str">
        <f t="shared" si="117"/>
        <v>2</v>
      </c>
      <c r="C596" s="6">
        <f t="shared" ref="C596:C598" si="118">C595+1</f>
        <v>2</v>
      </c>
      <c r="D596" s="227"/>
      <c r="E596" s="227" t="s">
        <v>52</v>
      </c>
      <c r="F596" s="90"/>
      <c r="G596" s="90"/>
      <c r="H596" s="6"/>
      <c r="I596" s="49"/>
      <c r="J596" s="6"/>
      <c r="K596" s="6"/>
      <c r="L596" s="6"/>
      <c r="M596" s="6"/>
      <c r="N596" s="6"/>
    </row>
    <row r="597" spans="1:14">
      <c r="B597" s="6" t="str">
        <f t="shared" si="117"/>
        <v>3</v>
      </c>
      <c r="C597" s="6">
        <f t="shared" si="118"/>
        <v>3</v>
      </c>
      <c r="D597" s="227"/>
      <c r="E597" s="227" t="s">
        <v>184</v>
      </c>
      <c r="F597" s="90"/>
      <c r="G597" s="90"/>
      <c r="H597" s="6"/>
      <c r="I597" s="49"/>
      <c r="J597" s="6"/>
      <c r="K597" s="6"/>
      <c r="L597" s="6"/>
      <c r="M597" s="6"/>
      <c r="N597" s="6"/>
    </row>
    <row r="598" spans="1:14">
      <c r="B598" s="6" t="str">
        <f t="shared" si="117"/>
        <v>4</v>
      </c>
      <c r="C598" s="6">
        <f t="shared" si="118"/>
        <v>4</v>
      </c>
      <c r="D598" s="227"/>
      <c r="E598" s="227"/>
      <c r="F598" s="90"/>
      <c r="G598" s="90"/>
      <c r="H598" s="6"/>
      <c r="I598" s="49"/>
      <c r="J598" s="6"/>
      <c r="K598" s="6"/>
      <c r="L598" s="6"/>
      <c r="M598" s="6"/>
      <c r="N598" s="6"/>
    </row>
    <row r="599" spans="1:14" ht="15.75" thickBot="1">
      <c r="D599" s="156"/>
      <c r="E599" s="156"/>
      <c r="F599" s="156"/>
      <c r="G599" s="156"/>
    </row>
    <row r="600" spans="1:14" ht="15.75" thickBot="1">
      <c r="A600" s="20" t="s">
        <v>1057</v>
      </c>
      <c r="B600" s="152" t="s">
        <v>136</v>
      </c>
      <c r="C600" s="152" t="s">
        <v>137</v>
      </c>
      <c r="D600" s="231" t="s">
        <v>125</v>
      </c>
      <c r="E600" s="232" t="s">
        <v>142</v>
      </c>
      <c r="F600" s="231" t="s">
        <v>123</v>
      </c>
      <c r="G600" s="231" t="s">
        <v>124</v>
      </c>
      <c r="H600" s="153" t="s">
        <v>245</v>
      </c>
      <c r="I600" s="148" t="s">
        <v>205</v>
      </c>
      <c r="J600" s="143">
        <f ca="1">IFERROR(IF(AND(J601:J605),0,1),0)</f>
        <v>1</v>
      </c>
      <c r="K600" s="219" t="s">
        <v>2353</v>
      </c>
      <c r="L600" s="50" t="s">
        <v>1086</v>
      </c>
      <c r="M600" s="154">
        <f>IFERROR(VLOOKUP($A600,$P$6:$S$1048576,3,0),0)</f>
        <v>0</v>
      </c>
      <c r="N600" s="154">
        <f>IFERROR(VLOOKUP($A600,$P$6:$S$1048576,4,0),0)</f>
        <v>0</v>
      </c>
    </row>
    <row r="601" spans="1:14">
      <c r="B601" s="6" t="str">
        <f t="shared" ref="B601:B605" si="119">DEC2HEX(C601)</f>
        <v>0</v>
      </c>
      <c r="C601" s="6">
        <v>0</v>
      </c>
      <c r="D601" s="227"/>
      <c r="E601" s="227" t="s">
        <v>141</v>
      </c>
      <c r="F601" s="90" t="s">
        <v>146</v>
      </c>
      <c r="G601" s="90" t="s">
        <v>457</v>
      </c>
      <c r="H601" s="48" t="s">
        <v>146</v>
      </c>
      <c r="I601" s="60" t="s">
        <v>231</v>
      </c>
      <c r="J601" s="79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9"/>
        <v>1</v>
      </c>
      <c r="C602" s="6">
        <f>C601+1</f>
        <v>1</v>
      </c>
      <c r="D602" s="227"/>
      <c r="E602" s="227" t="s">
        <v>395</v>
      </c>
      <c r="F602" s="90" t="s">
        <v>295</v>
      </c>
      <c r="G602" s="90"/>
      <c r="H602" s="75" t="s">
        <v>115</v>
      </c>
      <c r="I602" s="75">
        <v>0</v>
      </c>
      <c r="J602" s="81" t="b" cm="1">
        <f t="array" aca="1" ref="J602" ca="1">INDIRECT(H602)=I602</f>
        <v>0</v>
      </c>
      <c r="K602" s="6"/>
      <c r="L602" s="6"/>
      <c r="M602" s="6"/>
      <c r="N602" s="6"/>
    </row>
    <row r="603" spans="1:14">
      <c r="B603" s="6" t="str">
        <f t="shared" si="119"/>
        <v>2</v>
      </c>
      <c r="C603" s="6">
        <f t="shared" ref="C603:C605" si="120">C602+1</f>
        <v>2</v>
      </c>
      <c r="D603" s="227"/>
      <c r="E603" s="227" t="s">
        <v>52</v>
      </c>
      <c r="F603" s="90"/>
      <c r="G603" s="90"/>
      <c r="H603" s="6"/>
      <c r="I603" s="49"/>
      <c r="J603" s="6"/>
      <c r="K603" s="6"/>
      <c r="L603" s="6"/>
      <c r="M603" s="6"/>
      <c r="N603" s="6"/>
    </row>
    <row r="604" spans="1:14">
      <c r="B604" s="6" t="str">
        <f t="shared" si="119"/>
        <v>3</v>
      </c>
      <c r="C604" s="6">
        <f t="shared" si="120"/>
        <v>3</v>
      </c>
      <c r="D604" s="227"/>
      <c r="E604" s="227" t="s">
        <v>184</v>
      </c>
      <c r="F604" s="90"/>
      <c r="G604" s="90"/>
      <c r="H604" s="6"/>
      <c r="I604" s="49"/>
      <c r="J604" s="6"/>
      <c r="K604" s="6"/>
      <c r="L604" s="6"/>
      <c r="M604" s="6"/>
      <c r="N604" s="6"/>
    </row>
    <row r="605" spans="1:14">
      <c r="B605" s="6" t="str">
        <f t="shared" si="119"/>
        <v>4</v>
      </c>
      <c r="C605" s="6">
        <f t="shared" si="120"/>
        <v>4</v>
      </c>
      <c r="D605" s="227"/>
      <c r="E605" s="227"/>
      <c r="F605" s="90"/>
      <c r="G605" s="90"/>
      <c r="H605" s="6"/>
      <c r="I605" s="49"/>
      <c r="J605" s="6"/>
      <c r="K605" s="6"/>
      <c r="L605" s="6"/>
      <c r="M605" s="6"/>
      <c r="N605" s="6"/>
    </row>
    <row r="606" spans="1:14" ht="15.75" thickBot="1">
      <c r="D606" s="156"/>
      <c r="E606" s="156"/>
      <c r="F606" s="156"/>
      <c r="G606" s="156"/>
    </row>
    <row r="607" spans="1:14" ht="15.75" thickBot="1">
      <c r="A607" s="20" t="s">
        <v>1058</v>
      </c>
      <c r="B607" s="152" t="s">
        <v>136</v>
      </c>
      <c r="C607" s="152" t="s">
        <v>137</v>
      </c>
      <c r="D607" s="231" t="s">
        <v>125</v>
      </c>
      <c r="E607" s="232" t="s">
        <v>142</v>
      </c>
      <c r="F607" s="231" t="s">
        <v>123</v>
      </c>
      <c r="G607" s="231" t="s">
        <v>124</v>
      </c>
      <c r="H607" s="153" t="s">
        <v>245</v>
      </c>
      <c r="I607" s="148" t="s">
        <v>205</v>
      </c>
      <c r="J607" s="143">
        <f ca="1">IFERROR(IF(AND(J608:J612),0,1),0)</f>
        <v>1</v>
      </c>
      <c r="K607" s="219" t="s">
        <v>2353</v>
      </c>
      <c r="L607" s="50" t="s">
        <v>1087</v>
      </c>
      <c r="M607" s="154">
        <f>IFERROR(VLOOKUP($A607,$P$6:$S$1048576,3,0),0)</f>
        <v>0</v>
      </c>
      <c r="N607" s="154">
        <f>IFERROR(VLOOKUP($A607,$P$6:$S$1048576,4,0),0)</f>
        <v>0</v>
      </c>
    </row>
    <row r="608" spans="1:14">
      <c r="B608" s="6" t="str">
        <f t="shared" ref="B608:B612" si="121">DEC2HEX(C608)</f>
        <v>0</v>
      </c>
      <c r="C608" s="6">
        <v>0</v>
      </c>
      <c r="D608" s="227"/>
      <c r="E608" s="227" t="s">
        <v>141</v>
      </c>
      <c r="F608" s="90" t="s">
        <v>146</v>
      </c>
      <c r="G608" s="90" t="s">
        <v>358</v>
      </c>
      <c r="H608" s="6" t="s">
        <v>146</v>
      </c>
      <c r="I608" s="49" t="s">
        <v>358</v>
      </c>
      <c r="J608" s="79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21"/>
        <v>1</v>
      </c>
      <c r="C609" s="6">
        <f>C608+1</f>
        <v>1</v>
      </c>
      <c r="D609" s="227"/>
      <c r="E609" s="227" t="s">
        <v>863</v>
      </c>
      <c r="F609" s="90" t="s">
        <v>1088</v>
      </c>
      <c r="G609" s="90"/>
      <c r="H609" s="75"/>
      <c r="I609" s="75"/>
      <c r="J609" s="6"/>
      <c r="K609" s="6"/>
      <c r="L609" s="6"/>
      <c r="M609" s="6"/>
      <c r="N609" s="6"/>
    </row>
    <row r="610" spans="1:14">
      <c r="B610" s="6" t="str">
        <f t="shared" si="121"/>
        <v>2</v>
      </c>
      <c r="C610" s="6">
        <f t="shared" ref="C610:C612" si="122">C609+1</f>
        <v>2</v>
      </c>
      <c r="D610" s="227"/>
      <c r="E610" s="227" t="s">
        <v>141</v>
      </c>
      <c r="F610" s="90" t="s">
        <v>146</v>
      </c>
      <c r="G610" s="90" t="s">
        <v>215</v>
      </c>
      <c r="H610" s="6"/>
      <c r="I610" s="49"/>
      <c r="J610" s="6"/>
      <c r="K610" s="6"/>
      <c r="L610" s="6"/>
      <c r="M610" s="6"/>
      <c r="N610" s="6"/>
    </row>
    <row r="611" spans="1:14">
      <c r="B611" s="6" t="str">
        <f t="shared" si="121"/>
        <v>3</v>
      </c>
      <c r="C611" s="6">
        <f t="shared" si="122"/>
        <v>3</v>
      </c>
      <c r="D611" s="227"/>
      <c r="E611" s="227" t="s">
        <v>864</v>
      </c>
      <c r="F611" s="90" t="s">
        <v>1088</v>
      </c>
      <c r="G611" s="90"/>
      <c r="H611" s="6"/>
      <c r="I611" s="49"/>
      <c r="J611" s="6"/>
      <c r="K611" s="6"/>
      <c r="L611" s="6"/>
      <c r="M611" s="6"/>
      <c r="N611" s="6"/>
    </row>
    <row r="612" spans="1:14">
      <c r="B612" s="6" t="str">
        <f t="shared" si="121"/>
        <v>4</v>
      </c>
      <c r="C612" s="6">
        <f t="shared" si="122"/>
        <v>4</v>
      </c>
      <c r="D612" s="227"/>
      <c r="E612" s="227" t="s">
        <v>184</v>
      </c>
      <c r="F612" s="90"/>
      <c r="G612" s="90"/>
      <c r="H612" s="6"/>
      <c r="I612" s="49"/>
      <c r="J612" s="6"/>
      <c r="K612" s="6"/>
      <c r="L612" s="6"/>
      <c r="M612" s="6"/>
      <c r="N612" s="6"/>
    </row>
    <row r="613" spans="1:14" ht="15.75" thickBot="1">
      <c r="D613" s="156"/>
      <c r="E613" s="156"/>
      <c r="F613" s="156"/>
      <c r="G613" s="156"/>
    </row>
    <row r="614" spans="1:14" ht="15.75" thickBot="1">
      <c r="A614" s="20" t="s">
        <v>1059</v>
      </c>
      <c r="B614" s="152" t="s">
        <v>136</v>
      </c>
      <c r="C614" s="152" t="s">
        <v>137</v>
      </c>
      <c r="D614" s="231" t="s">
        <v>125</v>
      </c>
      <c r="E614" s="232" t="s">
        <v>142</v>
      </c>
      <c r="F614" s="231" t="s">
        <v>123</v>
      </c>
      <c r="G614" s="231" t="s">
        <v>124</v>
      </c>
      <c r="H614" s="153" t="s">
        <v>245</v>
      </c>
      <c r="I614" s="148" t="s">
        <v>205</v>
      </c>
      <c r="J614" s="143">
        <f ca="1">IFERROR(IF(AND(J615:J619),0,1),0)</f>
        <v>0</v>
      </c>
      <c r="K614" s="219" t="s">
        <v>2353</v>
      </c>
      <c r="L614" s="50" t="s">
        <v>1089</v>
      </c>
      <c r="M614" s="154">
        <f>IFERROR(VLOOKUP($A614,$P$6:$S$1048576,3,0),0)</f>
        <v>0</v>
      </c>
      <c r="N614" s="154">
        <f>IFERROR(VLOOKUP($A614,$P$6:$S$1048576,4,0),0)</f>
        <v>0</v>
      </c>
    </row>
    <row r="615" spans="1:14">
      <c r="B615" s="6" t="str">
        <f t="shared" ref="B615:B619" si="123">DEC2HEX(C615)</f>
        <v>0</v>
      </c>
      <c r="C615" s="6">
        <v>0</v>
      </c>
      <c r="D615" s="227"/>
      <c r="E615" s="227" t="s">
        <v>289</v>
      </c>
      <c r="F615" s="90" t="s">
        <v>303</v>
      </c>
      <c r="G615" s="90" t="s">
        <v>476</v>
      </c>
      <c r="H615" s="6"/>
      <c r="I615" s="49"/>
      <c r="J615" s="6"/>
      <c r="K615" s="6"/>
      <c r="L615" s="6"/>
      <c r="M615" s="6"/>
      <c r="N615" s="6"/>
    </row>
    <row r="616" spans="1:14">
      <c r="B616" s="6" t="str">
        <f t="shared" si="123"/>
        <v>1</v>
      </c>
      <c r="C616" s="6">
        <f>C615+1</f>
        <v>1</v>
      </c>
      <c r="D616" s="227"/>
      <c r="E616" s="227" t="s">
        <v>861</v>
      </c>
      <c r="F616" s="90" t="s">
        <v>338</v>
      </c>
      <c r="G616" s="90"/>
      <c r="H616" s="75"/>
      <c r="I616" s="75"/>
      <c r="J616" s="6"/>
      <c r="K616" s="6"/>
      <c r="L616" s="6"/>
      <c r="M616" s="6"/>
      <c r="N616" s="6"/>
    </row>
    <row r="617" spans="1:14">
      <c r="B617" s="6" t="str">
        <f t="shared" si="123"/>
        <v>2</v>
      </c>
      <c r="C617" s="6">
        <f t="shared" ref="C617:C619" si="124">C616+1</f>
        <v>2</v>
      </c>
      <c r="D617" s="227"/>
      <c r="E617" s="227" t="s">
        <v>289</v>
      </c>
      <c r="F617" s="90" t="s">
        <v>303</v>
      </c>
      <c r="G617" s="90" t="s">
        <v>1090</v>
      </c>
      <c r="H617" s="6"/>
      <c r="I617" s="49"/>
      <c r="J617" s="6"/>
      <c r="K617" s="6"/>
      <c r="L617" s="6"/>
      <c r="M617" s="6"/>
      <c r="N617" s="6"/>
    </row>
    <row r="618" spans="1:14">
      <c r="B618" s="6" t="str">
        <f t="shared" si="123"/>
        <v>3</v>
      </c>
      <c r="C618" s="6">
        <f t="shared" si="124"/>
        <v>3</v>
      </c>
      <c r="D618" s="227"/>
      <c r="E618" s="227" t="s">
        <v>862</v>
      </c>
      <c r="F618" s="90" t="s">
        <v>338</v>
      </c>
      <c r="G618" s="90"/>
      <c r="H618" s="6" t="s">
        <v>303</v>
      </c>
      <c r="I618" s="49" t="s">
        <v>458</v>
      </c>
      <c r="J618" s="79" t="e" cm="1">
        <f t="array" aca="1" ref="J618" ca="1">RIGHT("00"&amp;INDIRECT("R_"&amp;H618),2)=RIGHT("00"&amp;I618,2)</f>
        <v>#REF!</v>
      </c>
      <c r="K618" s="6"/>
      <c r="L618" s="6"/>
      <c r="M618" s="6"/>
      <c r="N618" s="6"/>
    </row>
    <row r="619" spans="1:14">
      <c r="B619" s="6" t="str">
        <f t="shared" si="123"/>
        <v>4</v>
      </c>
      <c r="C619" s="6">
        <f t="shared" si="124"/>
        <v>4</v>
      </c>
      <c r="D619" s="227"/>
      <c r="E619" s="227" t="s">
        <v>184</v>
      </c>
      <c r="F619" s="90"/>
      <c r="G619" s="90"/>
      <c r="H619" s="6" t="s">
        <v>327</v>
      </c>
      <c r="I619" s="49" t="s">
        <v>459</v>
      </c>
      <c r="J619" s="79" t="e" cm="1">
        <f t="array" aca="1" ref="J619" ca="1">RIGHT("00"&amp;INDIRECT("R_"&amp;H619),2)=RIGHT("00"&amp;I619,2)</f>
        <v>#REF!</v>
      </c>
      <c r="K619" s="6"/>
      <c r="L619" s="6"/>
      <c r="M619" s="6"/>
      <c r="N619" s="6"/>
    </row>
    <row r="620" spans="1:14" ht="15.75" thickBot="1">
      <c r="D620" s="156"/>
      <c r="E620" s="156"/>
      <c r="F620" s="156"/>
      <c r="G620" s="156"/>
    </row>
    <row r="621" spans="1:14" ht="15.75" thickBot="1">
      <c r="A621" s="20" t="s">
        <v>1060</v>
      </c>
      <c r="B621" s="152" t="s">
        <v>136</v>
      </c>
      <c r="C621" s="152" t="s">
        <v>137</v>
      </c>
      <c r="D621" s="231" t="s">
        <v>125</v>
      </c>
      <c r="E621" s="232" t="s">
        <v>142</v>
      </c>
      <c r="F621" s="231" t="s">
        <v>123</v>
      </c>
      <c r="G621" s="231" t="s">
        <v>124</v>
      </c>
      <c r="H621" s="153" t="s">
        <v>245</v>
      </c>
      <c r="I621" s="148" t="s">
        <v>205</v>
      </c>
      <c r="J621" s="143">
        <f ca="1">IFERROR(IF(AND(J622:J627),0,1),0)</f>
        <v>1</v>
      </c>
      <c r="K621" s="219" t="s">
        <v>2353</v>
      </c>
      <c r="L621" s="50" t="s">
        <v>1091</v>
      </c>
      <c r="M621" s="154">
        <f>IFERROR(VLOOKUP($A621,$P$6:$S$1048576,3,0),0)</f>
        <v>0</v>
      </c>
      <c r="N621" s="154">
        <f>IFERROR(VLOOKUP($A621,$P$6:$S$1048576,4,0),0)</f>
        <v>0</v>
      </c>
    </row>
    <row r="622" spans="1:14">
      <c r="B622" s="6" t="str">
        <f t="shared" ref="B622:B626" si="125">DEC2HEX(C622)</f>
        <v>0</v>
      </c>
      <c r="C622" s="6">
        <v>0</v>
      </c>
      <c r="D622" s="227"/>
      <c r="E622" s="227" t="s">
        <v>289</v>
      </c>
      <c r="F622" s="90" t="s">
        <v>144</v>
      </c>
      <c r="G622" s="90" t="s">
        <v>1088</v>
      </c>
      <c r="H622" s="6"/>
      <c r="I622" s="49"/>
      <c r="J622" s="6"/>
      <c r="K622" s="6"/>
      <c r="L622" s="6"/>
      <c r="M622" s="6"/>
      <c r="N622" s="6"/>
    </row>
    <row r="623" spans="1:14">
      <c r="B623" s="6" t="str">
        <f t="shared" si="125"/>
        <v>1</v>
      </c>
      <c r="C623" s="6">
        <f>C622+1</f>
        <v>1</v>
      </c>
      <c r="D623" s="227"/>
      <c r="E623" s="227" t="s">
        <v>141</v>
      </c>
      <c r="F623" s="90" t="s">
        <v>146</v>
      </c>
      <c r="G623" s="90" t="s">
        <v>180</v>
      </c>
      <c r="H623" s="6"/>
      <c r="I623" s="49"/>
      <c r="J623" s="6"/>
      <c r="K623" s="6"/>
      <c r="L623" s="6"/>
      <c r="M623" s="6"/>
      <c r="N623" s="6"/>
    </row>
    <row r="624" spans="1:14">
      <c r="B624" s="6" t="str">
        <f t="shared" si="125"/>
        <v>2</v>
      </c>
      <c r="C624" s="6">
        <f t="shared" ref="C624:C627" si="126">C623+1</f>
        <v>2</v>
      </c>
      <c r="D624" s="227"/>
      <c r="E624" s="227" t="s">
        <v>859</v>
      </c>
      <c r="F624" s="90" t="s">
        <v>144</v>
      </c>
      <c r="G624" s="90"/>
      <c r="H624" s="6"/>
      <c r="I624" s="49"/>
      <c r="J624" s="6"/>
      <c r="K624" s="6"/>
      <c r="L624" s="6"/>
      <c r="M624" s="6"/>
      <c r="N624" s="6"/>
    </row>
    <row r="625" spans="1:14">
      <c r="B625" s="6" t="str">
        <f t="shared" si="125"/>
        <v>3</v>
      </c>
      <c r="C625" s="6">
        <f t="shared" si="126"/>
        <v>3</v>
      </c>
      <c r="D625" s="227"/>
      <c r="E625" s="227" t="s">
        <v>141</v>
      </c>
      <c r="F625" s="90" t="s">
        <v>146</v>
      </c>
      <c r="G625" s="90" t="s">
        <v>215</v>
      </c>
      <c r="H625" s="6"/>
      <c r="I625" s="49"/>
      <c r="J625" s="6"/>
      <c r="K625" s="6"/>
      <c r="L625" s="6"/>
      <c r="M625" s="6"/>
      <c r="N625" s="6"/>
    </row>
    <row r="626" spans="1:14">
      <c r="B626" s="6" t="str">
        <f t="shared" si="125"/>
        <v>4</v>
      </c>
      <c r="C626" s="6">
        <f t="shared" si="126"/>
        <v>4</v>
      </c>
      <c r="D626" s="227"/>
      <c r="E626" s="227" t="s">
        <v>860</v>
      </c>
      <c r="F626" s="90" t="s">
        <v>144</v>
      </c>
      <c r="G626" s="90"/>
      <c r="H626" s="6" t="s">
        <v>146</v>
      </c>
      <c r="I626" s="49" t="s">
        <v>180</v>
      </c>
      <c r="J626" s="79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7">DEC2HEX(C627)</f>
        <v>5</v>
      </c>
      <c r="C627" s="6">
        <f t="shared" si="126"/>
        <v>5</v>
      </c>
      <c r="D627" s="227"/>
      <c r="E627" s="227" t="s">
        <v>184</v>
      </c>
      <c r="F627" s="90"/>
      <c r="G627" s="90"/>
      <c r="H627" s="6"/>
      <c r="I627" s="49"/>
      <c r="J627" s="6"/>
      <c r="K627" s="6"/>
      <c r="L627" s="6"/>
      <c r="M627" s="6"/>
      <c r="N627" s="6"/>
    </row>
    <row r="628" spans="1:14" ht="15.75" thickBot="1">
      <c r="D628" s="156"/>
      <c r="E628" s="156"/>
      <c r="F628" s="156"/>
      <c r="G628" s="156"/>
    </row>
    <row r="629" spans="1:14" ht="15.75" thickBot="1">
      <c r="A629" s="20" t="s">
        <v>1061</v>
      </c>
      <c r="B629" s="152" t="s">
        <v>136</v>
      </c>
      <c r="C629" s="152" t="s">
        <v>137</v>
      </c>
      <c r="D629" s="231" t="s">
        <v>125</v>
      </c>
      <c r="E629" s="232" t="s">
        <v>142</v>
      </c>
      <c r="F629" s="231" t="s">
        <v>123</v>
      </c>
      <c r="G629" s="231" t="s">
        <v>124</v>
      </c>
      <c r="H629" s="153" t="s">
        <v>245</v>
      </c>
      <c r="I629" s="148" t="s">
        <v>205</v>
      </c>
      <c r="J629" s="143">
        <f ca="1">IFERROR(IF(AND(J630:J635),0,1),0)</f>
        <v>1</v>
      </c>
      <c r="K629" s="219" t="s">
        <v>2353</v>
      </c>
      <c r="L629" s="50" t="s">
        <v>1092</v>
      </c>
      <c r="M629" s="154">
        <f>IFERROR(VLOOKUP($A629,$P$6:$S$1048576,3,0),0)</f>
        <v>0</v>
      </c>
      <c r="N629" s="154">
        <f>IFERROR(VLOOKUP($A629,$P$6:$S$1048576,4,0),0)</f>
        <v>0</v>
      </c>
    </row>
    <row r="630" spans="1:14">
      <c r="B630" s="6" t="str">
        <f t="shared" ref="B630:B631" si="128">DEC2HEX(C630)</f>
        <v>0</v>
      </c>
      <c r="C630" s="6">
        <v>0</v>
      </c>
      <c r="D630" s="227"/>
      <c r="E630" s="227" t="s">
        <v>289</v>
      </c>
      <c r="F630" s="90" t="s">
        <v>183</v>
      </c>
      <c r="G630" s="90" t="s">
        <v>1093</v>
      </c>
      <c r="H630" s="6"/>
      <c r="I630" s="49"/>
      <c r="J630" s="6"/>
      <c r="K630" s="6"/>
      <c r="L630" s="6"/>
      <c r="M630" s="6"/>
      <c r="N630" s="6"/>
    </row>
    <row r="631" spans="1:14">
      <c r="B631" s="6" t="str">
        <f t="shared" si="128"/>
        <v>1</v>
      </c>
      <c r="C631" s="6">
        <f>C630+1</f>
        <v>1</v>
      </c>
      <c r="D631" s="227"/>
      <c r="E631" s="227" t="s">
        <v>141</v>
      </c>
      <c r="F631" s="90" t="s">
        <v>146</v>
      </c>
      <c r="G631" s="90" t="s">
        <v>185</v>
      </c>
      <c r="H631" s="6"/>
      <c r="I631" s="49"/>
      <c r="J631" s="6"/>
      <c r="K631" s="6"/>
      <c r="L631" s="6"/>
      <c r="M631" s="6"/>
      <c r="N631" s="6"/>
    </row>
    <row r="632" spans="1:14">
      <c r="B632" s="6" t="str">
        <f t="shared" ref="B632:B635" si="129">DEC2HEX(C632)</f>
        <v>2</v>
      </c>
      <c r="C632" s="6">
        <f t="shared" ref="C632:C635" si="130">C631+1</f>
        <v>2</v>
      </c>
      <c r="D632" s="227"/>
      <c r="E632" s="227" t="s">
        <v>859</v>
      </c>
      <c r="F632" s="90" t="s">
        <v>183</v>
      </c>
      <c r="G632" s="90"/>
      <c r="H632" s="6"/>
      <c r="I632" s="49"/>
      <c r="J632" s="6"/>
      <c r="K632" s="6"/>
      <c r="L632" s="6"/>
      <c r="M632" s="6"/>
      <c r="N632" s="6"/>
    </row>
    <row r="633" spans="1:14">
      <c r="B633" s="6" t="str">
        <f t="shared" si="129"/>
        <v>3</v>
      </c>
      <c r="C633" s="6">
        <f t="shared" si="130"/>
        <v>3</v>
      </c>
      <c r="D633" s="227"/>
      <c r="E633" s="227" t="s">
        <v>141</v>
      </c>
      <c r="F633" s="90" t="s">
        <v>146</v>
      </c>
      <c r="G633" s="90" t="s">
        <v>215</v>
      </c>
      <c r="H633" s="6"/>
      <c r="I633" s="49"/>
      <c r="J633" s="6"/>
      <c r="K633" s="6"/>
      <c r="L633" s="6"/>
      <c r="M633" s="6"/>
      <c r="N633" s="6"/>
    </row>
    <row r="634" spans="1:14">
      <c r="B634" s="6" t="str">
        <f t="shared" si="129"/>
        <v>4</v>
      </c>
      <c r="C634" s="6">
        <f t="shared" si="130"/>
        <v>4</v>
      </c>
      <c r="D634" s="227"/>
      <c r="E634" s="227" t="s">
        <v>860</v>
      </c>
      <c r="F634" s="90" t="s">
        <v>183</v>
      </c>
      <c r="G634" s="90"/>
      <c r="H634" s="6" t="s">
        <v>146</v>
      </c>
      <c r="I634" s="49" t="s">
        <v>185</v>
      </c>
      <c r="J634" s="79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9"/>
        <v>5</v>
      </c>
      <c r="C635" s="6">
        <f t="shared" si="130"/>
        <v>5</v>
      </c>
      <c r="D635" s="227"/>
      <c r="E635" s="227" t="s">
        <v>184</v>
      </c>
      <c r="F635" s="90"/>
      <c r="G635" s="90"/>
      <c r="H635" s="6"/>
      <c r="I635" s="49"/>
      <c r="J635" s="6"/>
      <c r="K635" s="6"/>
      <c r="L635" s="6"/>
      <c r="M635" s="6"/>
      <c r="N635" s="6"/>
    </row>
    <row r="636" spans="1:14" ht="15.75" thickBot="1">
      <c r="D636" s="156"/>
      <c r="E636" s="156"/>
      <c r="F636" s="156"/>
      <c r="G636" s="156"/>
    </row>
    <row r="637" spans="1:14" ht="15.75" thickBot="1">
      <c r="A637" s="20" t="s">
        <v>1062</v>
      </c>
      <c r="B637" s="152" t="s">
        <v>136</v>
      </c>
      <c r="C637" s="152" t="s">
        <v>137</v>
      </c>
      <c r="D637" s="231" t="s">
        <v>125</v>
      </c>
      <c r="E637" s="232" t="s">
        <v>142</v>
      </c>
      <c r="F637" s="231" t="s">
        <v>123</v>
      </c>
      <c r="G637" s="231" t="s">
        <v>124</v>
      </c>
      <c r="H637" s="153" t="s">
        <v>245</v>
      </c>
      <c r="I637" s="148" t="s">
        <v>205</v>
      </c>
      <c r="J637" s="143">
        <f ca="1">IFERROR(IF(AND(J638:J647),0,1),0)</f>
        <v>0</v>
      </c>
      <c r="K637" s="219" t="s">
        <v>2353</v>
      </c>
      <c r="L637" s="50" t="s">
        <v>1094</v>
      </c>
      <c r="M637" s="154">
        <f>IFERROR(VLOOKUP($A637,$P$6:$S$1048576,3,0),0)</f>
        <v>0</v>
      </c>
      <c r="N637" s="154">
        <f>IFERROR(VLOOKUP($A637,$P$6:$S$1048576,4,0),0)</f>
        <v>0</v>
      </c>
    </row>
    <row r="638" spans="1:14">
      <c r="B638" s="6" t="str">
        <f t="shared" ref="B638:B643" si="131">DEC2HEX(C638)</f>
        <v>0</v>
      </c>
      <c r="C638" s="6">
        <v>0</v>
      </c>
      <c r="D638" s="227"/>
      <c r="E638" s="227" t="s">
        <v>289</v>
      </c>
      <c r="F638" s="90" t="s">
        <v>114</v>
      </c>
      <c r="G638" s="90" t="s">
        <v>338</v>
      </c>
      <c r="H638" s="6"/>
      <c r="I638" s="49"/>
      <c r="J638" s="6"/>
      <c r="K638" s="6"/>
      <c r="L638" s="6"/>
      <c r="M638" s="6"/>
      <c r="N638" s="6"/>
    </row>
    <row r="639" spans="1:14">
      <c r="B639" s="6" t="str">
        <f t="shared" si="131"/>
        <v>1</v>
      </c>
      <c r="C639" s="6">
        <f>C638+1</f>
        <v>1</v>
      </c>
      <c r="D639" s="227"/>
      <c r="E639" s="227" t="s">
        <v>289</v>
      </c>
      <c r="F639" s="90" t="s">
        <v>303</v>
      </c>
      <c r="G639" s="90" t="s">
        <v>338</v>
      </c>
      <c r="H639" s="6"/>
      <c r="I639" s="49"/>
      <c r="J639" s="6"/>
      <c r="K639" s="6"/>
      <c r="L639" s="6"/>
      <c r="M639" s="6"/>
      <c r="N639" s="6"/>
    </row>
    <row r="640" spans="1:14">
      <c r="B640" s="6" t="str">
        <f t="shared" si="131"/>
        <v>2</v>
      </c>
      <c r="C640" s="6">
        <f t="shared" ref="C640:C643" si="132">C639+1</f>
        <v>2</v>
      </c>
      <c r="D640" s="227"/>
      <c r="E640" s="227" t="s">
        <v>141</v>
      </c>
      <c r="F640" s="90" t="s">
        <v>577</v>
      </c>
      <c r="G640" s="90" t="s">
        <v>459</v>
      </c>
      <c r="H640" s="6"/>
      <c r="I640" s="49"/>
      <c r="J640" s="6"/>
      <c r="K640" s="6"/>
      <c r="L640" s="6"/>
      <c r="M640" s="6"/>
      <c r="N640" s="6"/>
    </row>
    <row r="641" spans="1:14">
      <c r="B641" s="6" t="str">
        <f t="shared" si="131"/>
        <v>3</v>
      </c>
      <c r="C641" s="6">
        <f t="shared" si="132"/>
        <v>3</v>
      </c>
      <c r="D641" s="227"/>
      <c r="E641" s="227" t="s">
        <v>461</v>
      </c>
      <c r="F641" s="90" t="s">
        <v>303</v>
      </c>
      <c r="G641" s="90"/>
      <c r="H641" s="6"/>
      <c r="I641" s="49"/>
      <c r="J641" s="6"/>
      <c r="K641" s="6"/>
      <c r="L641" s="6"/>
      <c r="M641" s="6"/>
      <c r="N641" s="6"/>
    </row>
    <row r="642" spans="1:14">
      <c r="B642" s="6" t="str">
        <f t="shared" si="131"/>
        <v>4</v>
      </c>
      <c r="C642" s="6">
        <f t="shared" si="132"/>
        <v>4</v>
      </c>
      <c r="D642" s="227"/>
      <c r="E642" s="227" t="s">
        <v>141</v>
      </c>
      <c r="F642" s="90" t="s">
        <v>577</v>
      </c>
      <c r="G642" s="90" t="s">
        <v>458</v>
      </c>
      <c r="H642" s="6"/>
      <c r="I642" s="49"/>
      <c r="J642" s="6"/>
      <c r="K642" s="6"/>
      <c r="L642" s="6"/>
      <c r="M642" s="6"/>
      <c r="N642" s="6"/>
    </row>
    <row r="643" spans="1:14">
      <c r="B643" s="6" t="str">
        <f t="shared" si="131"/>
        <v>5</v>
      </c>
      <c r="C643" s="6">
        <f t="shared" si="132"/>
        <v>5</v>
      </c>
      <c r="D643" s="227"/>
      <c r="E643" s="227" t="s">
        <v>289</v>
      </c>
      <c r="F643" s="90" t="s">
        <v>303</v>
      </c>
      <c r="G643" s="90" t="s">
        <v>1095</v>
      </c>
      <c r="H643" s="6"/>
      <c r="I643" s="49"/>
      <c r="J643" s="6"/>
      <c r="K643" s="6"/>
      <c r="L643" s="6"/>
      <c r="M643" s="6"/>
      <c r="N643" s="6"/>
    </row>
    <row r="644" spans="1:14">
      <c r="B644" s="6" t="str">
        <f t="shared" ref="B644:B645" si="133">DEC2HEX(C644)</f>
        <v>6</v>
      </c>
      <c r="C644" s="6">
        <f t="shared" ref="C644:C645" si="134">C643+1</f>
        <v>6</v>
      </c>
      <c r="D644" s="227"/>
      <c r="E644" s="227" t="s">
        <v>98</v>
      </c>
      <c r="F644" s="90"/>
      <c r="G644" s="90"/>
      <c r="H644" s="6" t="s">
        <v>303</v>
      </c>
      <c r="I644" s="49" t="s">
        <v>458</v>
      </c>
      <c r="J644" s="79" t="e" cm="1">
        <f t="array" aca="1" ref="J644" ca="1">RIGHT("00"&amp;INDIRECT("R_"&amp;H644),2)=RIGHT("00"&amp;I644,2)</f>
        <v>#REF!</v>
      </c>
      <c r="K644" s="6"/>
      <c r="L644" s="6"/>
      <c r="M644" s="6"/>
      <c r="N644" s="6"/>
    </row>
    <row r="645" spans="1:14">
      <c r="B645" s="6" t="str">
        <f t="shared" si="133"/>
        <v>7</v>
      </c>
      <c r="C645" s="6">
        <f t="shared" si="134"/>
        <v>7</v>
      </c>
      <c r="D645" s="227"/>
      <c r="E645" s="227" t="s">
        <v>184</v>
      </c>
      <c r="F645" s="90"/>
      <c r="G645" s="90"/>
      <c r="H645" s="6" t="s">
        <v>327</v>
      </c>
      <c r="I645" s="49" t="s">
        <v>459</v>
      </c>
      <c r="J645" s="79" t="e" cm="1">
        <f t="array" aca="1" ref="J645" ca="1">RIGHT("00"&amp;INDIRECT("R_"&amp;H645),2)=RIGHT("00"&amp;I645,2)</f>
        <v>#REF!</v>
      </c>
      <c r="K645" s="6"/>
      <c r="L645" s="6"/>
      <c r="M645" s="6"/>
      <c r="N645" s="6"/>
    </row>
    <row r="646" spans="1:14" ht="15.75" thickBot="1">
      <c r="D646" s="156"/>
      <c r="E646" s="156"/>
      <c r="F646" s="156"/>
      <c r="G646" s="156"/>
    </row>
    <row r="647" spans="1:14" ht="15.75" thickBot="1">
      <c r="A647" s="20" t="s">
        <v>1063</v>
      </c>
      <c r="B647" s="152" t="s">
        <v>136</v>
      </c>
      <c r="C647" s="152" t="s">
        <v>137</v>
      </c>
      <c r="D647" s="231" t="s">
        <v>125</v>
      </c>
      <c r="E647" s="232" t="s">
        <v>142</v>
      </c>
      <c r="F647" s="231" t="s">
        <v>123</v>
      </c>
      <c r="G647" s="231" t="s">
        <v>124</v>
      </c>
      <c r="H647" s="153" t="s">
        <v>245</v>
      </c>
      <c r="I647" s="148" t="s">
        <v>205</v>
      </c>
      <c r="J647" s="143">
        <f ca="1">IFERROR(IF(AND(J648:J653),0,1),0)</f>
        <v>1</v>
      </c>
      <c r="K647" s="219" t="s">
        <v>2353</v>
      </c>
      <c r="L647" s="50" t="s">
        <v>1096</v>
      </c>
      <c r="M647" s="154">
        <f>IFERROR(VLOOKUP($A647,$P$6:$S$1048576,3,0),0)</f>
        <v>0</v>
      </c>
      <c r="N647" s="154">
        <f>IFERROR(VLOOKUP($A647,$P$6:$S$1048576,4,0),0)</f>
        <v>0</v>
      </c>
    </row>
    <row r="648" spans="1:14">
      <c r="B648" s="6" t="str">
        <f t="shared" ref="B648:B653" si="135">DEC2HEX(C648)</f>
        <v>0</v>
      </c>
      <c r="C648" s="6">
        <v>0</v>
      </c>
      <c r="D648" s="227"/>
      <c r="E648" s="227" t="s">
        <v>141</v>
      </c>
      <c r="F648" s="90" t="s">
        <v>146</v>
      </c>
      <c r="G648" s="90" t="s">
        <v>215</v>
      </c>
      <c r="H648" s="6"/>
      <c r="I648" s="49"/>
      <c r="J648" s="6"/>
      <c r="K648" s="6"/>
      <c r="L648" s="6"/>
      <c r="M648" s="6"/>
      <c r="N648" s="6"/>
    </row>
    <row r="649" spans="1:14">
      <c r="B649" s="6" t="str">
        <f t="shared" si="135"/>
        <v>1</v>
      </c>
      <c r="C649" s="6">
        <f>C648+1</f>
        <v>1</v>
      </c>
      <c r="D649" s="227"/>
      <c r="E649" s="227" t="s">
        <v>72</v>
      </c>
      <c r="F649" s="90"/>
      <c r="G649" s="90"/>
      <c r="H649" s="6"/>
      <c r="I649" s="49"/>
      <c r="J649" s="6"/>
      <c r="K649" s="6"/>
      <c r="L649" s="6"/>
      <c r="M649" s="6"/>
      <c r="N649" s="6"/>
    </row>
    <row r="650" spans="1:14">
      <c r="B650" s="6" t="str">
        <f t="shared" si="135"/>
        <v>2</v>
      </c>
      <c r="C650" s="6">
        <f t="shared" ref="C650:C653" si="136">C649+1</f>
        <v>2</v>
      </c>
      <c r="D650" s="227"/>
      <c r="E650" s="227" t="s">
        <v>777</v>
      </c>
      <c r="F650" s="90" t="s">
        <v>430</v>
      </c>
      <c r="G650" s="90"/>
      <c r="H650" s="6"/>
      <c r="I650" s="49"/>
      <c r="J650" s="6"/>
      <c r="K650" s="6"/>
      <c r="L650" s="6"/>
      <c r="M650" s="6"/>
      <c r="N650" s="6"/>
    </row>
    <row r="651" spans="1:14">
      <c r="B651" s="6" t="str">
        <f t="shared" si="135"/>
        <v>3</v>
      </c>
      <c r="C651" s="6">
        <f t="shared" si="136"/>
        <v>3</v>
      </c>
      <c r="D651" s="227"/>
      <c r="E651" s="227" t="s">
        <v>184</v>
      </c>
      <c r="F651" s="90"/>
      <c r="G651" s="90"/>
      <c r="H651" s="6" t="s">
        <v>146</v>
      </c>
      <c r="I651" s="49" t="s">
        <v>140</v>
      </c>
      <c r="J651" s="79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5"/>
        <v>4</v>
      </c>
      <c r="C652" s="6">
        <f t="shared" si="136"/>
        <v>4</v>
      </c>
      <c r="D652" s="227" t="s">
        <v>430</v>
      </c>
      <c r="E652" s="227" t="s">
        <v>141</v>
      </c>
      <c r="F652" s="90" t="s">
        <v>146</v>
      </c>
      <c r="G652" s="90" t="s">
        <v>140</v>
      </c>
      <c r="H652" s="6"/>
      <c r="I652" s="49"/>
      <c r="J652" s="6"/>
      <c r="K652" s="6"/>
      <c r="L652" s="6"/>
      <c r="M652" s="6"/>
      <c r="N652" s="6"/>
    </row>
    <row r="653" spans="1:14">
      <c r="B653" s="6" t="str">
        <f t="shared" si="135"/>
        <v>5</v>
      </c>
      <c r="C653" s="6">
        <f t="shared" si="136"/>
        <v>5</v>
      </c>
      <c r="D653" s="227"/>
      <c r="E653" s="227" t="s">
        <v>84</v>
      </c>
      <c r="F653" s="90"/>
      <c r="G653" s="90"/>
      <c r="H653" s="6"/>
      <c r="I653" s="49"/>
      <c r="J653" s="6"/>
      <c r="K653" s="6"/>
      <c r="L653" s="6"/>
      <c r="M653" s="6"/>
      <c r="N653" s="6"/>
    </row>
    <row r="654" spans="1:14" ht="15.75" thickBot="1">
      <c r="D654" s="156"/>
      <c r="E654" s="156"/>
      <c r="F654" s="156"/>
      <c r="G654" s="156"/>
    </row>
    <row r="655" spans="1:14" ht="15.75" thickBot="1">
      <c r="A655" s="20" t="s">
        <v>1064</v>
      </c>
      <c r="B655" s="152" t="s">
        <v>136</v>
      </c>
      <c r="C655" s="152" t="s">
        <v>137</v>
      </c>
      <c r="D655" s="231" t="s">
        <v>125</v>
      </c>
      <c r="E655" s="232" t="s">
        <v>142</v>
      </c>
      <c r="F655" s="231" t="s">
        <v>123</v>
      </c>
      <c r="G655" s="231" t="s">
        <v>124</v>
      </c>
      <c r="H655" s="153" t="s">
        <v>245</v>
      </c>
      <c r="I655" s="148" t="s">
        <v>205</v>
      </c>
      <c r="J655" s="143">
        <f ca="1">IFERROR(IF(AND(J656:J661),0,1),0)</f>
        <v>1</v>
      </c>
      <c r="K655" s="219" t="s">
        <v>2353</v>
      </c>
      <c r="L655" s="50" t="s">
        <v>1097</v>
      </c>
      <c r="M655" s="154">
        <f>IFERROR(VLOOKUP($A655,$P$6:$S$1048576,3,0),0)</f>
        <v>0</v>
      </c>
      <c r="N655" s="154">
        <f>IFERROR(VLOOKUP($A655,$P$6:$S$1048576,4,0),0)</f>
        <v>0</v>
      </c>
    </row>
    <row r="656" spans="1:14">
      <c r="B656" s="6" t="str">
        <f t="shared" ref="B656:B661" si="137">DEC2HEX(C656)</f>
        <v>0</v>
      </c>
      <c r="C656" s="6">
        <v>0</v>
      </c>
      <c r="D656" s="227"/>
      <c r="E656" s="227" t="s">
        <v>141</v>
      </c>
      <c r="F656" s="90" t="s">
        <v>146</v>
      </c>
      <c r="G656" s="90" t="s">
        <v>215</v>
      </c>
      <c r="H656" s="6"/>
      <c r="I656" s="49"/>
      <c r="J656" s="6"/>
      <c r="K656" s="6"/>
      <c r="L656" s="6"/>
      <c r="M656" s="6"/>
      <c r="N656" s="6"/>
    </row>
    <row r="657" spans="1:14">
      <c r="B657" s="6" t="str">
        <f t="shared" si="137"/>
        <v>1</v>
      </c>
      <c r="C657" s="6">
        <f>C656+1</f>
        <v>1</v>
      </c>
      <c r="D657" s="227"/>
      <c r="E657" s="227" t="s">
        <v>262</v>
      </c>
      <c r="F657" s="90" t="s">
        <v>146</v>
      </c>
      <c r="G657" s="90"/>
      <c r="H657" s="6"/>
      <c r="I657" s="49"/>
      <c r="J657" s="6"/>
      <c r="K657" s="6"/>
      <c r="L657" s="6"/>
      <c r="M657" s="6"/>
      <c r="N657" s="6"/>
    </row>
    <row r="658" spans="1:14">
      <c r="B658" s="6" t="str">
        <f t="shared" si="137"/>
        <v>2</v>
      </c>
      <c r="C658" s="6">
        <f t="shared" ref="C658:C661" si="138">C657+1</f>
        <v>2</v>
      </c>
      <c r="D658" s="227"/>
      <c r="E658" s="227" t="s">
        <v>870</v>
      </c>
      <c r="F658" s="90" t="s">
        <v>430</v>
      </c>
      <c r="G658" s="90"/>
      <c r="H658" s="6"/>
      <c r="I658" s="49"/>
      <c r="J658" s="6"/>
      <c r="K658" s="6"/>
      <c r="L658" s="6"/>
      <c r="M658" s="6"/>
      <c r="N658" s="6"/>
    </row>
    <row r="659" spans="1:14">
      <c r="B659" s="6" t="str">
        <f t="shared" si="137"/>
        <v>3</v>
      </c>
      <c r="C659" s="6">
        <f t="shared" si="138"/>
        <v>3</v>
      </c>
      <c r="D659" s="227"/>
      <c r="E659" s="227" t="s">
        <v>184</v>
      </c>
      <c r="F659" s="90"/>
      <c r="G659" s="90"/>
      <c r="H659" s="6" t="s">
        <v>146</v>
      </c>
      <c r="I659" s="49" t="s">
        <v>140</v>
      </c>
      <c r="J659" s="79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7"/>
        <v>4</v>
      </c>
      <c r="C660" s="6">
        <f t="shared" si="138"/>
        <v>4</v>
      </c>
      <c r="D660" s="227" t="s">
        <v>430</v>
      </c>
      <c r="E660" s="227" t="s">
        <v>141</v>
      </c>
      <c r="F660" s="90" t="s">
        <v>146</v>
      </c>
      <c r="G660" s="90" t="s">
        <v>140</v>
      </c>
      <c r="H660" s="6"/>
      <c r="I660" s="49"/>
      <c r="J660" s="6"/>
      <c r="K660" s="6"/>
      <c r="L660" s="6"/>
      <c r="M660" s="6"/>
      <c r="N660" s="6"/>
    </row>
    <row r="661" spans="1:14">
      <c r="B661" s="6" t="str">
        <f t="shared" si="137"/>
        <v>5</v>
      </c>
      <c r="C661" s="6">
        <f t="shared" si="138"/>
        <v>5</v>
      </c>
      <c r="D661" s="227"/>
      <c r="E661" s="227" t="s">
        <v>84</v>
      </c>
      <c r="F661" s="90"/>
      <c r="G661" s="90"/>
      <c r="H661" s="6"/>
      <c r="I661" s="49"/>
      <c r="J661" s="6"/>
      <c r="K661" s="6"/>
      <c r="L661" s="6"/>
      <c r="M661" s="6"/>
      <c r="N661" s="6"/>
    </row>
    <row r="662" spans="1:14" ht="15.75" thickBot="1">
      <c r="D662" s="156"/>
      <c r="E662" s="156"/>
      <c r="F662" s="156"/>
      <c r="G662" s="156"/>
    </row>
    <row r="663" spans="1:14" ht="15.75" thickBot="1">
      <c r="A663" s="20" t="s">
        <v>1065</v>
      </c>
      <c r="B663" s="152" t="s">
        <v>136</v>
      </c>
      <c r="C663" s="152" t="s">
        <v>137</v>
      </c>
      <c r="D663" s="231" t="s">
        <v>125</v>
      </c>
      <c r="E663" s="232" t="s">
        <v>142</v>
      </c>
      <c r="F663" s="231" t="s">
        <v>123</v>
      </c>
      <c r="G663" s="231" t="s">
        <v>124</v>
      </c>
      <c r="H663" s="153" t="s">
        <v>245</v>
      </c>
      <c r="I663" s="148" t="s">
        <v>205</v>
      </c>
      <c r="J663" s="143">
        <f ca="1">IFERROR(IF(AND(J664:J670),0,1),0)</f>
        <v>1</v>
      </c>
      <c r="K663" s="219" t="s">
        <v>2353</v>
      </c>
      <c r="L663" s="50" t="s">
        <v>1098</v>
      </c>
      <c r="M663" s="154">
        <f>IFERROR(VLOOKUP($A663,$P$6:$S$1048576,3,0),0)</f>
        <v>0</v>
      </c>
      <c r="N663" s="154">
        <f>IFERROR(VLOOKUP($A663,$P$6:$S$1048576,4,0),0)</f>
        <v>0</v>
      </c>
    </row>
    <row r="664" spans="1:14">
      <c r="B664" s="6" t="str">
        <f t="shared" ref="B664:B669" si="139">DEC2HEX(C664)</f>
        <v>0</v>
      </c>
      <c r="C664" s="6">
        <v>0</v>
      </c>
      <c r="D664" s="227"/>
      <c r="E664" s="227" t="s">
        <v>141</v>
      </c>
      <c r="F664" s="90" t="s">
        <v>146</v>
      </c>
      <c r="G664" s="90" t="s">
        <v>215</v>
      </c>
      <c r="H664" s="6"/>
      <c r="I664" s="49"/>
      <c r="J664" s="6"/>
      <c r="K664" s="6"/>
      <c r="L664" s="6"/>
      <c r="M664" s="6"/>
      <c r="N664" s="6"/>
    </row>
    <row r="665" spans="1:14">
      <c r="B665" s="6" t="str">
        <f t="shared" si="139"/>
        <v>1</v>
      </c>
      <c r="C665" s="6">
        <f>C664+1</f>
        <v>1</v>
      </c>
      <c r="D665" s="227"/>
      <c r="E665" s="227" t="s">
        <v>141</v>
      </c>
      <c r="F665" s="90" t="s">
        <v>146</v>
      </c>
      <c r="G665" s="90" t="s">
        <v>295</v>
      </c>
      <c r="H665" s="6"/>
      <c r="I665" s="49"/>
      <c r="J665" s="6"/>
      <c r="K665" s="6"/>
      <c r="L665" s="6"/>
      <c r="M665" s="6"/>
      <c r="N665" s="6"/>
    </row>
    <row r="666" spans="1:14">
      <c r="B666" s="6" t="str">
        <f t="shared" si="139"/>
        <v>2</v>
      </c>
      <c r="C666" s="6">
        <f t="shared" ref="C666:C669" si="140">C665+1</f>
        <v>2</v>
      </c>
      <c r="D666" s="227"/>
      <c r="E666" s="227" t="s">
        <v>262</v>
      </c>
      <c r="F666" s="90" t="s">
        <v>146</v>
      </c>
      <c r="G666" s="90"/>
      <c r="H666" s="6"/>
      <c r="I666" s="49"/>
      <c r="J666" s="6"/>
      <c r="K666" s="6"/>
      <c r="L666" s="6"/>
      <c r="M666" s="6"/>
      <c r="N666" s="6"/>
    </row>
    <row r="667" spans="1:14">
      <c r="B667" s="6" t="str">
        <f t="shared" si="139"/>
        <v>3</v>
      </c>
      <c r="C667" s="6">
        <f t="shared" si="140"/>
        <v>3</v>
      </c>
      <c r="D667" s="227"/>
      <c r="E667" s="227" t="s">
        <v>866</v>
      </c>
      <c r="F667" s="90" t="s">
        <v>430</v>
      </c>
      <c r="G667" s="90"/>
      <c r="H667" s="6"/>
      <c r="I667" s="49"/>
      <c r="J667" s="6"/>
      <c r="K667" s="6"/>
      <c r="L667" s="6"/>
      <c r="M667" s="6"/>
      <c r="N667" s="6"/>
    </row>
    <row r="668" spans="1:14">
      <c r="B668" s="6" t="str">
        <f t="shared" si="139"/>
        <v>4</v>
      </c>
      <c r="C668" s="6">
        <f t="shared" si="140"/>
        <v>4</v>
      </c>
      <c r="D668" s="227"/>
      <c r="E668" s="227" t="s">
        <v>184</v>
      </c>
      <c r="F668" s="90"/>
      <c r="G668" s="90"/>
      <c r="H668" s="6" t="s">
        <v>146</v>
      </c>
      <c r="I668" s="49" t="s">
        <v>140</v>
      </c>
      <c r="J668" s="79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9"/>
        <v>5</v>
      </c>
      <c r="C669" s="6">
        <f t="shared" si="140"/>
        <v>5</v>
      </c>
      <c r="D669" s="227" t="s">
        <v>430</v>
      </c>
      <c r="E669" s="227" t="s">
        <v>141</v>
      </c>
      <c r="F669" s="90" t="s">
        <v>146</v>
      </c>
      <c r="G669" s="90" t="s">
        <v>140</v>
      </c>
      <c r="H669" s="6"/>
      <c r="I669" s="49"/>
      <c r="J669" s="6"/>
      <c r="K669" s="6"/>
      <c r="L669" s="6"/>
      <c r="M669" s="6"/>
      <c r="N669" s="6"/>
    </row>
    <row r="670" spans="1:14">
      <c r="B670" s="6" t="str">
        <f t="shared" ref="B670" si="141">DEC2HEX(C670)</f>
        <v>6</v>
      </c>
      <c r="C670" s="6">
        <f t="shared" ref="C670" si="142">C669+1</f>
        <v>6</v>
      </c>
      <c r="D670" s="227"/>
      <c r="E670" s="227" t="s">
        <v>84</v>
      </c>
      <c r="F670" s="90"/>
      <c r="G670" s="90"/>
      <c r="H670" s="6"/>
      <c r="I670" s="49"/>
      <c r="J670" s="6"/>
      <c r="K670" s="6"/>
      <c r="L670" s="6"/>
      <c r="M670" s="6"/>
      <c r="N670" s="6"/>
    </row>
    <row r="671" spans="1:14" ht="15.75" thickBot="1">
      <c r="D671" s="156"/>
      <c r="E671" s="156"/>
      <c r="F671" s="156"/>
      <c r="G671" s="156"/>
    </row>
    <row r="672" spans="1:14" ht="15.75" thickBot="1">
      <c r="A672" s="20" t="s">
        <v>1066</v>
      </c>
      <c r="B672" s="152" t="s">
        <v>136</v>
      </c>
      <c r="C672" s="152" t="s">
        <v>137</v>
      </c>
      <c r="D672" s="231" t="s">
        <v>125</v>
      </c>
      <c r="E672" s="232" t="s">
        <v>142</v>
      </c>
      <c r="F672" s="231" t="s">
        <v>123</v>
      </c>
      <c r="G672" s="231" t="s">
        <v>124</v>
      </c>
      <c r="H672" s="153" t="s">
        <v>245</v>
      </c>
      <c r="I672" s="148" t="s">
        <v>205</v>
      </c>
      <c r="J672" s="143">
        <f ca="1">IFERROR(IF(AND(J673:J679),0,1),0)</f>
        <v>1</v>
      </c>
      <c r="K672" s="219" t="s">
        <v>2353</v>
      </c>
      <c r="L672" s="50" t="s">
        <v>1099</v>
      </c>
      <c r="M672" s="154">
        <f>IFERROR(VLOOKUP($A672,$P$6:$S$1048576,3,0),0)</f>
        <v>0</v>
      </c>
      <c r="N672" s="154">
        <f>IFERROR(VLOOKUP($A672,$P$6:$S$1048576,4,0),0)</f>
        <v>0</v>
      </c>
    </row>
    <row r="673" spans="1:14">
      <c r="B673" s="6" t="str">
        <f t="shared" ref="B673:B679" si="143">DEC2HEX(C673)</f>
        <v>0</v>
      </c>
      <c r="C673" s="6">
        <v>0</v>
      </c>
      <c r="D673" s="227"/>
      <c r="E673" s="227" t="s">
        <v>141</v>
      </c>
      <c r="F673" s="90" t="s">
        <v>146</v>
      </c>
      <c r="G673" s="90" t="s">
        <v>215</v>
      </c>
      <c r="H673" s="6"/>
      <c r="I673" s="49"/>
      <c r="J673" s="6"/>
      <c r="K673" s="6"/>
      <c r="L673" s="6"/>
      <c r="M673" s="6"/>
      <c r="N673" s="6"/>
    </row>
    <row r="674" spans="1:14">
      <c r="B674" s="6" t="str">
        <f t="shared" si="143"/>
        <v>1</v>
      </c>
      <c r="C674" s="6">
        <f>C673+1</f>
        <v>1</v>
      </c>
      <c r="D674" s="227"/>
      <c r="E674" s="227" t="s">
        <v>141</v>
      </c>
      <c r="F674" s="90" t="s">
        <v>146</v>
      </c>
      <c r="G674" s="90" t="s">
        <v>295</v>
      </c>
      <c r="H674" s="6"/>
      <c r="I674" s="49"/>
      <c r="J674" s="6"/>
      <c r="K674" s="6"/>
      <c r="L674" s="6"/>
      <c r="M674" s="6"/>
      <c r="N674" s="6"/>
    </row>
    <row r="675" spans="1:14">
      <c r="B675" s="6" t="str">
        <f t="shared" si="143"/>
        <v>2</v>
      </c>
      <c r="C675" s="6">
        <f t="shared" ref="C675:C679" si="144">C674+1</f>
        <v>2</v>
      </c>
      <c r="D675" s="227"/>
      <c r="E675" s="227" t="s">
        <v>262</v>
      </c>
      <c r="F675" s="90" t="s">
        <v>146</v>
      </c>
      <c r="G675" s="90"/>
      <c r="H675" s="6"/>
      <c r="I675" s="49"/>
      <c r="J675" s="6"/>
      <c r="K675" s="6"/>
      <c r="L675" s="6"/>
      <c r="M675" s="6"/>
      <c r="N675" s="6"/>
    </row>
    <row r="676" spans="1:14">
      <c r="B676" s="6" t="str">
        <f t="shared" si="143"/>
        <v>3</v>
      </c>
      <c r="C676" s="6">
        <f t="shared" si="144"/>
        <v>3</v>
      </c>
      <c r="D676" s="227"/>
      <c r="E676" s="227" t="s">
        <v>875</v>
      </c>
      <c r="F676" s="90" t="s">
        <v>430</v>
      </c>
      <c r="G676" s="90"/>
      <c r="H676" s="6"/>
      <c r="I676" s="49"/>
      <c r="J676" s="6"/>
      <c r="K676" s="6"/>
      <c r="L676" s="6"/>
      <c r="M676" s="6"/>
      <c r="N676" s="6"/>
    </row>
    <row r="677" spans="1:14">
      <c r="B677" s="6" t="str">
        <f t="shared" si="143"/>
        <v>4</v>
      </c>
      <c r="C677" s="6">
        <f t="shared" si="144"/>
        <v>4</v>
      </c>
      <c r="D677" s="227"/>
      <c r="E677" s="227" t="s">
        <v>184</v>
      </c>
      <c r="F677" s="90"/>
      <c r="G677" s="90"/>
      <c r="H677" s="6" t="s">
        <v>146</v>
      </c>
      <c r="I677" s="49" t="s">
        <v>140</v>
      </c>
      <c r="J677" s="79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3"/>
        <v>5</v>
      </c>
      <c r="C678" s="6">
        <f t="shared" si="144"/>
        <v>5</v>
      </c>
      <c r="D678" s="227" t="s">
        <v>430</v>
      </c>
      <c r="E678" s="227" t="s">
        <v>141</v>
      </c>
      <c r="F678" s="90" t="s">
        <v>146</v>
      </c>
      <c r="G678" s="90" t="s">
        <v>140</v>
      </c>
      <c r="H678" s="6"/>
      <c r="I678" s="49"/>
      <c r="J678" s="6"/>
      <c r="K678" s="6"/>
      <c r="L678" s="6"/>
      <c r="M678" s="6"/>
      <c r="N678" s="6"/>
    </row>
    <row r="679" spans="1:14">
      <c r="B679" s="6" t="str">
        <f t="shared" si="143"/>
        <v>6</v>
      </c>
      <c r="C679" s="6">
        <f t="shared" si="144"/>
        <v>6</v>
      </c>
      <c r="D679" s="227"/>
      <c r="E679" s="227" t="s">
        <v>84</v>
      </c>
      <c r="F679" s="90"/>
      <c r="G679" s="90"/>
      <c r="H679" s="6"/>
      <c r="I679" s="49"/>
      <c r="J679" s="6"/>
      <c r="K679" s="6"/>
      <c r="L679" s="6"/>
      <c r="M679" s="6"/>
      <c r="N679" s="6"/>
    </row>
    <row r="680" spans="1:14" ht="15.75" thickBot="1">
      <c r="D680" s="156"/>
      <c r="E680" s="156"/>
      <c r="F680" s="156"/>
      <c r="G680" s="156"/>
    </row>
    <row r="681" spans="1:14" ht="15.75" thickBot="1">
      <c r="A681" s="20" t="s">
        <v>1067</v>
      </c>
      <c r="B681" s="152" t="s">
        <v>136</v>
      </c>
      <c r="C681" s="152" t="s">
        <v>137</v>
      </c>
      <c r="D681" s="231" t="s">
        <v>125</v>
      </c>
      <c r="E681" s="232" t="s">
        <v>142</v>
      </c>
      <c r="F681" s="231" t="s">
        <v>123</v>
      </c>
      <c r="G681" s="231" t="s">
        <v>124</v>
      </c>
      <c r="H681" s="153" t="s">
        <v>245</v>
      </c>
      <c r="I681" s="148" t="s">
        <v>205</v>
      </c>
      <c r="J681" s="143">
        <f ca="1">IFERROR(IF(AND(J682:J688),0,1),0)</f>
        <v>1</v>
      </c>
      <c r="K681" s="219" t="s">
        <v>2353</v>
      </c>
      <c r="L681" s="50" t="s">
        <v>1100</v>
      </c>
      <c r="M681" s="154">
        <f>IFERROR(VLOOKUP($A681,$P$6:$S$1048576,3,0),0)</f>
        <v>0</v>
      </c>
      <c r="N681" s="154">
        <f>IFERROR(VLOOKUP($A681,$P$6:$S$1048576,4,0),0)</f>
        <v>0</v>
      </c>
    </row>
    <row r="682" spans="1:14">
      <c r="B682" s="6" t="str">
        <f t="shared" ref="B682:B688" si="145">DEC2HEX(C682)</f>
        <v>0</v>
      </c>
      <c r="C682" s="6">
        <v>0</v>
      </c>
      <c r="D682" s="227"/>
      <c r="E682" s="227" t="s">
        <v>141</v>
      </c>
      <c r="F682" s="90" t="s">
        <v>146</v>
      </c>
      <c r="G682" s="90" t="s">
        <v>215</v>
      </c>
      <c r="H682" s="6"/>
      <c r="I682" s="49"/>
      <c r="J682" s="6"/>
      <c r="K682" s="6"/>
      <c r="L682" s="6"/>
      <c r="M682" s="6"/>
      <c r="N682" s="6"/>
    </row>
    <row r="683" spans="1:14">
      <c r="B683" s="6" t="str">
        <f t="shared" si="145"/>
        <v>1</v>
      </c>
      <c r="C683" s="6">
        <f>C682+1</f>
        <v>1</v>
      </c>
      <c r="D683" s="227"/>
      <c r="E683" s="227" t="s">
        <v>141</v>
      </c>
      <c r="F683" s="90" t="s">
        <v>146</v>
      </c>
      <c r="G683" s="90" t="s">
        <v>216</v>
      </c>
      <c r="H683" s="6"/>
      <c r="I683" s="49"/>
      <c r="J683" s="6"/>
      <c r="K683" s="6"/>
      <c r="L683" s="6"/>
      <c r="M683" s="6"/>
      <c r="N683" s="6"/>
    </row>
    <row r="684" spans="1:14">
      <c r="B684" s="6" t="str">
        <f t="shared" si="145"/>
        <v>2</v>
      </c>
      <c r="C684" s="6">
        <f t="shared" ref="C684:C688" si="146">C683+1</f>
        <v>2</v>
      </c>
      <c r="D684" s="227"/>
      <c r="E684" s="227" t="s">
        <v>262</v>
      </c>
      <c r="F684" s="90" t="s">
        <v>146</v>
      </c>
      <c r="G684" s="90"/>
      <c r="H684" s="6"/>
      <c r="I684" s="49"/>
      <c r="J684" s="6"/>
      <c r="K684" s="6"/>
      <c r="L684" s="6"/>
      <c r="M684" s="6"/>
      <c r="N684" s="6"/>
    </row>
    <row r="685" spans="1:14">
      <c r="B685" s="6" t="str">
        <f t="shared" si="145"/>
        <v>3</v>
      </c>
      <c r="C685" s="6">
        <f t="shared" si="146"/>
        <v>3</v>
      </c>
      <c r="D685" s="227"/>
      <c r="E685" s="227" t="s">
        <v>1101</v>
      </c>
      <c r="F685" s="90" t="s">
        <v>430</v>
      </c>
      <c r="G685" s="90"/>
      <c r="H685" s="6"/>
      <c r="I685" s="49"/>
      <c r="J685" s="6"/>
      <c r="K685" s="6"/>
      <c r="L685" s="6"/>
      <c r="M685" s="6"/>
      <c r="N685" s="6"/>
    </row>
    <row r="686" spans="1:14">
      <c r="B686" s="6" t="str">
        <f t="shared" si="145"/>
        <v>4</v>
      </c>
      <c r="C686" s="6">
        <f t="shared" si="146"/>
        <v>4</v>
      </c>
      <c r="D686" s="227"/>
      <c r="E686" s="227" t="s">
        <v>184</v>
      </c>
      <c r="F686" s="90"/>
      <c r="G686" s="90"/>
      <c r="H686" s="6" t="s">
        <v>146</v>
      </c>
      <c r="I686" s="49" t="s">
        <v>140</v>
      </c>
      <c r="J686" s="79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5"/>
        <v>5</v>
      </c>
      <c r="C687" s="6">
        <f t="shared" si="146"/>
        <v>5</v>
      </c>
      <c r="D687" s="227" t="s">
        <v>430</v>
      </c>
      <c r="E687" s="227" t="s">
        <v>141</v>
      </c>
      <c r="F687" s="90" t="s">
        <v>146</v>
      </c>
      <c r="G687" s="90" t="s">
        <v>140</v>
      </c>
      <c r="H687" s="6"/>
      <c r="I687" s="49"/>
      <c r="J687" s="6"/>
      <c r="K687" s="6"/>
      <c r="L687" s="6"/>
      <c r="M687" s="6"/>
      <c r="N687" s="6"/>
    </row>
    <row r="688" spans="1:14">
      <c r="B688" s="6" t="str">
        <f t="shared" si="145"/>
        <v>6</v>
      </c>
      <c r="C688" s="6">
        <f t="shared" si="146"/>
        <v>6</v>
      </c>
      <c r="D688" s="227"/>
      <c r="E688" s="227" t="s">
        <v>84</v>
      </c>
      <c r="F688" s="90"/>
      <c r="G688" s="90"/>
      <c r="H688" s="6"/>
      <c r="I688" s="49"/>
      <c r="J688" s="6"/>
      <c r="K688" s="6"/>
      <c r="L688" s="6"/>
      <c r="M688" s="6"/>
      <c r="N688" s="6"/>
    </row>
    <row r="689" spans="1:14" ht="15.75" thickBot="1">
      <c r="D689" s="156"/>
      <c r="E689" s="156"/>
      <c r="F689" s="156"/>
      <c r="G689" s="156"/>
    </row>
    <row r="690" spans="1:14" ht="15.75" thickBot="1">
      <c r="A690" s="20" t="s">
        <v>1068</v>
      </c>
      <c r="B690" s="152" t="s">
        <v>136</v>
      </c>
      <c r="C690" s="152" t="s">
        <v>137</v>
      </c>
      <c r="D690" s="231" t="s">
        <v>125</v>
      </c>
      <c r="E690" s="232" t="s">
        <v>142</v>
      </c>
      <c r="F690" s="231" t="s">
        <v>123</v>
      </c>
      <c r="G690" s="231" t="s">
        <v>124</v>
      </c>
      <c r="H690" s="153" t="s">
        <v>245</v>
      </c>
      <c r="I690" s="148" t="s">
        <v>205</v>
      </c>
      <c r="J690" s="143">
        <f ca="1">IFERROR(IF(AND(J691:J697),0,1),0)</f>
        <v>1</v>
      </c>
      <c r="K690" s="219" t="s">
        <v>2353</v>
      </c>
      <c r="L690" s="50" t="s">
        <v>1102</v>
      </c>
      <c r="M690" s="154">
        <f>IFERROR(VLOOKUP($A690,$P$6:$S$1048576,3,0),0)</f>
        <v>0</v>
      </c>
      <c r="N690" s="154">
        <f>IFERROR(VLOOKUP($A690,$P$6:$S$1048576,4,0),0)</f>
        <v>0</v>
      </c>
    </row>
    <row r="691" spans="1:14">
      <c r="B691" s="6" t="str">
        <f t="shared" ref="B691:B697" si="147">DEC2HEX(C691)</f>
        <v>0</v>
      </c>
      <c r="C691" s="6">
        <v>0</v>
      </c>
      <c r="D691" s="227"/>
      <c r="E691" s="227" t="s">
        <v>141</v>
      </c>
      <c r="F691" s="90" t="s">
        <v>146</v>
      </c>
      <c r="G691" s="90" t="s">
        <v>215</v>
      </c>
      <c r="H691" s="6"/>
      <c r="I691" s="49"/>
      <c r="J691" s="6"/>
      <c r="K691" s="6"/>
      <c r="L691" s="6"/>
      <c r="M691" s="6"/>
      <c r="N691" s="6"/>
    </row>
    <row r="692" spans="1:14">
      <c r="B692" s="6" t="str">
        <f t="shared" si="147"/>
        <v>1</v>
      </c>
      <c r="C692" s="6">
        <f>C691+1</f>
        <v>1</v>
      </c>
      <c r="D692" s="227"/>
      <c r="E692" s="227" t="s">
        <v>141</v>
      </c>
      <c r="F692" s="90" t="s">
        <v>146</v>
      </c>
      <c r="G692" s="90" t="s">
        <v>364</v>
      </c>
      <c r="H692" s="6"/>
      <c r="I692" s="49"/>
      <c r="J692" s="6"/>
      <c r="K692" s="6"/>
      <c r="L692" s="6"/>
      <c r="M692" s="6"/>
      <c r="N692" s="6"/>
    </row>
    <row r="693" spans="1:14">
      <c r="B693" s="6" t="str">
        <f t="shared" si="147"/>
        <v>2</v>
      </c>
      <c r="C693" s="6">
        <f t="shared" ref="C693:C697" si="148">C692+1</f>
        <v>2</v>
      </c>
      <c r="D693" s="227"/>
      <c r="E693" s="227" t="s">
        <v>262</v>
      </c>
      <c r="F693" s="90" t="s">
        <v>146</v>
      </c>
      <c r="G693" s="90"/>
      <c r="H693" s="6"/>
      <c r="I693" s="49"/>
      <c r="J693" s="6"/>
      <c r="K693" s="6"/>
      <c r="L693" s="6"/>
      <c r="M693" s="6"/>
      <c r="N693" s="6"/>
    </row>
    <row r="694" spans="1:14">
      <c r="B694" s="6" t="str">
        <f t="shared" si="147"/>
        <v>3</v>
      </c>
      <c r="C694" s="6">
        <f t="shared" si="148"/>
        <v>3</v>
      </c>
      <c r="D694" s="227"/>
      <c r="E694" s="227" t="s">
        <v>874</v>
      </c>
      <c r="F694" s="90" t="s">
        <v>430</v>
      </c>
      <c r="G694" s="90"/>
      <c r="H694" s="6"/>
      <c r="I694" s="49"/>
      <c r="J694" s="6"/>
      <c r="K694" s="6"/>
      <c r="L694" s="6"/>
      <c r="M694" s="6"/>
      <c r="N694" s="6"/>
    </row>
    <row r="695" spans="1:14">
      <c r="B695" s="6" t="str">
        <f t="shared" si="147"/>
        <v>4</v>
      </c>
      <c r="C695" s="6">
        <f t="shared" si="148"/>
        <v>4</v>
      </c>
      <c r="D695" s="227"/>
      <c r="E695" s="227" t="s">
        <v>184</v>
      </c>
      <c r="F695" s="90"/>
      <c r="G695" s="90"/>
      <c r="H695" s="6" t="s">
        <v>146</v>
      </c>
      <c r="I695" s="49" t="s">
        <v>140</v>
      </c>
      <c r="J695" s="79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7"/>
        <v>5</v>
      </c>
      <c r="C696" s="6">
        <f t="shared" si="148"/>
        <v>5</v>
      </c>
      <c r="D696" s="227" t="s">
        <v>430</v>
      </c>
      <c r="E696" s="227" t="s">
        <v>141</v>
      </c>
      <c r="F696" s="90" t="s">
        <v>146</v>
      </c>
      <c r="G696" s="90" t="s">
        <v>140</v>
      </c>
      <c r="H696" s="6"/>
      <c r="I696" s="49"/>
      <c r="J696" s="6"/>
      <c r="K696" s="6"/>
      <c r="L696" s="6"/>
      <c r="M696" s="6"/>
      <c r="N696" s="6"/>
    </row>
    <row r="697" spans="1:14">
      <c r="B697" s="6" t="str">
        <f t="shared" si="147"/>
        <v>6</v>
      </c>
      <c r="C697" s="6">
        <f t="shared" si="148"/>
        <v>6</v>
      </c>
      <c r="D697" s="227"/>
      <c r="E697" s="227" t="s">
        <v>84</v>
      </c>
      <c r="F697" s="90"/>
      <c r="G697" s="90"/>
      <c r="H697" s="6"/>
      <c r="I697" s="49"/>
      <c r="J697" s="6"/>
      <c r="K697" s="6"/>
      <c r="L697" s="6"/>
      <c r="M697" s="6"/>
      <c r="N697" s="6"/>
    </row>
    <row r="698" spans="1:14" ht="15.75" thickBot="1">
      <c r="D698" s="156"/>
      <c r="E698" s="156"/>
      <c r="F698" s="156"/>
      <c r="G698" s="156"/>
    </row>
    <row r="699" spans="1:14" ht="15.75" thickBot="1">
      <c r="A699" s="20" t="s">
        <v>1069</v>
      </c>
      <c r="B699" s="152" t="s">
        <v>136</v>
      </c>
      <c r="C699" s="152" t="s">
        <v>137</v>
      </c>
      <c r="D699" s="231" t="s">
        <v>125</v>
      </c>
      <c r="E699" s="232" t="s">
        <v>142</v>
      </c>
      <c r="F699" s="231" t="s">
        <v>123</v>
      </c>
      <c r="G699" s="231" t="s">
        <v>124</v>
      </c>
      <c r="H699" s="153" t="s">
        <v>245</v>
      </c>
      <c r="I699" s="148" t="s">
        <v>205</v>
      </c>
      <c r="J699" s="143">
        <f ca="1">IFERROR(IF(AND(J700:J706),0,1),0)</f>
        <v>1</v>
      </c>
      <c r="K699" s="219" t="s">
        <v>2353</v>
      </c>
      <c r="L699" s="50" t="s">
        <v>1103</v>
      </c>
      <c r="M699" s="154">
        <f>IFERROR(VLOOKUP($A699,$P$6:$S$1048576,3,0),0)</f>
        <v>0</v>
      </c>
      <c r="N699" s="154">
        <f>IFERROR(VLOOKUP($A699,$P$6:$S$1048576,4,0),0)</f>
        <v>0</v>
      </c>
    </row>
    <row r="700" spans="1:14">
      <c r="B700" s="6" t="str">
        <f t="shared" ref="B700:B706" si="149">DEC2HEX(C700)</f>
        <v>0</v>
      </c>
      <c r="C700" s="6">
        <v>0</v>
      </c>
      <c r="D700" s="227"/>
      <c r="E700" s="227" t="s">
        <v>141</v>
      </c>
      <c r="F700" s="90" t="s">
        <v>146</v>
      </c>
      <c r="G700" s="90" t="s">
        <v>215</v>
      </c>
      <c r="H700" s="6"/>
      <c r="I700" s="49"/>
      <c r="J700" s="6"/>
      <c r="K700" s="6"/>
      <c r="L700" s="6"/>
      <c r="M700" s="6"/>
      <c r="N700" s="6"/>
    </row>
    <row r="701" spans="1:14">
      <c r="B701" s="6" t="str">
        <f t="shared" si="149"/>
        <v>1</v>
      </c>
      <c r="C701" s="6">
        <f>C700+1</f>
        <v>1</v>
      </c>
      <c r="D701" s="227"/>
      <c r="E701" s="227" t="s">
        <v>141</v>
      </c>
      <c r="F701" s="90" t="s">
        <v>146</v>
      </c>
      <c r="G701" s="90" t="s">
        <v>295</v>
      </c>
      <c r="H701" s="6"/>
      <c r="I701" s="49"/>
      <c r="J701" s="6"/>
      <c r="K701" s="6"/>
      <c r="L701" s="6"/>
      <c r="M701" s="6"/>
      <c r="N701" s="6"/>
    </row>
    <row r="702" spans="1:14">
      <c r="B702" s="6" t="str">
        <f t="shared" si="149"/>
        <v>2</v>
      </c>
      <c r="C702" s="6">
        <f t="shared" ref="C702:C706" si="150">C701+1</f>
        <v>2</v>
      </c>
      <c r="D702" s="227"/>
      <c r="E702" s="227" t="s">
        <v>262</v>
      </c>
      <c r="F702" s="90" t="s">
        <v>146</v>
      </c>
      <c r="G702" s="90"/>
      <c r="H702" s="6"/>
      <c r="I702" s="49"/>
      <c r="J702" s="6"/>
      <c r="K702" s="6"/>
      <c r="L702" s="6"/>
      <c r="M702" s="6"/>
      <c r="N702" s="6"/>
    </row>
    <row r="703" spans="1:14">
      <c r="B703" s="6" t="str">
        <f t="shared" si="149"/>
        <v>3</v>
      </c>
      <c r="C703" s="6">
        <f t="shared" si="150"/>
        <v>3</v>
      </c>
      <c r="D703" s="227"/>
      <c r="E703" s="227" t="s">
        <v>873</v>
      </c>
      <c r="F703" s="90" t="s">
        <v>430</v>
      </c>
      <c r="G703" s="90"/>
      <c r="H703" s="6"/>
      <c r="I703" s="49"/>
      <c r="J703" s="6"/>
      <c r="K703" s="6"/>
      <c r="L703" s="6"/>
      <c r="M703" s="6"/>
      <c r="N703" s="6"/>
    </row>
    <row r="704" spans="1:14">
      <c r="B704" s="6" t="str">
        <f t="shared" si="149"/>
        <v>4</v>
      </c>
      <c r="C704" s="6">
        <f t="shared" si="150"/>
        <v>4</v>
      </c>
      <c r="D704" s="227"/>
      <c r="E704" s="227" t="s">
        <v>184</v>
      </c>
      <c r="F704" s="90"/>
      <c r="G704" s="90"/>
      <c r="H704" s="6" t="s">
        <v>146</v>
      </c>
      <c r="I704" s="49" t="s">
        <v>140</v>
      </c>
      <c r="J704" s="79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9"/>
        <v>5</v>
      </c>
      <c r="C705" s="6">
        <f t="shared" si="150"/>
        <v>5</v>
      </c>
      <c r="D705" s="227" t="s">
        <v>430</v>
      </c>
      <c r="E705" s="227" t="s">
        <v>141</v>
      </c>
      <c r="F705" s="90" t="s">
        <v>146</v>
      </c>
      <c r="G705" s="90" t="s">
        <v>140</v>
      </c>
      <c r="H705" s="6"/>
      <c r="I705" s="49"/>
      <c r="J705" s="6"/>
      <c r="K705" s="6"/>
      <c r="L705" s="6"/>
      <c r="M705" s="6"/>
      <c r="N705" s="6"/>
    </row>
    <row r="706" spans="1:14">
      <c r="B706" s="6" t="str">
        <f t="shared" si="149"/>
        <v>6</v>
      </c>
      <c r="C706" s="6">
        <f t="shared" si="150"/>
        <v>6</v>
      </c>
      <c r="D706" s="227"/>
      <c r="E706" s="227" t="s">
        <v>84</v>
      </c>
      <c r="F706" s="90"/>
      <c r="G706" s="90"/>
      <c r="H706" s="6"/>
      <c r="I706" s="49"/>
      <c r="J706" s="6"/>
      <c r="K706" s="6"/>
      <c r="L706" s="6"/>
      <c r="M706" s="6"/>
      <c r="N706" s="6"/>
    </row>
    <row r="707" spans="1:14" ht="15.75" thickBot="1">
      <c r="D707" s="156"/>
      <c r="E707" s="156"/>
      <c r="F707" s="156"/>
      <c r="G707" s="156"/>
    </row>
    <row r="708" spans="1:14" ht="15.75" thickBot="1">
      <c r="A708" s="20" t="s">
        <v>1070</v>
      </c>
      <c r="B708" s="152" t="s">
        <v>136</v>
      </c>
      <c r="C708" s="152" t="s">
        <v>137</v>
      </c>
      <c r="D708" s="231" t="s">
        <v>125</v>
      </c>
      <c r="E708" s="232" t="s">
        <v>142</v>
      </c>
      <c r="F708" s="231" t="s">
        <v>123</v>
      </c>
      <c r="G708" s="231" t="s">
        <v>124</v>
      </c>
      <c r="H708" s="153" t="s">
        <v>245</v>
      </c>
      <c r="I708" s="148" t="s">
        <v>205</v>
      </c>
      <c r="J708" s="143">
        <f ca="1">IFERROR(IF(AND(J709:J715),0,1),0)</f>
        <v>1</v>
      </c>
      <c r="K708" s="219" t="s">
        <v>2353</v>
      </c>
      <c r="L708" s="50" t="s">
        <v>1104</v>
      </c>
      <c r="M708" s="154">
        <f>IFERROR(VLOOKUP($A708,$P$6:$S$1048576,3,0),0)</f>
        <v>0</v>
      </c>
      <c r="N708" s="154">
        <f>IFERROR(VLOOKUP($A708,$P$6:$S$1048576,4,0),0)</f>
        <v>0</v>
      </c>
    </row>
    <row r="709" spans="1:14">
      <c r="B709" s="6" t="str">
        <f t="shared" ref="B709:B715" si="151">DEC2HEX(C709)</f>
        <v>0</v>
      </c>
      <c r="C709" s="6">
        <v>0</v>
      </c>
      <c r="D709" s="227"/>
      <c r="E709" s="227" t="s">
        <v>190</v>
      </c>
      <c r="F709" s="90" t="s">
        <v>430</v>
      </c>
      <c r="G709" s="90"/>
      <c r="H709" s="6"/>
      <c r="I709" s="49"/>
      <c r="J709" s="6"/>
      <c r="K709" s="6"/>
      <c r="L709" s="6"/>
      <c r="M709" s="6"/>
      <c r="N709" s="6"/>
    </row>
    <row r="710" spans="1:14">
      <c r="B710" s="6" t="str">
        <f t="shared" si="151"/>
        <v>1</v>
      </c>
      <c r="C710" s="6">
        <f>C709+1</f>
        <v>1</v>
      </c>
      <c r="D710" s="227"/>
      <c r="E710" s="227" t="s">
        <v>184</v>
      </c>
      <c r="F710" s="90"/>
      <c r="G710" s="90"/>
      <c r="H710" s="6" t="s">
        <v>146</v>
      </c>
      <c r="I710" s="49" t="s">
        <v>295</v>
      </c>
      <c r="J710" s="79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51"/>
        <v>2</v>
      </c>
      <c r="C711" s="6">
        <f t="shared" ref="C711:C715" si="152">C710+1</f>
        <v>2</v>
      </c>
      <c r="D711" s="227" t="s">
        <v>430</v>
      </c>
      <c r="E711" s="227" t="s">
        <v>141</v>
      </c>
      <c r="F711" s="90" t="s">
        <v>146</v>
      </c>
      <c r="G711" s="90" t="s">
        <v>295</v>
      </c>
      <c r="H711" s="6"/>
      <c r="I711" s="49"/>
      <c r="J711" s="6"/>
      <c r="K711" s="6"/>
      <c r="L711" s="6"/>
      <c r="M711" s="6"/>
      <c r="N711" s="6"/>
    </row>
    <row r="712" spans="1:14">
      <c r="B712" s="6" t="str">
        <f t="shared" si="151"/>
        <v>3</v>
      </c>
      <c r="C712" s="6">
        <f t="shared" si="152"/>
        <v>3</v>
      </c>
      <c r="D712" s="227"/>
      <c r="E712" s="227" t="s">
        <v>262</v>
      </c>
      <c r="F712" s="90" t="s">
        <v>146</v>
      </c>
      <c r="G712" s="90"/>
      <c r="H712" s="6"/>
      <c r="I712" s="49"/>
      <c r="J712" s="6"/>
      <c r="K712" s="6"/>
      <c r="L712" s="6"/>
      <c r="M712" s="6"/>
      <c r="N712" s="6"/>
    </row>
    <row r="713" spans="1:14">
      <c r="B713" s="6" t="str">
        <f t="shared" si="151"/>
        <v>4</v>
      </c>
      <c r="C713" s="6">
        <f t="shared" si="152"/>
        <v>4</v>
      </c>
      <c r="D713" s="227"/>
      <c r="E713" s="227" t="s">
        <v>754</v>
      </c>
      <c r="F713" s="90"/>
      <c r="G713" s="90"/>
      <c r="H713" s="6"/>
      <c r="I713" s="49"/>
      <c r="J713" s="6"/>
      <c r="K713" s="6"/>
      <c r="L713" s="6"/>
      <c r="M713" s="6"/>
      <c r="N713" s="6"/>
    </row>
    <row r="714" spans="1:14">
      <c r="B714" s="6" t="str">
        <f t="shared" si="151"/>
        <v>5</v>
      </c>
      <c r="C714" s="6">
        <f t="shared" si="152"/>
        <v>5</v>
      </c>
      <c r="D714" s="227"/>
      <c r="E714" s="227" t="s">
        <v>141</v>
      </c>
      <c r="F714" s="90" t="s">
        <v>146</v>
      </c>
      <c r="G714" s="90" t="s">
        <v>215</v>
      </c>
      <c r="H714" s="6"/>
      <c r="I714" s="49"/>
      <c r="J714" s="6"/>
      <c r="K714" s="6"/>
      <c r="L714" s="6"/>
      <c r="M714" s="6"/>
      <c r="N714" s="6"/>
    </row>
    <row r="715" spans="1:14">
      <c r="B715" s="6" t="str">
        <f t="shared" si="151"/>
        <v>6</v>
      </c>
      <c r="C715" s="6">
        <f t="shared" si="152"/>
        <v>6</v>
      </c>
      <c r="D715" s="227"/>
      <c r="E715" s="227" t="s">
        <v>84</v>
      </c>
      <c r="F715" s="90"/>
      <c r="G715" s="90"/>
      <c r="H715" s="6"/>
      <c r="I715" s="49"/>
      <c r="J715" s="6"/>
      <c r="K715" s="6"/>
      <c r="L715" s="6"/>
      <c r="M715" s="6"/>
      <c r="N715" s="6"/>
    </row>
    <row r="716" spans="1:14" ht="15.75" thickBot="1">
      <c r="D716" s="156"/>
      <c r="E716" s="156"/>
      <c r="F716" s="156"/>
      <c r="G716" s="156"/>
    </row>
    <row r="717" spans="1:14" ht="15.75" thickBot="1">
      <c r="A717" s="20" t="s">
        <v>1071</v>
      </c>
      <c r="B717" s="152" t="s">
        <v>136</v>
      </c>
      <c r="C717" s="152" t="s">
        <v>137</v>
      </c>
      <c r="D717" s="231" t="s">
        <v>125</v>
      </c>
      <c r="E717" s="232" t="s">
        <v>142</v>
      </c>
      <c r="F717" s="231" t="s">
        <v>123</v>
      </c>
      <c r="G717" s="231" t="s">
        <v>124</v>
      </c>
      <c r="H717" s="153" t="s">
        <v>245</v>
      </c>
      <c r="I717" s="148" t="s">
        <v>205</v>
      </c>
      <c r="J717" s="143">
        <f ca="1">IFERROR(IF(AND(J718:J724),0,1),0)</f>
        <v>1</v>
      </c>
      <c r="K717" s="219" t="s">
        <v>2353</v>
      </c>
      <c r="L717" s="50" t="s">
        <v>1105</v>
      </c>
      <c r="M717" s="154">
        <f>IFERROR(VLOOKUP($A717,$P$6:$S$1048576,3,0),0)</f>
        <v>0</v>
      </c>
      <c r="N717" s="154">
        <f>IFERROR(VLOOKUP($A717,$P$6:$S$1048576,4,0),0)</f>
        <v>0</v>
      </c>
    </row>
    <row r="718" spans="1:14">
      <c r="B718" s="6" t="str">
        <f t="shared" ref="B718:B724" si="153">DEC2HEX(C718)</f>
        <v>0</v>
      </c>
      <c r="C718" s="6">
        <v>0</v>
      </c>
      <c r="D718" s="227"/>
      <c r="E718" s="227" t="s">
        <v>190</v>
      </c>
      <c r="F718" s="90" t="s">
        <v>430</v>
      </c>
      <c r="G718" s="90"/>
      <c r="H718" s="6"/>
      <c r="I718" s="49"/>
      <c r="J718" s="6"/>
      <c r="K718" s="6"/>
      <c r="L718" s="6"/>
      <c r="M718" s="6"/>
      <c r="N718" s="6"/>
    </row>
    <row r="719" spans="1:14">
      <c r="B719" s="6" t="str">
        <f t="shared" si="153"/>
        <v>1</v>
      </c>
      <c r="C719" s="6">
        <f>C718+1</f>
        <v>1</v>
      </c>
      <c r="D719" s="227"/>
      <c r="E719" s="227" t="s">
        <v>184</v>
      </c>
      <c r="F719" s="90"/>
      <c r="G719" s="90"/>
      <c r="H719" s="6" t="s">
        <v>146</v>
      </c>
      <c r="I719" s="49" t="s">
        <v>140</v>
      </c>
      <c r="J719" s="79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3"/>
        <v>2</v>
      </c>
      <c r="C720" s="6">
        <f t="shared" ref="C720:C724" si="154">C719+1</f>
        <v>2</v>
      </c>
      <c r="D720" s="227" t="s">
        <v>430</v>
      </c>
      <c r="E720" s="227" t="s">
        <v>141</v>
      </c>
      <c r="F720" s="90" t="s">
        <v>146</v>
      </c>
      <c r="G720" s="90" t="s">
        <v>140</v>
      </c>
      <c r="H720" s="6"/>
      <c r="I720" s="49"/>
      <c r="J720" s="6"/>
      <c r="K720" s="6"/>
      <c r="L720" s="6"/>
      <c r="M720" s="6"/>
      <c r="N720" s="6"/>
    </row>
    <row r="721" spans="1:14">
      <c r="B721" s="6" t="str">
        <f t="shared" si="153"/>
        <v>3</v>
      </c>
      <c r="C721" s="6">
        <f t="shared" si="154"/>
        <v>3</v>
      </c>
      <c r="D721" s="227"/>
      <c r="E721" s="227" t="s">
        <v>262</v>
      </c>
      <c r="F721" s="90" t="s">
        <v>146</v>
      </c>
      <c r="G721" s="90"/>
      <c r="H721" s="6"/>
      <c r="I721" s="49"/>
      <c r="J721" s="6"/>
      <c r="K721" s="6"/>
      <c r="L721" s="6"/>
      <c r="M721" s="6"/>
      <c r="N721" s="6"/>
    </row>
    <row r="722" spans="1:14">
      <c r="B722" s="6" t="str">
        <f t="shared" si="153"/>
        <v>4</v>
      </c>
      <c r="C722" s="6">
        <f t="shared" si="154"/>
        <v>4</v>
      </c>
      <c r="D722" s="227"/>
      <c r="E722" s="227" t="s">
        <v>785</v>
      </c>
      <c r="F722" s="90"/>
      <c r="G722" s="90"/>
      <c r="H722" s="6"/>
      <c r="I722" s="49"/>
      <c r="J722" s="6"/>
      <c r="K722" s="6"/>
      <c r="L722" s="6"/>
      <c r="M722" s="6"/>
      <c r="N722" s="6"/>
    </row>
    <row r="723" spans="1:14">
      <c r="B723" s="6" t="str">
        <f t="shared" si="153"/>
        <v>5</v>
      </c>
      <c r="C723" s="6">
        <f t="shared" si="154"/>
        <v>5</v>
      </c>
      <c r="D723" s="227"/>
      <c r="E723" s="227" t="s">
        <v>141</v>
      </c>
      <c r="F723" s="90" t="s">
        <v>146</v>
      </c>
      <c r="G723" s="90" t="s">
        <v>215</v>
      </c>
      <c r="H723" s="6"/>
      <c r="I723" s="49"/>
      <c r="J723" s="6"/>
      <c r="K723" s="6"/>
      <c r="L723" s="6"/>
      <c r="M723" s="6"/>
      <c r="N723" s="6"/>
    </row>
    <row r="724" spans="1:14">
      <c r="B724" s="6" t="str">
        <f t="shared" si="153"/>
        <v>6</v>
      </c>
      <c r="C724" s="6">
        <f t="shared" si="154"/>
        <v>6</v>
      </c>
      <c r="D724" s="227"/>
      <c r="E724" s="227" t="s">
        <v>84</v>
      </c>
      <c r="F724" s="90"/>
      <c r="G724" s="90"/>
      <c r="H724" s="6"/>
      <c r="I724" s="49"/>
      <c r="J724" s="6"/>
      <c r="K724" s="6"/>
      <c r="L724" s="6"/>
      <c r="M724" s="6"/>
      <c r="N724" s="6"/>
    </row>
    <row r="725" spans="1:14" ht="15.75" thickBot="1">
      <c r="D725" s="156"/>
      <c r="E725" s="156"/>
      <c r="F725" s="156"/>
      <c r="G725" s="156"/>
    </row>
    <row r="726" spans="1:14" ht="15.75" thickBot="1">
      <c r="A726" s="20" t="s">
        <v>1072</v>
      </c>
      <c r="B726" s="152" t="s">
        <v>136</v>
      </c>
      <c r="C726" s="152" t="s">
        <v>137</v>
      </c>
      <c r="D726" s="231" t="s">
        <v>125</v>
      </c>
      <c r="E726" s="232" t="s">
        <v>142</v>
      </c>
      <c r="F726" s="231" t="s">
        <v>123</v>
      </c>
      <c r="G726" s="231" t="s">
        <v>124</v>
      </c>
      <c r="H726" s="153" t="s">
        <v>245</v>
      </c>
      <c r="I726" s="148" t="s">
        <v>205</v>
      </c>
      <c r="J726" s="143">
        <f ca="1">IFERROR(IF(AND(J727:J733),0,1),0)</f>
        <v>1</v>
      </c>
      <c r="K726" s="219" t="s">
        <v>2353</v>
      </c>
      <c r="L726" s="50" t="s">
        <v>1106</v>
      </c>
      <c r="M726" s="154">
        <f>IFERROR(VLOOKUP($A726,$P$6:$S$1048576,3,0),0)</f>
        <v>0</v>
      </c>
      <c r="N726" s="154">
        <f>IFERROR(VLOOKUP($A726,$P$6:$S$1048576,4,0),0)</f>
        <v>0</v>
      </c>
    </row>
    <row r="727" spans="1:14">
      <c r="B727" s="6" t="str">
        <f t="shared" ref="B727:B733" si="155">DEC2HEX(C727)</f>
        <v>0</v>
      </c>
      <c r="C727" s="6">
        <v>0</v>
      </c>
      <c r="D727" s="227"/>
      <c r="E727" s="227" t="s">
        <v>190</v>
      </c>
      <c r="F727" s="90" t="s">
        <v>430</v>
      </c>
      <c r="G727" s="90"/>
      <c r="H727" s="6"/>
      <c r="I727" s="49"/>
      <c r="J727" s="6"/>
      <c r="K727" s="6"/>
      <c r="L727" s="6"/>
      <c r="M727" s="6"/>
      <c r="N727" s="6"/>
    </row>
    <row r="728" spans="1:14">
      <c r="B728" s="6" t="str">
        <f t="shared" si="155"/>
        <v>1</v>
      </c>
      <c r="C728" s="6">
        <f>C727+1</f>
        <v>1</v>
      </c>
      <c r="D728" s="227"/>
      <c r="E728" s="227" t="s">
        <v>184</v>
      </c>
      <c r="F728" s="90"/>
      <c r="G728" s="90"/>
      <c r="H728" s="6" t="s">
        <v>146</v>
      </c>
      <c r="I728" s="49" t="s">
        <v>295</v>
      </c>
      <c r="J728" s="79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5"/>
        <v>2</v>
      </c>
      <c r="C729" s="6">
        <f t="shared" ref="C729:C733" si="156">C728+1</f>
        <v>2</v>
      </c>
      <c r="D729" s="227" t="s">
        <v>430</v>
      </c>
      <c r="E729" s="227" t="s">
        <v>141</v>
      </c>
      <c r="F729" s="90" t="s">
        <v>146</v>
      </c>
      <c r="G729" s="90" t="s">
        <v>295</v>
      </c>
      <c r="H729" s="6"/>
      <c r="I729" s="49"/>
      <c r="J729" s="6"/>
      <c r="K729" s="6"/>
      <c r="L729" s="6"/>
      <c r="M729" s="6"/>
      <c r="N729" s="6"/>
    </row>
    <row r="730" spans="1:14">
      <c r="B730" s="6" t="str">
        <f t="shared" si="155"/>
        <v>3</v>
      </c>
      <c r="C730" s="6">
        <f t="shared" si="156"/>
        <v>3</v>
      </c>
      <c r="D730" s="227"/>
      <c r="E730" s="227" t="s">
        <v>262</v>
      </c>
      <c r="F730" s="90" t="s">
        <v>146</v>
      </c>
      <c r="G730" s="90"/>
      <c r="H730" s="6"/>
      <c r="I730" s="49"/>
      <c r="J730" s="6"/>
      <c r="K730" s="6"/>
      <c r="L730" s="6"/>
      <c r="M730" s="6"/>
      <c r="N730" s="6"/>
    </row>
    <row r="731" spans="1:14">
      <c r="B731" s="6" t="str">
        <f t="shared" si="155"/>
        <v>4</v>
      </c>
      <c r="C731" s="6">
        <f t="shared" si="156"/>
        <v>4</v>
      </c>
      <c r="D731" s="227"/>
      <c r="E731" s="227" t="s">
        <v>846</v>
      </c>
      <c r="F731" s="90"/>
      <c r="G731" s="90"/>
      <c r="H731" s="6"/>
      <c r="I731" s="49"/>
      <c r="J731" s="6"/>
      <c r="K731" s="6"/>
      <c r="L731" s="6"/>
      <c r="M731" s="6"/>
      <c r="N731" s="6"/>
    </row>
    <row r="732" spans="1:14">
      <c r="B732" s="6" t="str">
        <f t="shared" si="155"/>
        <v>5</v>
      </c>
      <c r="C732" s="6">
        <f t="shared" si="156"/>
        <v>5</v>
      </c>
      <c r="D732" s="227"/>
      <c r="E732" s="227" t="s">
        <v>141</v>
      </c>
      <c r="F732" s="90" t="s">
        <v>146</v>
      </c>
      <c r="G732" s="90" t="s">
        <v>215</v>
      </c>
      <c r="H732" s="6"/>
      <c r="I732" s="49"/>
      <c r="J732" s="6"/>
      <c r="K732" s="6"/>
      <c r="L732" s="6"/>
      <c r="M732" s="6"/>
      <c r="N732" s="6"/>
    </row>
    <row r="733" spans="1:14">
      <c r="B733" s="6" t="str">
        <f t="shared" si="155"/>
        <v>6</v>
      </c>
      <c r="C733" s="6">
        <f t="shared" si="156"/>
        <v>6</v>
      </c>
      <c r="D733" s="227"/>
      <c r="E733" s="227" t="s">
        <v>84</v>
      </c>
      <c r="F733" s="90"/>
      <c r="G733" s="90"/>
      <c r="H733" s="6"/>
      <c r="I733" s="49"/>
      <c r="J733" s="6"/>
      <c r="K733" s="6"/>
      <c r="L733" s="6"/>
      <c r="M733" s="6"/>
      <c r="N733" s="6"/>
    </row>
    <row r="734" spans="1:14" ht="15.75" thickBot="1">
      <c r="D734" s="156"/>
      <c r="E734" s="156"/>
      <c r="F734" s="156"/>
      <c r="G734" s="156"/>
    </row>
    <row r="735" spans="1:14" ht="15.75" thickBot="1">
      <c r="A735" s="20" t="s">
        <v>1073</v>
      </c>
      <c r="B735" s="152" t="s">
        <v>136</v>
      </c>
      <c r="C735" s="152" t="s">
        <v>137</v>
      </c>
      <c r="D735" s="231" t="s">
        <v>125</v>
      </c>
      <c r="E735" s="232" t="s">
        <v>142</v>
      </c>
      <c r="F735" s="231" t="s">
        <v>123</v>
      </c>
      <c r="G735" s="231" t="s">
        <v>124</v>
      </c>
      <c r="H735" s="153" t="s">
        <v>245</v>
      </c>
      <c r="I735" s="148" t="s">
        <v>205</v>
      </c>
      <c r="J735" s="143">
        <f ca="1">IFERROR(IF(AND(J736:J742),0,1),0)</f>
        <v>1</v>
      </c>
      <c r="K735" s="219" t="s">
        <v>2353</v>
      </c>
      <c r="L735" s="50" t="s">
        <v>1107</v>
      </c>
      <c r="M735" s="154">
        <f>IFERROR(VLOOKUP($A735,$P$6:$S$1048576,3,0),0)</f>
        <v>0</v>
      </c>
      <c r="N735" s="154">
        <f>IFERROR(VLOOKUP($A735,$P$6:$S$1048576,4,0),0)</f>
        <v>0</v>
      </c>
    </row>
    <row r="736" spans="1:14">
      <c r="B736" s="6" t="str">
        <f t="shared" ref="B736:B742" si="157">DEC2HEX(C736)</f>
        <v>0</v>
      </c>
      <c r="C736" s="6">
        <v>0</v>
      </c>
      <c r="D736" s="227"/>
      <c r="E736" s="227" t="s">
        <v>190</v>
      </c>
      <c r="F736" s="90" t="s">
        <v>430</v>
      </c>
      <c r="G736" s="90"/>
      <c r="H736" s="6"/>
      <c r="I736" s="49"/>
      <c r="J736" s="6"/>
      <c r="K736" s="6"/>
      <c r="L736" s="6"/>
      <c r="M736" s="6"/>
      <c r="N736" s="6"/>
    </row>
    <row r="737" spans="1:14">
      <c r="B737" s="6" t="str">
        <f t="shared" si="157"/>
        <v>1</v>
      </c>
      <c r="C737" s="6">
        <f>C736+1</f>
        <v>1</v>
      </c>
      <c r="D737" s="227"/>
      <c r="E737" s="227" t="s">
        <v>184</v>
      </c>
      <c r="F737" s="90"/>
      <c r="G737" s="90"/>
      <c r="H737" s="6" t="s">
        <v>146</v>
      </c>
      <c r="I737" s="49" t="s">
        <v>216</v>
      </c>
      <c r="J737" s="79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7"/>
        <v>2</v>
      </c>
      <c r="C738" s="6">
        <f t="shared" ref="C738:C742" si="158">C737+1</f>
        <v>2</v>
      </c>
      <c r="D738" s="227" t="s">
        <v>430</v>
      </c>
      <c r="E738" s="227" t="s">
        <v>141</v>
      </c>
      <c r="F738" s="90" t="s">
        <v>146</v>
      </c>
      <c r="G738" s="90" t="s">
        <v>216</v>
      </c>
      <c r="H738" s="6"/>
      <c r="I738" s="49"/>
      <c r="J738" s="6"/>
      <c r="K738" s="6"/>
      <c r="L738" s="6"/>
      <c r="M738" s="6"/>
      <c r="N738" s="6"/>
    </row>
    <row r="739" spans="1:14">
      <c r="B739" s="6" t="str">
        <f t="shared" si="157"/>
        <v>3</v>
      </c>
      <c r="C739" s="6">
        <f t="shared" si="158"/>
        <v>3</v>
      </c>
      <c r="D739" s="227"/>
      <c r="E739" s="227" t="s">
        <v>262</v>
      </c>
      <c r="F739" s="90" t="s">
        <v>146</v>
      </c>
      <c r="G739" s="90"/>
      <c r="H739" s="6"/>
      <c r="I739" s="49"/>
      <c r="J739" s="6"/>
      <c r="K739" s="6"/>
      <c r="L739" s="6"/>
      <c r="M739" s="6"/>
      <c r="N739" s="6"/>
    </row>
    <row r="740" spans="1:14">
      <c r="B740" s="6" t="str">
        <f t="shared" si="157"/>
        <v>4</v>
      </c>
      <c r="C740" s="6">
        <f t="shared" si="158"/>
        <v>4</v>
      </c>
      <c r="D740" s="227"/>
      <c r="E740" s="227" t="s">
        <v>1108</v>
      </c>
      <c r="F740" s="90"/>
      <c r="G740" s="90"/>
      <c r="H740" s="6"/>
      <c r="I740" s="49"/>
      <c r="J740" s="6"/>
      <c r="K740" s="6"/>
      <c r="L740" s="6"/>
      <c r="M740" s="6"/>
      <c r="N740" s="6"/>
    </row>
    <row r="741" spans="1:14">
      <c r="B741" s="6" t="str">
        <f t="shared" si="157"/>
        <v>5</v>
      </c>
      <c r="C741" s="6">
        <f t="shared" si="158"/>
        <v>5</v>
      </c>
      <c r="D741" s="227"/>
      <c r="E741" s="227" t="s">
        <v>141</v>
      </c>
      <c r="F741" s="90" t="s">
        <v>146</v>
      </c>
      <c r="G741" s="90" t="s">
        <v>215</v>
      </c>
      <c r="H741" s="6"/>
      <c r="I741" s="49"/>
      <c r="J741" s="6"/>
      <c r="K741" s="6"/>
      <c r="L741" s="6"/>
      <c r="M741" s="6"/>
      <c r="N741" s="6"/>
    </row>
    <row r="742" spans="1:14">
      <c r="B742" s="6" t="str">
        <f t="shared" si="157"/>
        <v>6</v>
      </c>
      <c r="C742" s="6">
        <f t="shared" si="158"/>
        <v>6</v>
      </c>
      <c r="D742" s="227"/>
      <c r="E742" s="227" t="s">
        <v>84</v>
      </c>
      <c r="F742" s="90"/>
      <c r="G742" s="90"/>
      <c r="H742" s="6"/>
      <c r="I742" s="49"/>
      <c r="J742" s="6"/>
      <c r="K742" s="6"/>
      <c r="L742" s="6"/>
      <c r="M742" s="6"/>
      <c r="N742" s="6"/>
    </row>
    <row r="743" spans="1:14" ht="15.75" thickBot="1">
      <c r="D743" s="156"/>
      <c r="E743" s="156"/>
      <c r="F743" s="156"/>
      <c r="G743" s="156"/>
    </row>
    <row r="744" spans="1:14" ht="15.75" thickBot="1">
      <c r="A744" s="20" t="s">
        <v>1074</v>
      </c>
      <c r="B744" s="152" t="s">
        <v>136</v>
      </c>
      <c r="C744" s="152" t="s">
        <v>137</v>
      </c>
      <c r="D744" s="231" t="s">
        <v>125</v>
      </c>
      <c r="E744" s="232" t="s">
        <v>142</v>
      </c>
      <c r="F744" s="231" t="s">
        <v>123</v>
      </c>
      <c r="G744" s="231" t="s">
        <v>124</v>
      </c>
      <c r="H744" s="153" t="s">
        <v>245</v>
      </c>
      <c r="I744" s="148" t="s">
        <v>205</v>
      </c>
      <c r="J744" s="143">
        <f ca="1">IFERROR(IF(AND(J745:J751),0,1),0)</f>
        <v>1</v>
      </c>
      <c r="K744" s="219" t="s">
        <v>2353</v>
      </c>
      <c r="L744" s="50" t="s">
        <v>1109</v>
      </c>
      <c r="M744" s="154">
        <f>IFERROR(VLOOKUP($A744,$P$6:$S$1048576,3,0),0)</f>
        <v>0</v>
      </c>
      <c r="N744" s="154">
        <f>IFERROR(VLOOKUP($A744,$P$6:$S$1048576,4,0),0)</f>
        <v>0</v>
      </c>
    </row>
    <row r="745" spans="1:14">
      <c r="B745" s="6" t="str">
        <f t="shared" ref="B745:B751" si="159">DEC2HEX(C745)</f>
        <v>0</v>
      </c>
      <c r="C745" s="6">
        <v>0</v>
      </c>
      <c r="D745" s="227"/>
      <c r="E745" s="227" t="s">
        <v>190</v>
      </c>
      <c r="F745" s="90" t="s">
        <v>430</v>
      </c>
      <c r="G745" s="90"/>
      <c r="H745" s="6"/>
      <c r="I745" s="49"/>
      <c r="J745" s="6"/>
      <c r="K745" s="6"/>
      <c r="L745" s="6"/>
      <c r="M745" s="6"/>
      <c r="N745" s="6"/>
    </row>
    <row r="746" spans="1:14">
      <c r="B746" s="6" t="str">
        <f t="shared" si="159"/>
        <v>1</v>
      </c>
      <c r="C746" s="6">
        <f>C745+1</f>
        <v>1</v>
      </c>
      <c r="D746" s="227"/>
      <c r="E746" s="227" t="s">
        <v>184</v>
      </c>
      <c r="F746" s="90"/>
      <c r="G746" s="90"/>
      <c r="H746" s="6" t="s">
        <v>146</v>
      </c>
      <c r="I746" s="49" t="s">
        <v>364</v>
      </c>
      <c r="J746" s="79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9"/>
        <v>2</v>
      </c>
      <c r="C747" s="6">
        <f t="shared" ref="C747:C751" si="160">C746+1</f>
        <v>2</v>
      </c>
      <c r="D747" s="227" t="s">
        <v>430</v>
      </c>
      <c r="E747" s="227" t="s">
        <v>141</v>
      </c>
      <c r="F747" s="90" t="s">
        <v>146</v>
      </c>
      <c r="G747" s="90" t="s">
        <v>364</v>
      </c>
      <c r="H747" s="6"/>
      <c r="I747" s="49"/>
      <c r="J747" s="6"/>
      <c r="K747" s="6"/>
      <c r="L747" s="6"/>
      <c r="M747" s="6"/>
      <c r="N747" s="6"/>
    </row>
    <row r="748" spans="1:14">
      <c r="B748" s="6" t="str">
        <f t="shared" si="159"/>
        <v>3</v>
      </c>
      <c r="C748" s="6">
        <f t="shared" si="160"/>
        <v>3</v>
      </c>
      <c r="D748" s="227"/>
      <c r="E748" s="227" t="s">
        <v>262</v>
      </c>
      <c r="F748" s="90" t="s">
        <v>146</v>
      </c>
      <c r="G748" s="90"/>
      <c r="H748" s="6"/>
      <c r="I748" s="49"/>
      <c r="J748" s="6"/>
      <c r="K748" s="6"/>
      <c r="L748" s="6"/>
      <c r="M748" s="6"/>
      <c r="N748" s="6"/>
    </row>
    <row r="749" spans="1:14">
      <c r="B749" s="6" t="str">
        <f t="shared" si="159"/>
        <v>4</v>
      </c>
      <c r="C749" s="6">
        <f t="shared" si="160"/>
        <v>4</v>
      </c>
      <c r="D749" s="227"/>
      <c r="E749" s="227" t="s">
        <v>832</v>
      </c>
      <c r="F749" s="90"/>
      <c r="G749" s="90"/>
      <c r="H749" s="6"/>
      <c r="I749" s="49"/>
      <c r="J749" s="6"/>
      <c r="K749" s="6"/>
      <c r="L749" s="6"/>
      <c r="M749" s="6"/>
      <c r="N749" s="6"/>
    </row>
    <row r="750" spans="1:14">
      <c r="B750" s="6" t="str">
        <f t="shared" si="159"/>
        <v>5</v>
      </c>
      <c r="C750" s="6">
        <f t="shared" si="160"/>
        <v>5</v>
      </c>
      <c r="D750" s="227"/>
      <c r="E750" s="227" t="s">
        <v>141</v>
      </c>
      <c r="F750" s="90" t="s">
        <v>146</v>
      </c>
      <c r="G750" s="90" t="s">
        <v>215</v>
      </c>
      <c r="H750" s="6"/>
      <c r="I750" s="49"/>
      <c r="J750" s="6"/>
      <c r="K750" s="6"/>
      <c r="L750" s="6"/>
      <c r="M750" s="6"/>
      <c r="N750" s="6"/>
    </row>
    <row r="751" spans="1:14">
      <c r="B751" s="6" t="str">
        <f t="shared" si="159"/>
        <v>6</v>
      </c>
      <c r="C751" s="6">
        <f t="shared" si="160"/>
        <v>6</v>
      </c>
      <c r="D751" s="227"/>
      <c r="E751" s="227" t="s">
        <v>84</v>
      </c>
      <c r="F751" s="90"/>
      <c r="G751" s="90"/>
      <c r="H751" s="6"/>
      <c r="I751" s="49"/>
      <c r="J751" s="6"/>
      <c r="K751" s="6"/>
      <c r="L751" s="6"/>
      <c r="M751" s="6"/>
      <c r="N751" s="6"/>
    </row>
    <row r="752" spans="1:14" ht="15.75" thickBot="1">
      <c r="D752" s="156"/>
      <c r="E752" s="156"/>
      <c r="F752" s="156"/>
      <c r="G752" s="156"/>
    </row>
    <row r="753" spans="1:14" ht="15.75" thickBot="1">
      <c r="A753" s="20" t="s">
        <v>1075</v>
      </c>
      <c r="B753" s="152" t="s">
        <v>136</v>
      </c>
      <c r="C753" s="152" t="s">
        <v>137</v>
      </c>
      <c r="D753" s="231" t="s">
        <v>125</v>
      </c>
      <c r="E753" s="232" t="s">
        <v>142</v>
      </c>
      <c r="F753" s="231" t="s">
        <v>123</v>
      </c>
      <c r="G753" s="231" t="s">
        <v>124</v>
      </c>
      <c r="H753" s="153" t="s">
        <v>245</v>
      </c>
      <c r="I753" s="148" t="s">
        <v>205</v>
      </c>
      <c r="J753" s="143">
        <f ca="1">IFERROR(IF(AND(J754:J760),0,1),0)</f>
        <v>1</v>
      </c>
      <c r="K753" s="219" t="s">
        <v>2353</v>
      </c>
      <c r="L753" s="50" t="s">
        <v>1110</v>
      </c>
      <c r="M753" s="154">
        <f>IFERROR(VLOOKUP($A753,$P$6:$S$1048576,3,0),0)</f>
        <v>0</v>
      </c>
      <c r="N753" s="154">
        <f>IFERROR(VLOOKUP($A753,$P$6:$S$1048576,4,0),0)</f>
        <v>0</v>
      </c>
    </row>
    <row r="754" spans="1:14">
      <c r="B754" s="6" t="str">
        <f t="shared" ref="B754:B760" si="161">DEC2HEX(C754)</f>
        <v>0</v>
      </c>
      <c r="C754" s="6">
        <v>0</v>
      </c>
      <c r="D754" s="227"/>
      <c r="E754" s="227" t="s">
        <v>190</v>
      </c>
      <c r="F754" s="90" t="s">
        <v>430</v>
      </c>
      <c r="G754" s="90"/>
      <c r="H754" s="6"/>
      <c r="I754" s="49"/>
      <c r="J754" s="6"/>
      <c r="K754" s="6"/>
      <c r="L754" s="6"/>
      <c r="M754" s="6"/>
      <c r="N754" s="6"/>
    </row>
    <row r="755" spans="1:14">
      <c r="B755" s="6" t="str">
        <f t="shared" si="161"/>
        <v>1</v>
      </c>
      <c r="C755" s="6">
        <f>C754+1</f>
        <v>1</v>
      </c>
      <c r="D755" s="227"/>
      <c r="E755" s="227" t="s">
        <v>184</v>
      </c>
      <c r="F755" s="90"/>
      <c r="G755" s="90"/>
      <c r="H755" s="6" t="s">
        <v>146</v>
      </c>
      <c r="I755" s="49" t="s">
        <v>295</v>
      </c>
      <c r="J755" s="79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61"/>
        <v>2</v>
      </c>
      <c r="C756" s="6">
        <f t="shared" ref="C756:C760" si="162">C755+1</f>
        <v>2</v>
      </c>
      <c r="D756" s="227" t="s">
        <v>430</v>
      </c>
      <c r="E756" s="227" t="s">
        <v>141</v>
      </c>
      <c r="F756" s="90" t="s">
        <v>146</v>
      </c>
      <c r="G756" s="90" t="s">
        <v>295</v>
      </c>
      <c r="H756" s="6"/>
      <c r="I756" s="49"/>
      <c r="J756" s="6"/>
      <c r="K756" s="6"/>
      <c r="L756" s="6"/>
      <c r="M756" s="6"/>
      <c r="N756" s="6"/>
    </row>
    <row r="757" spans="1:14">
      <c r="B757" s="6" t="str">
        <f t="shared" si="161"/>
        <v>3</v>
      </c>
      <c r="C757" s="6">
        <f t="shared" si="162"/>
        <v>3</v>
      </c>
      <c r="D757" s="227"/>
      <c r="E757" s="227" t="s">
        <v>262</v>
      </c>
      <c r="F757" s="90" t="s">
        <v>146</v>
      </c>
      <c r="G757" s="90"/>
      <c r="H757" s="6"/>
      <c r="I757" s="49"/>
      <c r="J757" s="6"/>
      <c r="K757" s="6"/>
      <c r="L757" s="6"/>
      <c r="M757" s="6"/>
      <c r="N757" s="6"/>
    </row>
    <row r="758" spans="1:14">
      <c r="B758" s="6" t="str">
        <f t="shared" si="161"/>
        <v>4</v>
      </c>
      <c r="C758" s="6">
        <f t="shared" si="162"/>
        <v>4</v>
      </c>
      <c r="D758" s="227"/>
      <c r="E758" s="227" t="s">
        <v>816</v>
      </c>
      <c r="F758" s="90"/>
      <c r="G758" s="90"/>
      <c r="H758" s="6"/>
      <c r="I758" s="49"/>
      <c r="J758" s="6"/>
      <c r="K758" s="6"/>
      <c r="L758" s="6"/>
      <c r="M758" s="6"/>
      <c r="N758" s="6"/>
    </row>
    <row r="759" spans="1:14">
      <c r="B759" s="6" t="str">
        <f t="shared" si="161"/>
        <v>5</v>
      </c>
      <c r="C759" s="6">
        <f t="shared" si="162"/>
        <v>5</v>
      </c>
      <c r="D759" s="227"/>
      <c r="E759" s="227" t="s">
        <v>141</v>
      </c>
      <c r="F759" s="90" t="s">
        <v>146</v>
      </c>
      <c r="G759" s="90" t="s">
        <v>215</v>
      </c>
      <c r="H759" s="6"/>
      <c r="I759" s="49"/>
      <c r="J759" s="6"/>
      <c r="K759" s="6"/>
      <c r="L759" s="6"/>
      <c r="M759" s="6"/>
      <c r="N759" s="6"/>
    </row>
    <row r="760" spans="1:14">
      <c r="B760" s="6" t="str">
        <f t="shared" si="161"/>
        <v>6</v>
      </c>
      <c r="C760" s="6">
        <f t="shared" si="162"/>
        <v>6</v>
      </c>
      <c r="D760" s="227"/>
      <c r="E760" s="227" t="s">
        <v>84</v>
      </c>
      <c r="F760" s="90"/>
      <c r="G760" s="90"/>
      <c r="H760" s="6"/>
      <c r="I760" s="49"/>
      <c r="J760" s="6"/>
      <c r="K760" s="6"/>
      <c r="L760" s="6"/>
      <c r="M760" s="6"/>
      <c r="N760" s="6"/>
    </row>
    <row r="761" spans="1:14" ht="15.75" thickBot="1">
      <c r="D761" s="156"/>
      <c r="E761" s="156"/>
      <c r="F761" s="156"/>
      <c r="G761" s="156"/>
    </row>
    <row r="762" spans="1:14" ht="15.75" thickBot="1">
      <c r="A762" s="20" t="s">
        <v>1076</v>
      </c>
      <c r="B762" s="152" t="s">
        <v>136</v>
      </c>
      <c r="C762" s="152" t="s">
        <v>137</v>
      </c>
      <c r="D762" s="231" t="s">
        <v>125</v>
      </c>
      <c r="E762" s="232" t="s">
        <v>142</v>
      </c>
      <c r="F762" s="231" t="s">
        <v>123</v>
      </c>
      <c r="G762" s="231" t="s">
        <v>124</v>
      </c>
      <c r="H762" s="153" t="s">
        <v>245</v>
      </c>
      <c r="I762" s="148" t="s">
        <v>205</v>
      </c>
      <c r="J762" s="143">
        <f ca="1">IFERROR(IF(AND(J763:J768),0,1),0)</f>
        <v>1</v>
      </c>
      <c r="K762" s="219" t="s">
        <v>2353</v>
      </c>
      <c r="L762" s="50" t="s">
        <v>1111</v>
      </c>
      <c r="M762" s="154">
        <f>IFERROR(VLOOKUP($A762,$P$6:$S$1048576,3,0),0)</f>
        <v>0</v>
      </c>
      <c r="N762" s="154">
        <f>IFERROR(VLOOKUP($A762,$P$6:$S$1048576,4,0),0)</f>
        <v>0</v>
      </c>
    </row>
    <row r="763" spans="1:14">
      <c r="B763" s="6" t="str">
        <f t="shared" ref="B763:B768" si="163">DEC2HEX(C763)</f>
        <v>0</v>
      </c>
      <c r="C763" s="6">
        <v>0</v>
      </c>
      <c r="D763" s="227"/>
      <c r="E763" s="227" t="s">
        <v>262</v>
      </c>
      <c r="F763" s="90" t="s">
        <v>146</v>
      </c>
      <c r="G763" s="90"/>
      <c r="H763" s="6"/>
      <c r="I763" s="49"/>
      <c r="J763" s="6"/>
      <c r="K763" s="6"/>
      <c r="L763" s="6"/>
      <c r="M763" s="6"/>
      <c r="N763" s="6"/>
    </row>
    <row r="764" spans="1:14">
      <c r="B764" s="6" t="str">
        <f t="shared" si="163"/>
        <v>1</v>
      </c>
      <c r="C764" s="6">
        <f>C763+1</f>
        <v>1</v>
      </c>
      <c r="D764" s="227"/>
      <c r="E764" s="227" t="s">
        <v>868</v>
      </c>
      <c r="F764" s="90" t="s">
        <v>249</v>
      </c>
      <c r="G764" s="90"/>
      <c r="H764" s="6"/>
      <c r="I764" s="49"/>
      <c r="J764" s="6"/>
      <c r="K764" s="6"/>
      <c r="L764" s="6"/>
      <c r="M764" s="6"/>
      <c r="N764" s="6"/>
    </row>
    <row r="765" spans="1:14">
      <c r="B765" s="6" t="str">
        <f t="shared" si="163"/>
        <v>2</v>
      </c>
      <c r="C765" s="6">
        <f t="shared" ref="C765:C768" si="164">C764+1</f>
        <v>2</v>
      </c>
      <c r="D765" s="227"/>
      <c r="E765" s="227" t="s">
        <v>141</v>
      </c>
      <c r="F765" s="90" t="s">
        <v>146</v>
      </c>
      <c r="G765" s="90" t="s">
        <v>201</v>
      </c>
      <c r="H765" s="6"/>
      <c r="I765" s="49"/>
      <c r="J765" s="6"/>
      <c r="K765" s="6"/>
      <c r="L765" s="6"/>
      <c r="M765" s="6"/>
      <c r="N765" s="6"/>
    </row>
    <row r="766" spans="1:14">
      <c r="B766" s="6" t="str">
        <f t="shared" si="163"/>
        <v>3</v>
      </c>
      <c r="C766" s="6">
        <f t="shared" si="164"/>
        <v>3</v>
      </c>
      <c r="D766" s="227"/>
      <c r="E766" s="227" t="s">
        <v>184</v>
      </c>
      <c r="F766" s="90"/>
      <c r="G766" s="90"/>
      <c r="H766" s="6" t="s">
        <v>146</v>
      </c>
      <c r="I766" s="49" t="s">
        <v>180</v>
      </c>
      <c r="J766" s="79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3"/>
        <v>4</v>
      </c>
      <c r="C767" s="6">
        <f t="shared" si="164"/>
        <v>4</v>
      </c>
      <c r="D767" s="227" t="s">
        <v>249</v>
      </c>
      <c r="E767" s="227" t="s">
        <v>141</v>
      </c>
      <c r="F767" s="90" t="s">
        <v>146</v>
      </c>
      <c r="G767" s="90" t="s">
        <v>180</v>
      </c>
      <c r="H767" s="6"/>
      <c r="I767" s="49"/>
      <c r="J767" s="6"/>
      <c r="K767" s="6"/>
      <c r="L767" s="6"/>
      <c r="M767" s="6"/>
      <c r="N767" s="6"/>
    </row>
    <row r="768" spans="1:14">
      <c r="B768" s="6" t="str">
        <f t="shared" si="163"/>
        <v>5</v>
      </c>
      <c r="C768" s="6">
        <f t="shared" si="164"/>
        <v>5</v>
      </c>
      <c r="D768" s="227"/>
      <c r="E768" s="227" t="s">
        <v>184</v>
      </c>
      <c r="F768" s="90"/>
      <c r="G768" s="90"/>
      <c r="H768" s="6"/>
      <c r="I768" s="49"/>
      <c r="J768" s="6"/>
      <c r="K768" s="6"/>
      <c r="L768" s="6"/>
      <c r="M768" s="6"/>
      <c r="N768" s="6"/>
    </row>
    <row r="769" spans="1:14" ht="15.75" thickBot="1">
      <c r="D769" s="156"/>
      <c r="E769" s="156"/>
      <c r="F769" s="156"/>
      <c r="G769" s="156"/>
    </row>
    <row r="770" spans="1:14" ht="15.75" thickBot="1">
      <c r="A770" s="20" t="s">
        <v>1077</v>
      </c>
      <c r="B770" s="152" t="s">
        <v>136</v>
      </c>
      <c r="C770" s="152" t="s">
        <v>137</v>
      </c>
      <c r="D770" s="231" t="s">
        <v>125</v>
      </c>
      <c r="E770" s="232" t="s">
        <v>142</v>
      </c>
      <c r="F770" s="231" t="s">
        <v>123</v>
      </c>
      <c r="G770" s="231" t="s">
        <v>124</v>
      </c>
      <c r="H770" s="153" t="s">
        <v>245</v>
      </c>
      <c r="I770" s="148" t="s">
        <v>205</v>
      </c>
      <c r="J770" s="143">
        <f ca="1">IFERROR(IF(AND(J771:J780),0,1),0)</f>
        <v>0</v>
      </c>
      <c r="K770" s="219" t="s">
        <v>2353</v>
      </c>
      <c r="L770" s="50" t="s">
        <v>1112</v>
      </c>
      <c r="M770" s="154">
        <f>IFERROR(VLOOKUP($A770,$P$6:$S$1048576,3,0),0)</f>
        <v>0</v>
      </c>
      <c r="N770" s="154">
        <f>IFERROR(VLOOKUP($A770,$P$6:$S$1048576,4,0),0)</f>
        <v>0</v>
      </c>
    </row>
    <row r="771" spans="1:14">
      <c r="B771" s="6" t="str">
        <f t="shared" ref="B771:B776" si="165">DEC2HEX(C771)</f>
        <v>0</v>
      </c>
      <c r="C771" s="6">
        <v>0</v>
      </c>
      <c r="D771" s="227"/>
      <c r="E771" s="227" t="s">
        <v>289</v>
      </c>
      <c r="F771" s="90" t="s">
        <v>183</v>
      </c>
      <c r="G771" s="90" t="s">
        <v>460</v>
      </c>
      <c r="H771" s="6"/>
      <c r="I771" s="49"/>
      <c r="J771" s="6"/>
      <c r="K771" s="6"/>
      <c r="L771" s="6"/>
      <c r="M771" s="6"/>
      <c r="N771" s="6"/>
    </row>
    <row r="772" spans="1:14">
      <c r="B772" s="6" t="str">
        <f t="shared" si="165"/>
        <v>1</v>
      </c>
      <c r="C772" s="6">
        <f>C771+1</f>
        <v>1</v>
      </c>
      <c r="D772" s="227"/>
      <c r="E772" s="227" t="s">
        <v>461</v>
      </c>
      <c r="F772" s="90" t="s">
        <v>183</v>
      </c>
      <c r="G772" s="90"/>
      <c r="H772" s="6"/>
      <c r="I772" s="49"/>
      <c r="J772" s="6"/>
      <c r="K772" s="6"/>
      <c r="L772" s="6"/>
      <c r="M772" s="6"/>
      <c r="N772" s="6"/>
    </row>
    <row r="773" spans="1:14">
      <c r="B773" s="6" t="str">
        <f t="shared" si="165"/>
        <v>2</v>
      </c>
      <c r="C773" s="6">
        <f t="shared" ref="C773:C776" si="166">C772+1</f>
        <v>2</v>
      </c>
      <c r="D773" s="227"/>
      <c r="E773" s="227" t="s">
        <v>462</v>
      </c>
      <c r="F773" s="90" t="s">
        <v>183</v>
      </c>
      <c r="G773" s="90"/>
      <c r="H773" s="6" t="s">
        <v>265</v>
      </c>
      <c r="I773" s="49" t="s">
        <v>140</v>
      </c>
      <c r="J773" s="79" t="e" cm="1">
        <f t="array" aca="1" ref="J773" ca="1">RIGHT("00"&amp;INDIRECT("R_"&amp;H773),2)=RIGHT("00"&amp;I773,2)</f>
        <v>#REF!</v>
      </c>
      <c r="K773" s="6"/>
      <c r="L773" s="6"/>
      <c r="M773" s="6"/>
      <c r="N773" s="6"/>
    </row>
    <row r="774" spans="1:14">
      <c r="B774" s="6" t="str">
        <f t="shared" si="165"/>
        <v>3</v>
      </c>
      <c r="C774" s="6">
        <f t="shared" si="166"/>
        <v>3</v>
      </c>
      <c r="D774" s="227"/>
      <c r="E774" s="227" t="s">
        <v>289</v>
      </c>
      <c r="F774" s="90" t="s">
        <v>303</v>
      </c>
      <c r="G774" s="90" t="s">
        <v>460</v>
      </c>
      <c r="H774" s="6"/>
      <c r="I774" s="49"/>
      <c r="J774" s="6"/>
      <c r="K774" s="6"/>
      <c r="L774" s="6"/>
      <c r="M774" s="6"/>
      <c r="N774" s="6"/>
    </row>
    <row r="775" spans="1:14">
      <c r="B775" s="6" t="str">
        <f t="shared" si="165"/>
        <v>4</v>
      </c>
      <c r="C775" s="6">
        <f t="shared" si="166"/>
        <v>4</v>
      </c>
      <c r="D775" s="227"/>
      <c r="E775" s="227" t="s">
        <v>461</v>
      </c>
      <c r="F775" s="90" t="s">
        <v>303</v>
      </c>
      <c r="G775" s="90"/>
      <c r="H775" s="6"/>
      <c r="I775" s="49"/>
      <c r="J775" s="6"/>
      <c r="K775" s="6"/>
      <c r="L775" s="6"/>
      <c r="M775" s="6"/>
      <c r="N775" s="6"/>
    </row>
    <row r="776" spans="1:14">
      <c r="B776" s="6" t="str">
        <f t="shared" si="165"/>
        <v>5</v>
      </c>
      <c r="C776" s="6">
        <f t="shared" si="166"/>
        <v>5</v>
      </c>
      <c r="D776" s="227"/>
      <c r="E776" s="227" t="s">
        <v>462</v>
      </c>
      <c r="F776" s="90" t="s">
        <v>303</v>
      </c>
      <c r="G776" s="90"/>
      <c r="H776" s="6" t="s">
        <v>327</v>
      </c>
      <c r="I776" s="49" t="s">
        <v>140</v>
      </c>
      <c r="J776" s="79" t="e" cm="1">
        <f t="array" aca="1" ref="J776" ca="1">RIGHT("00"&amp;INDIRECT("R_"&amp;H776),2)=RIGHT("00"&amp;I776,2)</f>
        <v>#REF!</v>
      </c>
      <c r="K776" s="6"/>
      <c r="L776" s="6"/>
      <c r="M776" s="6"/>
      <c r="N776" s="6"/>
    </row>
    <row r="777" spans="1:14">
      <c r="B777" s="6" t="str">
        <f t="shared" ref="B777:B780" si="167">DEC2HEX(C777)</f>
        <v>6</v>
      </c>
      <c r="C777" s="6">
        <f t="shared" ref="C777:C780" si="168">C776+1</f>
        <v>6</v>
      </c>
      <c r="D777" s="227"/>
      <c r="E777" s="227" t="s">
        <v>289</v>
      </c>
      <c r="F777" s="90" t="s">
        <v>114</v>
      </c>
      <c r="G777" s="90" t="s">
        <v>460</v>
      </c>
      <c r="H777" s="6"/>
      <c r="I777" s="49"/>
      <c r="J777" s="6"/>
      <c r="K777" s="6"/>
      <c r="L777" s="6"/>
      <c r="M777" s="6"/>
      <c r="N777" s="6"/>
    </row>
    <row r="778" spans="1:14">
      <c r="B778" s="6" t="str">
        <f t="shared" si="167"/>
        <v>7</v>
      </c>
      <c r="C778" s="6">
        <f t="shared" si="168"/>
        <v>7</v>
      </c>
      <c r="D778" s="227"/>
      <c r="E778" s="227" t="s">
        <v>461</v>
      </c>
      <c r="F778" s="90" t="s">
        <v>114</v>
      </c>
      <c r="G778" s="90"/>
      <c r="H778" s="6"/>
      <c r="I778" s="49"/>
      <c r="J778" s="6"/>
      <c r="K778" s="6"/>
      <c r="L778" s="6"/>
      <c r="M778" s="6"/>
      <c r="N778" s="6"/>
    </row>
    <row r="779" spans="1:14">
      <c r="B779" s="6" t="str">
        <f t="shared" si="167"/>
        <v>8</v>
      </c>
      <c r="C779" s="6">
        <f t="shared" si="168"/>
        <v>8</v>
      </c>
      <c r="D779" s="227"/>
      <c r="E779" s="227" t="s">
        <v>462</v>
      </c>
      <c r="F779" s="90" t="s">
        <v>114</v>
      </c>
      <c r="G779" s="90"/>
      <c r="H779" s="6" t="s">
        <v>114</v>
      </c>
      <c r="I779" s="60" t="s">
        <v>140</v>
      </c>
      <c r="J779" s="81" t="b" cm="1">
        <f t="array" aca="1" ref="J779" ca="1">INDIRECT(H779)=I779</f>
        <v>0</v>
      </c>
      <c r="K779" s="6"/>
      <c r="L779" s="6"/>
      <c r="M779" s="6"/>
      <c r="N779" s="6"/>
    </row>
    <row r="780" spans="1:14">
      <c r="B780" s="6" t="str">
        <f t="shared" si="167"/>
        <v>9</v>
      </c>
      <c r="C780" s="6">
        <f t="shared" si="168"/>
        <v>9</v>
      </c>
      <c r="D780" s="227"/>
      <c r="E780" s="227" t="s">
        <v>184</v>
      </c>
      <c r="F780" s="90"/>
      <c r="G780" s="90"/>
      <c r="H780" s="6"/>
      <c r="I780" s="49"/>
      <c r="J780" s="6"/>
      <c r="K780" s="6"/>
      <c r="L780" s="6"/>
      <c r="M780" s="6"/>
      <c r="N780" s="6"/>
    </row>
    <row r="781" spans="1:14" ht="15.75" thickBot="1">
      <c r="D781" s="156"/>
      <c r="E781" s="156"/>
      <c r="F781" s="156"/>
      <c r="G781" s="156"/>
    </row>
    <row r="782" spans="1:14" ht="15.75" thickBot="1">
      <c r="A782" s="20" t="s">
        <v>1078</v>
      </c>
      <c r="B782" s="152" t="s">
        <v>136</v>
      </c>
      <c r="C782" s="152" t="s">
        <v>137</v>
      </c>
      <c r="D782" s="231" t="s">
        <v>125</v>
      </c>
      <c r="E782" s="232" t="s">
        <v>142</v>
      </c>
      <c r="F782" s="231" t="s">
        <v>123</v>
      </c>
      <c r="G782" s="231" t="s">
        <v>124</v>
      </c>
      <c r="H782" s="153" t="s">
        <v>245</v>
      </c>
      <c r="I782" s="148" t="s">
        <v>205</v>
      </c>
      <c r="J782" s="143">
        <f ca="1">IFERROR(IF(AND(J783:J791),0,1),0)</f>
        <v>0</v>
      </c>
      <c r="K782" s="219" t="s">
        <v>2353</v>
      </c>
      <c r="L782" s="50" t="s">
        <v>1113</v>
      </c>
      <c r="M782" s="154">
        <f>IFERROR(VLOOKUP($A782,$P$6:$S$1048576,3,0),0)</f>
        <v>0</v>
      </c>
      <c r="N782" s="154">
        <f>IFERROR(VLOOKUP($A782,$P$6:$S$1048576,4,0),0)</f>
        <v>0</v>
      </c>
    </row>
    <row r="783" spans="1:14">
      <c r="B783" s="6" t="str">
        <f t="shared" ref="B783:B791" si="169">DEC2HEX(C783)</f>
        <v>0</v>
      </c>
      <c r="C783" s="6">
        <v>0</v>
      </c>
      <c r="D783" s="227"/>
      <c r="E783" s="227" t="s">
        <v>289</v>
      </c>
      <c r="F783" s="90" t="s">
        <v>303</v>
      </c>
      <c r="G783" s="90" t="s">
        <v>464</v>
      </c>
      <c r="H783" s="6"/>
      <c r="I783" s="49"/>
      <c r="J783" s="6"/>
      <c r="K783" s="6"/>
      <c r="L783" s="6"/>
      <c r="M783" s="6"/>
      <c r="N783" s="6"/>
    </row>
    <row r="784" spans="1:14">
      <c r="B784" s="6" t="str">
        <f t="shared" si="169"/>
        <v>1</v>
      </c>
      <c r="C784" s="6">
        <f>C783+1</f>
        <v>1</v>
      </c>
      <c r="D784" s="227"/>
      <c r="E784" s="227" t="s">
        <v>289</v>
      </c>
      <c r="F784" s="90" t="s">
        <v>144</v>
      </c>
      <c r="G784" s="90" t="s">
        <v>464</v>
      </c>
      <c r="H784" s="6"/>
      <c r="I784" s="49"/>
      <c r="J784" s="6"/>
      <c r="K784" s="6"/>
      <c r="L784" s="6"/>
      <c r="M784" s="6"/>
      <c r="N784" s="6"/>
    </row>
    <row r="785" spans="1:14">
      <c r="B785" s="6" t="str">
        <f t="shared" si="169"/>
        <v>2</v>
      </c>
      <c r="C785" s="6">
        <f t="shared" ref="C785:C791" si="170">C784+1</f>
        <v>2</v>
      </c>
      <c r="D785" s="227"/>
      <c r="E785" s="227" t="s">
        <v>465</v>
      </c>
      <c r="F785" s="90" t="s">
        <v>144</v>
      </c>
      <c r="G785" s="90"/>
      <c r="H785" s="6"/>
      <c r="I785" s="49"/>
      <c r="J785" s="6"/>
      <c r="K785" s="6"/>
      <c r="L785" s="6"/>
      <c r="M785" s="6"/>
      <c r="N785" s="6"/>
    </row>
    <row r="786" spans="1:14">
      <c r="B786" s="6" t="str">
        <f t="shared" si="169"/>
        <v>3</v>
      </c>
      <c r="C786" s="6">
        <f t="shared" si="170"/>
        <v>3</v>
      </c>
      <c r="D786" s="227"/>
      <c r="E786" s="227" t="s">
        <v>289</v>
      </c>
      <c r="F786" s="90" t="s">
        <v>303</v>
      </c>
      <c r="G786" s="90" t="s">
        <v>464</v>
      </c>
      <c r="H786" s="6"/>
      <c r="I786" s="49"/>
      <c r="J786" s="6"/>
      <c r="K786" s="6"/>
      <c r="L786" s="6"/>
      <c r="M786" s="6"/>
      <c r="N786" s="6"/>
    </row>
    <row r="787" spans="1:14">
      <c r="B787" s="6" t="str">
        <f t="shared" si="169"/>
        <v>4</v>
      </c>
      <c r="C787" s="6">
        <f t="shared" si="170"/>
        <v>4</v>
      </c>
      <c r="D787" s="227"/>
      <c r="E787" s="227" t="s">
        <v>465</v>
      </c>
      <c r="F787" s="90" t="s">
        <v>303</v>
      </c>
      <c r="G787" s="90"/>
      <c r="H787" s="6"/>
      <c r="I787" s="49"/>
      <c r="J787" s="6"/>
      <c r="K787" s="6"/>
      <c r="L787" s="6"/>
      <c r="M787" s="6"/>
      <c r="N787" s="6"/>
    </row>
    <row r="788" spans="1:14">
      <c r="B788" s="6" t="str">
        <f t="shared" si="169"/>
        <v>5</v>
      </c>
      <c r="C788" s="6">
        <f t="shared" si="170"/>
        <v>5</v>
      </c>
      <c r="D788" s="227"/>
      <c r="E788" s="227" t="s">
        <v>289</v>
      </c>
      <c r="F788" s="90" t="s">
        <v>114</v>
      </c>
      <c r="G788" s="90" t="s">
        <v>464</v>
      </c>
      <c r="H788" t="s">
        <v>327</v>
      </c>
      <c r="I788" s="45" t="s">
        <v>878</v>
      </c>
      <c r="J788" s="79" t="e" cm="1">
        <f t="array" aca="1" ref="J788" ca="1">RIGHT("00"&amp;INDIRECT("R_"&amp;H788),2)=RIGHT("00"&amp;I788,2)</f>
        <v>#REF!</v>
      </c>
      <c r="K788" s="6"/>
      <c r="L788" s="6"/>
      <c r="M788" s="6"/>
      <c r="N788" s="6"/>
    </row>
    <row r="789" spans="1:14">
      <c r="B789" s="6" t="str">
        <f t="shared" si="169"/>
        <v>6</v>
      </c>
      <c r="C789" s="6">
        <f t="shared" si="170"/>
        <v>6</v>
      </c>
      <c r="D789" s="227"/>
      <c r="E789" s="227" t="s">
        <v>289</v>
      </c>
      <c r="F789" s="90" t="s">
        <v>303</v>
      </c>
      <c r="G789" s="90" t="s">
        <v>464</v>
      </c>
      <c r="H789" s="6"/>
      <c r="I789" s="49"/>
      <c r="J789" s="6"/>
      <c r="K789" s="6"/>
      <c r="L789" s="6"/>
      <c r="M789" s="6"/>
      <c r="N789" s="6"/>
    </row>
    <row r="790" spans="1:14">
      <c r="B790" s="6" t="str">
        <f t="shared" si="169"/>
        <v>7</v>
      </c>
      <c r="C790" s="6">
        <f t="shared" si="170"/>
        <v>7</v>
      </c>
      <c r="D790" s="227"/>
      <c r="E790" s="227" t="s">
        <v>465</v>
      </c>
      <c r="F790" s="90" t="s">
        <v>114</v>
      </c>
      <c r="G790" s="90"/>
      <c r="H790" s="6"/>
      <c r="I790" s="49"/>
      <c r="J790" s="6"/>
      <c r="K790" s="6"/>
      <c r="L790" s="6"/>
      <c r="M790" s="6"/>
      <c r="N790" s="6"/>
    </row>
    <row r="791" spans="1:14">
      <c r="B791" s="6" t="str">
        <f t="shared" si="169"/>
        <v>8</v>
      </c>
      <c r="C791" s="6">
        <f t="shared" si="170"/>
        <v>8</v>
      </c>
      <c r="D791" s="227"/>
      <c r="E791" s="227" t="s">
        <v>184</v>
      </c>
      <c r="F791" s="90"/>
      <c r="G791" s="90"/>
      <c r="H791" s="6"/>
      <c r="I791" s="49"/>
      <c r="J791" s="6"/>
      <c r="K791" s="6"/>
      <c r="L791" s="6"/>
      <c r="M791" s="6"/>
      <c r="N791" s="6"/>
    </row>
    <row r="792" spans="1:14" ht="15.75" thickBot="1">
      <c r="D792" s="156"/>
      <c r="E792" s="156"/>
      <c r="F792" s="156"/>
      <c r="G792" s="156"/>
    </row>
    <row r="793" spans="1:14" ht="15.75" thickBot="1">
      <c r="A793" s="20" t="s">
        <v>1079</v>
      </c>
      <c r="B793" s="152" t="s">
        <v>136</v>
      </c>
      <c r="C793" s="152" t="s">
        <v>137</v>
      </c>
      <c r="D793" s="231" t="s">
        <v>125</v>
      </c>
      <c r="E793" s="232" t="s">
        <v>142</v>
      </c>
      <c r="F793" s="231" t="s">
        <v>123</v>
      </c>
      <c r="G793" s="231" t="s">
        <v>124</v>
      </c>
      <c r="H793" s="153" t="s">
        <v>245</v>
      </c>
      <c r="I793" s="148" t="s">
        <v>205</v>
      </c>
      <c r="J793" s="143">
        <f ca="1">IFERROR(IF(AND(J794:J799),0,1),0)</f>
        <v>0</v>
      </c>
      <c r="K793" s="219" t="s">
        <v>2353</v>
      </c>
      <c r="L793" s="50" t="s">
        <v>1114</v>
      </c>
      <c r="M793" s="154">
        <f>IFERROR(VLOOKUP($A793,$P$6:$S$1048576,3,0),0)</f>
        <v>0</v>
      </c>
      <c r="N793" s="154">
        <f>IFERROR(VLOOKUP($A793,$P$6:$S$1048576,4,0),0)</f>
        <v>0</v>
      </c>
    </row>
    <row r="794" spans="1:14">
      <c r="B794" s="6" t="str">
        <f t="shared" ref="B794:B799" si="171">DEC2HEX(C794)</f>
        <v>0</v>
      </c>
      <c r="C794" s="6">
        <v>0</v>
      </c>
      <c r="D794" s="227"/>
      <c r="E794" s="227" t="s">
        <v>289</v>
      </c>
      <c r="F794" s="90" t="s">
        <v>114</v>
      </c>
      <c r="G794" s="90" t="s">
        <v>338</v>
      </c>
      <c r="H794" s="6"/>
      <c r="I794" s="49"/>
      <c r="J794" s="6"/>
      <c r="K794" s="6"/>
      <c r="L794" s="6"/>
      <c r="M794" s="6"/>
      <c r="N794" s="6"/>
    </row>
    <row r="795" spans="1:14">
      <c r="B795" s="6" t="str">
        <f t="shared" si="171"/>
        <v>1</v>
      </c>
      <c r="C795" s="6">
        <f>C794+1</f>
        <v>1</v>
      </c>
      <c r="D795" s="227"/>
      <c r="E795" s="227" t="s">
        <v>289</v>
      </c>
      <c r="F795" s="90" t="s">
        <v>183</v>
      </c>
      <c r="G795" s="90" t="s">
        <v>476</v>
      </c>
      <c r="H795" s="6"/>
      <c r="I795" s="49"/>
      <c r="J795" s="6"/>
      <c r="K795" s="6"/>
      <c r="L795" s="6"/>
      <c r="M795" s="6"/>
      <c r="N795" s="6"/>
    </row>
    <row r="796" spans="1:14">
      <c r="B796" s="6" t="str">
        <f t="shared" si="171"/>
        <v>2</v>
      </c>
      <c r="C796" s="6">
        <f t="shared" ref="C796:C799" si="172">C795+1</f>
        <v>2</v>
      </c>
      <c r="D796" s="227"/>
      <c r="E796" s="227" t="s">
        <v>143</v>
      </c>
      <c r="F796" s="90" t="s">
        <v>183</v>
      </c>
      <c r="G796" s="90"/>
      <c r="H796" s="6"/>
      <c r="I796" s="49"/>
      <c r="J796" s="6"/>
      <c r="K796" s="6"/>
      <c r="L796" s="6"/>
      <c r="M796" s="6"/>
      <c r="N796" s="6"/>
    </row>
    <row r="797" spans="1:14">
      <c r="B797" s="6" t="str">
        <f t="shared" si="171"/>
        <v>3</v>
      </c>
      <c r="C797" s="6">
        <f t="shared" si="172"/>
        <v>3</v>
      </c>
      <c r="D797" s="227"/>
      <c r="E797" s="227" t="s">
        <v>289</v>
      </c>
      <c r="F797" s="90" t="s">
        <v>183</v>
      </c>
      <c r="G797" s="90" t="s">
        <v>1090</v>
      </c>
      <c r="H797" s="6"/>
      <c r="I797" s="49"/>
      <c r="J797" s="6"/>
      <c r="K797" s="6"/>
      <c r="L797" s="6"/>
      <c r="M797" s="6"/>
      <c r="N797" s="6"/>
    </row>
    <row r="798" spans="1:14">
      <c r="B798" s="6" t="str">
        <f t="shared" si="171"/>
        <v>4</v>
      </c>
      <c r="C798" s="6">
        <f t="shared" si="172"/>
        <v>4</v>
      </c>
      <c r="D798" s="227"/>
      <c r="E798" s="227" t="s">
        <v>275</v>
      </c>
      <c r="F798" s="90" t="s">
        <v>183</v>
      </c>
      <c r="G798" s="90"/>
      <c r="H798" s="6" t="s">
        <v>183</v>
      </c>
      <c r="I798" s="49" t="s">
        <v>458</v>
      </c>
      <c r="J798" s="79" t="e" cm="1">
        <f t="array" aca="1" ref="J798" ca="1">RIGHT("00"&amp;INDIRECT("R_"&amp;H798),2)=RIGHT("00"&amp;I798,2)</f>
        <v>#REF!</v>
      </c>
      <c r="K798" s="6"/>
      <c r="L798" s="6"/>
      <c r="M798" s="6"/>
      <c r="N798" s="6"/>
    </row>
    <row r="799" spans="1:14">
      <c r="B799" s="6" t="str">
        <f t="shared" si="171"/>
        <v>5</v>
      </c>
      <c r="C799" s="6">
        <f t="shared" si="172"/>
        <v>5</v>
      </c>
      <c r="D799" s="227"/>
      <c r="E799" s="227" t="s">
        <v>184</v>
      </c>
      <c r="F799" s="90"/>
      <c r="G799" s="90"/>
      <c r="H799" s="6" t="s">
        <v>265</v>
      </c>
      <c r="I799" s="49" t="s">
        <v>459</v>
      </c>
      <c r="J799" s="79" t="e" cm="1">
        <f t="array" aca="1" ref="J799" ca="1">RIGHT("00"&amp;INDIRECT("R_"&amp;H799),2)=RIGHT("00"&amp;I799,2)</f>
        <v>#REF!</v>
      </c>
      <c r="K799" s="6"/>
      <c r="L799" s="6"/>
      <c r="M799" s="6"/>
      <c r="N799" s="6"/>
    </row>
    <row r="800" spans="1:14" ht="15.75" thickBot="1">
      <c r="D800" s="156"/>
      <c r="E800" s="156"/>
      <c r="F800" s="156"/>
      <c r="G800" s="156"/>
    </row>
    <row r="801" spans="1:14" ht="15.75" thickBot="1">
      <c r="A801" s="20" t="s">
        <v>1080</v>
      </c>
      <c r="B801" s="152" t="s">
        <v>136</v>
      </c>
      <c r="C801" s="152" t="s">
        <v>137</v>
      </c>
      <c r="D801" s="231" t="s">
        <v>125</v>
      </c>
      <c r="E801" s="232" t="s">
        <v>142</v>
      </c>
      <c r="F801" s="231" t="s">
        <v>123</v>
      </c>
      <c r="G801" s="231" t="s">
        <v>124</v>
      </c>
      <c r="H801" s="153" t="s">
        <v>245</v>
      </c>
      <c r="I801" s="148" t="s">
        <v>205</v>
      </c>
      <c r="J801" s="143">
        <f ca="1">IFERROR(IF(AND(J802:J807),0,1),0)</f>
        <v>0</v>
      </c>
      <c r="K801" s="219" t="s">
        <v>2353</v>
      </c>
      <c r="L801" s="50" t="s">
        <v>1139</v>
      </c>
      <c r="M801" s="154">
        <f>IFERROR(VLOOKUP($A801,$P$6:$S$1048576,3,0),0)</f>
        <v>0</v>
      </c>
      <c r="N801" s="154">
        <f>IFERROR(VLOOKUP($A801,$P$6:$S$1048576,4,0),0)</f>
        <v>0</v>
      </c>
    </row>
    <row r="802" spans="1:14">
      <c r="B802" s="6" t="str">
        <f t="shared" ref="B802:B807" si="173">DEC2HEX(C802)</f>
        <v>0</v>
      </c>
      <c r="C802" s="6">
        <v>0</v>
      </c>
      <c r="D802" s="227"/>
      <c r="E802" s="227" t="s">
        <v>1134</v>
      </c>
      <c r="F802" s="90" t="s">
        <v>146</v>
      </c>
      <c r="G802" s="90" t="s">
        <v>201</v>
      </c>
      <c r="H802" s="6" t="s">
        <v>146</v>
      </c>
      <c r="I802" s="60" t="s">
        <v>201</v>
      </c>
      <c r="J802" s="79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3"/>
        <v>1</v>
      </c>
      <c r="C803" s="6">
        <f>C802+1</f>
        <v>1</v>
      </c>
      <c r="D803" s="227"/>
      <c r="E803" s="227" t="s">
        <v>1134</v>
      </c>
      <c r="F803" s="90" t="s">
        <v>336</v>
      </c>
      <c r="G803" s="90" t="s">
        <v>1135</v>
      </c>
      <c r="H803" s="6" t="s">
        <v>144</v>
      </c>
      <c r="I803" s="60" t="s">
        <v>215</v>
      </c>
      <c r="J803" s="79" t="e" cm="1">
        <f t="array" aca="1" ref="J803" ca="1">RIGHT("00"&amp;INDIRECT("R_"&amp;H803),2)=RIGHT("00"&amp;I803,2)</f>
        <v>#REF!</v>
      </c>
      <c r="K803" s="6"/>
      <c r="L803" s="6"/>
      <c r="M803" s="6"/>
      <c r="N803" s="6"/>
    </row>
    <row r="804" spans="1:14">
      <c r="B804" s="6" t="str">
        <f t="shared" si="173"/>
        <v>2</v>
      </c>
      <c r="C804" s="6">
        <f t="shared" ref="C804:C808" si="174">C803+1</f>
        <v>2</v>
      </c>
      <c r="D804" s="227"/>
      <c r="E804" s="227" t="s">
        <v>1136</v>
      </c>
      <c r="F804" s="90" t="s">
        <v>728</v>
      </c>
      <c r="G804" s="90" t="s">
        <v>1138</v>
      </c>
      <c r="H804" s="6" t="s">
        <v>182</v>
      </c>
      <c r="I804" s="60" t="s">
        <v>215</v>
      </c>
      <c r="J804" s="79" t="e" cm="1">
        <f t="array" aca="1" ref="J804" ca="1">RIGHT("00"&amp;INDIRECT("R_"&amp;H804),2)=RIGHT("00"&amp;I804,2)</f>
        <v>#REF!</v>
      </c>
      <c r="K804" s="6"/>
      <c r="L804" s="6"/>
      <c r="M804" s="6"/>
      <c r="N804" s="6"/>
    </row>
    <row r="805" spans="1:14">
      <c r="B805" s="6" t="str">
        <f t="shared" si="173"/>
        <v>3</v>
      </c>
      <c r="C805" s="6">
        <f t="shared" si="174"/>
        <v>3</v>
      </c>
      <c r="D805" s="227"/>
      <c r="E805" s="227" t="s">
        <v>1137</v>
      </c>
      <c r="F805" s="90"/>
      <c r="G805" s="90"/>
      <c r="H805" s="6" t="s">
        <v>1140</v>
      </c>
      <c r="I805" s="60" t="s">
        <v>185</v>
      </c>
      <c r="J805" s="79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3"/>
        <v>4</v>
      </c>
      <c r="C806" s="6">
        <f t="shared" si="174"/>
        <v>4</v>
      </c>
      <c r="D806" s="227"/>
      <c r="E806" s="227" t="s">
        <v>1134</v>
      </c>
      <c r="F806" s="90" t="s">
        <v>146</v>
      </c>
      <c r="G806" s="90" t="s">
        <v>185</v>
      </c>
      <c r="H806" s="6" t="s">
        <v>1141</v>
      </c>
      <c r="I806" s="60" t="s">
        <v>202</v>
      </c>
      <c r="J806" s="79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3"/>
        <v>5</v>
      </c>
      <c r="C807" s="6">
        <f t="shared" si="174"/>
        <v>5</v>
      </c>
      <c r="D807" s="227"/>
      <c r="E807" s="227" t="s">
        <v>1136</v>
      </c>
      <c r="F807" s="90" t="s">
        <v>728</v>
      </c>
      <c r="G807" s="90" t="s">
        <v>1138</v>
      </c>
      <c r="H807" s="6" t="s">
        <v>1142</v>
      </c>
      <c r="I807" s="60" t="s">
        <v>394</v>
      </c>
      <c r="J807" s="79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5">DEC2HEX(C808)</f>
        <v>6</v>
      </c>
      <c r="C808" s="6">
        <f t="shared" si="174"/>
        <v>6</v>
      </c>
      <c r="D808" s="227"/>
      <c r="E808" s="227" t="s">
        <v>184</v>
      </c>
      <c r="F808" s="90"/>
      <c r="G808" s="90"/>
      <c r="H808" s="6"/>
      <c r="I808" s="49"/>
      <c r="J808" s="6"/>
      <c r="K808" s="6"/>
      <c r="L808" s="6"/>
      <c r="M808" s="6"/>
      <c r="N808" s="6"/>
    </row>
    <row r="809" spans="1:14" ht="15.75" thickBot="1">
      <c r="D809" s="156"/>
      <c r="E809" s="156"/>
      <c r="F809" s="156"/>
      <c r="G809" s="156"/>
    </row>
    <row r="810" spans="1:14" ht="15.75" thickBot="1">
      <c r="A810" s="20" t="s">
        <v>1081</v>
      </c>
      <c r="B810" s="152" t="s">
        <v>136</v>
      </c>
      <c r="C810" s="152" t="s">
        <v>137</v>
      </c>
      <c r="D810" s="231" t="s">
        <v>125</v>
      </c>
      <c r="E810" s="232" t="s">
        <v>142</v>
      </c>
      <c r="F810" s="231" t="s">
        <v>123</v>
      </c>
      <c r="G810" s="231" t="s">
        <v>124</v>
      </c>
      <c r="H810" s="153" t="s">
        <v>245</v>
      </c>
      <c r="I810" s="148" t="s">
        <v>205</v>
      </c>
      <c r="J810" s="143">
        <f ca="1">IFERROR(IF(AND(J811:J813),0,1),0)</f>
        <v>1</v>
      </c>
      <c r="K810" s="219" t="s">
        <v>2353</v>
      </c>
      <c r="L810" s="50" t="s">
        <v>1145</v>
      </c>
      <c r="M810" s="154">
        <f>IFERROR(VLOOKUP($A810,$P$6:$S$1048576,3,0),0)</f>
        <v>0</v>
      </c>
      <c r="N810" s="154">
        <f>IFERROR(VLOOKUP($A810,$P$6:$S$1048576,4,0),0)</f>
        <v>0</v>
      </c>
    </row>
    <row r="811" spans="1:14">
      <c r="B811" s="6" t="str">
        <f t="shared" ref="B811:B813" si="176">DEC2HEX(C811)</f>
        <v>0</v>
      </c>
      <c r="C811" s="6">
        <v>0</v>
      </c>
      <c r="D811" s="227"/>
      <c r="E811" s="227" t="s">
        <v>1134</v>
      </c>
      <c r="F811" s="90" t="s">
        <v>146</v>
      </c>
      <c r="G811" s="90" t="s">
        <v>449</v>
      </c>
      <c r="H811" s="6" t="s">
        <v>146</v>
      </c>
      <c r="I811" s="60" t="s">
        <v>907</v>
      </c>
      <c r="J811" s="79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6"/>
        <v>1</v>
      </c>
      <c r="C812" s="6">
        <f>C811+1</f>
        <v>1</v>
      </c>
      <c r="D812" s="227"/>
      <c r="E812" s="227" t="s">
        <v>1144</v>
      </c>
      <c r="F812" s="90" t="s">
        <v>146</v>
      </c>
      <c r="G812" s="90"/>
      <c r="H812" s="6" t="s">
        <v>115</v>
      </c>
      <c r="I812" s="60">
        <v>1</v>
      </c>
      <c r="J812" s="81" t="b" cm="1">
        <f t="array" aca="1" ref="J812" ca="1">INDIRECT(H812)=I812</f>
        <v>1</v>
      </c>
      <c r="K812" s="6"/>
      <c r="L812" s="6"/>
      <c r="M812" s="6"/>
      <c r="N812" s="6"/>
    </row>
    <row r="813" spans="1:14">
      <c r="B813" s="6" t="str">
        <f t="shared" si="176"/>
        <v>2</v>
      </c>
      <c r="C813" s="6">
        <f t="shared" ref="C813:C819" si="177">C812+1</f>
        <v>2</v>
      </c>
      <c r="D813" s="227"/>
      <c r="E813" s="227" t="s">
        <v>184</v>
      </c>
      <c r="F813" s="90"/>
      <c r="G813" s="90"/>
      <c r="H813" s="6"/>
      <c r="I813" s="60"/>
      <c r="J813" s="6"/>
      <c r="K813" s="6"/>
      <c r="L813" s="6"/>
      <c r="M813" s="6"/>
      <c r="N813" s="6"/>
    </row>
    <row r="814" spans="1:14" ht="15.75" thickBot="1">
      <c r="D814" s="156"/>
      <c r="E814" s="156"/>
      <c r="F814" s="156"/>
      <c r="G814" s="156"/>
    </row>
    <row r="815" spans="1:14" ht="15.75" thickBot="1">
      <c r="A815" s="20" t="s">
        <v>1082</v>
      </c>
      <c r="B815" s="152" t="s">
        <v>136</v>
      </c>
      <c r="C815" s="152" t="s">
        <v>137</v>
      </c>
      <c r="D815" s="231" t="s">
        <v>125</v>
      </c>
      <c r="E815" s="232" t="s">
        <v>142</v>
      </c>
      <c r="F815" s="231" t="s">
        <v>123</v>
      </c>
      <c r="G815" s="231" t="s">
        <v>124</v>
      </c>
      <c r="H815" s="153" t="s">
        <v>245</v>
      </c>
      <c r="I815" s="148" t="s">
        <v>205</v>
      </c>
      <c r="J815" s="143">
        <f ca="1">IFERROR(IF(AND(J816:J819),0,1),0)</f>
        <v>1</v>
      </c>
      <c r="K815" s="219" t="s">
        <v>2353</v>
      </c>
      <c r="L815" s="50" t="s">
        <v>1146</v>
      </c>
      <c r="M815" s="154">
        <f>IFERROR(VLOOKUP($A815,$P$6:$S$1048576,3,0),0)</f>
        <v>0</v>
      </c>
      <c r="N815" s="154">
        <f>IFERROR(VLOOKUP($A815,$P$6:$S$1048576,4,0),0)</f>
        <v>0</v>
      </c>
    </row>
    <row r="816" spans="1:14">
      <c r="B816" s="6" t="str">
        <f t="shared" ref="B816:B818" si="178">DEC2HEX(C816)</f>
        <v>0</v>
      </c>
      <c r="C816" s="6">
        <v>0</v>
      </c>
      <c r="D816" s="227"/>
      <c r="E816" s="227" t="s">
        <v>1134</v>
      </c>
      <c r="F816" s="90" t="s">
        <v>146</v>
      </c>
      <c r="G816" s="90" t="s">
        <v>449</v>
      </c>
      <c r="H816" s="6" t="s">
        <v>146</v>
      </c>
      <c r="I816" s="60" t="s">
        <v>890</v>
      </c>
      <c r="J816" s="79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8"/>
        <v>1</v>
      </c>
      <c r="C817" s="6">
        <f>C816+1</f>
        <v>1</v>
      </c>
      <c r="D817" s="227"/>
      <c r="E817" s="227" t="s">
        <v>1144</v>
      </c>
      <c r="F817" s="90" t="s">
        <v>146</v>
      </c>
      <c r="G817" s="90"/>
      <c r="H817" s="6" t="s">
        <v>115</v>
      </c>
      <c r="I817" s="60">
        <v>0</v>
      </c>
      <c r="J817" s="81" t="b" cm="1">
        <f t="array" aca="1" ref="J817" ca="1">INDIRECT(H817)=I817</f>
        <v>0</v>
      </c>
      <c r="K817" s="6"/>
      <c r="L817" s="6"/>
      <c r="M817" s="6"/>
      <c r="N817" s="6"/>
    </row>
    <row r="818" spans="1:14">
      <c r="B818" s="6" t="str">
        <f t="shared" si="178"/>
        <v>2</v>
      </c>
      <c r="C818" s="6">
        <f t="shared" si="177"/>
        <v>2</v>
      </c>
      <c r="D818" s="227"/>
      <c r="E818" s="227" t="s">
        <v>1144</v>
      </c>
      <c r="F818" s="90" t="s">
        <v>146</v>
      </c>
      <c r="G818" s="90"/>
      <c r="H818" s="6"/>
      <c r="I818" s="60"/>
      <c r="J818" s="6"/>
      <c r="K818" s="6"/>
      <c r="L818" s="6"/>
      <c r="M818" s="6"/>
      <c r="N818" s="6"/>
    </row>
    <row r="819" spans="1:14">
      <c r="B819" s="6" t="str">
        <f t="shared" ref="B819" si="179">DEC2HEX(C819)</f>
        <v>3</v>
      </c>
      <c r="C819" s="6">
        <f t="shared" si="177"/>
        <v>3</v>
      </c>
      <c r="D819" s="227"/>
      <c r="E819" s="227" t="s">
        <v>184</v>
      </c>
      <c r="F819" s="90"/>
      <c r="G819" s="90"/>
      <c r="H819" s="6"/>
      <c r="I819" s="60"/>
      <c r="J819" s="6"/>
      <c r="K819" s="6"/>
      <c r="L819" s="6"/>
      <c r="M819" s="6"/>
      <c r="N819" s="6"/>
    </row>
    <row r="820" spans="1:14" ht="15.75" thickBot="1">
      <c r="D820" s="156"/>
      <c r="E820" s="156"/>
      <c r="F820" s="156"/>
      <c r="G820" s="156"/>
    </row>
    <row r="821" spans="1:14" ht="15.75" thickBot="1">
      <c r="A821" s="20" t="s">
        <v>1083</v>
      </c>
      <c r="B821" s="152" t="s">
        <v>136</v>
      </c>
      <c r="C821" s="152" t="s">
        <v>137</v>
      </c>
      <c r="D821" s="231" t="s">
        <v>125</v>
      </c>
      <c r="E821" s="232" t="s">
        <v>142</v>
      </c>
      <c r="F821" s="231" t="s">
        <v>123</v>
      </c>
      <c r="G821" s="231" t="s">
        <v>124</v>
      </c>
      <c r="H821" s="153" t="s">
        <v>245</v>
      </c>
      <c r="I821" s="148" t="s">
        <v>205</v>
      </c>
      <c r="J821" s="143">
        <f ca="1">IFERROR(IF(AND(J822:J825),0,1),0)</f>
        <v>1</v>
      </c>
      <c r="K821" s="219" t="s">
        <v>2353</v>
      </c>
      <c r="L821" s="50" t="s">
        <v>1147</v>
      </c>
      <c r="M821" s="154">
        <f>IFERROR(VLOOKUP($A821,$P$6:$S$1048576,3,0),0)</f>
        <v>0</v>
      </c>
      <c r="N821" s="154">
        <f>IFERROR(VLOOKUP($A821,$P$6:$S$1048576,4,0),0)</f>
        <v>0</v>
      </c>
    </row>
    <row r="822" spans="1:14">
      <c r="B822" s="6" t="str">
        <f t="shared" ref="B822:B825" si="180">DEC2HEX(C822)</f>
        <v>0</v>
      </c>
      <c r="C822" s="6">
        <v>0</v>
      </c>
      <c r="D822" s="227"/>
      <c r="E822" s="227" t="s">
        <v>1134</v>
      </c>
      <c r="F822" s="90" t="s">
        <v>146</v>
      </c>
      <c r="G822" s="90" t="s">
        <v>216</v>
      </c>
      <c r="H822" s="6" t="s">
        <v>146</v>
      </c>
      <c r="I822" s="60" t="s">
        <v>216</v>
      </c>
      <c r="J822" s="79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80"/>
        <v>1</v>
      </c>
      <c r="C823" s="6">
        <f>C822+1</f>
        <v>1</v>
      </c>
      <c r="D823" s="227"/>
      <c r="E823" s="227" t="s">
        <v>1143</v>
      </c>
      <c r="F823" s="90">
        <v>7</v>
      </c>
      <c r="G823" s="90" t="s">
        <v>146</v>
      </c>
      <c r="H823" s="6" t="s">
        <v>119</v>
      </c>
      <c r="I823" s="60">
        <v>0</v>
      </c>
      <c r="J823" s="81" t="b" cm="1">
        <f t="array" aca="1" ref="J823" ca="1">INDIRECT(H823)=I823</f>
        <v>1</v>
      </c>
      <c r="K823" s="6"/>
      <c r="L823" s="6"/>
      <c r="M823" s="6"/>
      <c r="N823" s="6"/>
    </row>
    <row r="824" spans="1:14">
      <c r="B824" s="6" t="str">
        <f t="shared" si="180"/>
        <v>2</v>
      </c>
      <c r="C824" s="6">
        <f t="shared" ref="C824:C825" si="181">C823+1</f>
        <v>2</v>
      </c>
      <c r="D824" s="227"/>
      <c r="E824" s="227" t="s">
        <v>184</v>
      </c>
      <c r="F824" s="90"/>
      <c r="G824" s="90"/>
      <c r="H824" s="6"/>
      <c r="I824" s="60"/>
      <c r="J824" s="6"/>
      <c r="K824" s="6"/>
      <c r="L824" s="6"/>
      <c r="M824" s="6"/>
      <c r="N824" s="6"/>
    </row>
    <row r="825" spans="1:14">
      <c r="B825" s="6" t="str">
        <f t="shared" si="180"/>
        <v>3</v>
      </c>
      <c r="C825" s="6">
        <f t="shared" si="181"/>
        <v>3</v>
      </c>
      <c r="D825" s="227"/>
      <c r="E825" s="227"/>
      <c r="F825" s="90"/>
      <c r="G825" s="90"/>
      <c r="H825" s="6"/>
      <c r="I825" s="60"/>
      <c r="J825" s="6"/>
      <c r="K825" s="6"/>
      <c r="L825" s="6"/>
      <c r="M825" s="6"/>
      <c r="N825" s="6"/>
    </row>
    <row r="826" spans="1:14" ht="15.75" thickBot="1">
      <c r="D826" s="156"/>
      <c r="E826" s="156"/>
      <c r="F826" s="156"/>
      <c r="G826" s="156"/>
    </row>
    <row r="827" spans="1:14" ht="15.75" thickBot="1">
      <c r="A827" s="20" t="s">
        <v>1084</v>
      </c>
      <c r="B827" s="152" t="s">
        <v>136</v>
      </c>
      <c r="C827" s="152" t="s">
        <v>137</v>
      </c>
      <c r="D827" s="231" t="s">
        <v>125</v>
      </c>
      <c r="E827" s="232" t="s">
        <v>142</v>
      </c>
      <c r="F827" s="231" t="s">
        <v>123</v>
      </c>
      <c r="G827" s="231" t="s">
        <v>124</v>
      </c>
      <c r="H827" s="153" t="s">
        <v>245</v>
      </c>
      <c r="I827" s="148" t="s">
        <v>205</v>
      </c>
      <c r="J827" s="143">
        <f ca="1">IFERROR(IF(AND(J828:J831),0,1),0)</f>
        <v>1</v>
      </c>
      <c r="K827" s="219" t="s">
        <v>2353</v>
      </c>
      <c r="L827" s="50" t="s">
        <v>1148</v>
      </c>
      <c r="M827" s="154">
        <f>IFERROR(VLOOKUP($A827,$P$6:$S$1048576,3,0),0)</f>
        <v>0</v>
      </c>
      <c r="N827" s="154">
        <f>IFERROR(VLOOKUP($A827,$P$6:$S$1048576,4,0),0)</f>
        <v>0</v>
      </c>
    </row>
    <row r="828" spans="1:14">
      <c r="B828" s="6" t="str">
        <f t="shared" ref="B828:B831" si="182">DEC2HEX(C828)</f>
        <v>0</v>
      </c>
      <c r="C828" s="6">
        <v>0</v>
      </c>
      <c r="D828" s="227"/>
      <c r="E828" s="227" t="s">
        <v>1134</v>
      </c>
      <c r="F828" s="90" t="s">
        <v>146</v>
      </c>
      <c r="G828" s="90" t="s">
        <v>216</v>
      </c>
      <c r="H828" s="6" t="s">
        <v>146</v>
      </c>
      <c r="I828" s="60" t="s">
        <v>216</v>
      </c>
      <c r="J828" s="79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2"/>
        <v>1</v>
      </c>
      <c r="C829" s="6">
        <f>C828+1</f>
        <v>1</v>
      </c>
      <c r="D829" s="227"/>
      <c r="E829" s="227" t="s">
        <v>1143</v>
      </c>
      <c r="F829" s="90">
        <v>0</v>
      </c>
      <c r="G829" s="90" t="s">
        <v>146</v>
      </c>
      <c r="H829" s="6" t="s">
        <v>119</v>
      </c>
      <c r="I829" s="60">
        <v>1</v>
      </c>
      <c r="J829" s="81" t="b" cm="1">
        <f t="array" aca="1" ref="J829" ca="1">INDIRECT(H829)=I829</f>
        <v>0</v>
      </c>
      <c r="K829" s="6"/>
      <c r="L829" s="6"/>
      <c r="M829" s="6"/>
      <c r="N829" s="6"/>
    </row>
    <row r="830" spans="1:14">
      <c r="B830" s="6" t="str">
        <f t="shared" si="182"/>
        <v>2</v>
      </c>
      <c r="C830" s="6">
        <f t="shared" ref="C830:C831" si="183">C829+1</f>
        <v>2</v>
      </c>
      <c r="D830" s="227"/>
      <c r="E830" s="227" t="s">
        <v>184</v>
      </c>
      <c r="F830" s="90"/>
      <c r="G830" s="90"/>
      <c r="H830" s="6"/>
      <c r="I830" s="60"/>
      <c r="J830" s="6"/>
      <c r="K830" s="6"/>
      <c r="L830" s="6"/>
      <c r="M830" s="6"/>
      <c r="N830" s="6"/>
    </row>
    <row r="831" spans="1:14">
      <c r="B831" s="6" t="str">
        <f t="shared" si="182"/>
        <v>3</v>
      </c>
      <c r="C831" s="6">
        <f t="shared" si="183"/>
        <v>3</v>
      </c>
      <c r="D831" s="227"/>
      <c r="E831" s="227"/>
      <c r="F831" s="90"/>
      <c r="G831" s="90"/>
      <c r="H831" s="6"/>
      <c r="I831" s="60"/>
      <c r="J831" s="6"/>
      <c r="K831" s="6"/>
      <c r="L831" s="6"/>
      <c r="M831" s="6"/>
      <c r="N831" s="6"/>
    </row>
    <row r="832" spans="1:14" ht="15.75" thickBot="1">
      <c r="D832" s="156"/>
      <c r="E832" s="156"/>
      <c r="F832" s="156"/>
      <c r="G832" s="156"/>
    </row>
    <row r="833" spans="1:14" ht="15.75" thickBot="1">
      <c r="A833" s="20" t="s">
        <v>1085</v>
      </c>
      <c r="B833" s="152" t="s">
        <v>136</v>
      </c>
      <c r="C833" s="152" t="s">
        <v>137</v>
      </c>
      <c r="D833" s="231" t="s">
        <v>125</v>
      </c>
      <c r="E833" s="232" t="s">
        <v>142</v>
      </c>
      <c r="F833" s="231" t="s">
        <v>123</v>
      </c>
      <c r="G833" s="231" t="s">
        <v>124</v>
      </c>
      <c r="H833" s="153" t="s">
        <v>245</v>
      </c>
      <c r="I833" s="148" t="s">
        <v>205</v>
      </c>
      <c r="J833" s="143">
        <f ca="1">IFERROR(IF(AND(J834:J841),0,1),0)</f>
        <v>0</v>
      </c>
      <c r="K833" s="219" t="s">
        <v>2353</v>
      </c>
      <c r="L833" s="50" t="s">
        <v>1153</v>
      </c>
      <c r="M833" s="154">
        <f>IFERROR(VLOOKUP($A833,$P$6:$S$1048576,3,0),0)</f>
        <v>0</v>
      </c>
      <c r="N833" s="154">
        <f>IFERROR(VLOOKUP($A833,$P$6:$S$1048576,4,0),0)</f>
        <v>0</v>
      </c>
    </row>
    <row r="834" spans="1:14">
      <c r="B834" s="6" t="str">
        <f t="shared" ref="B834:B837" si="184">DEC2HEX(C834)</f>
        <v>0</v>
      </c>
      <c r="C834" s="6">
        <v>0</v>
      </c>
      <c r="D834" s="227"/>
      <c r="E834" s="227" t="s">
        <v>1134</v>
      </c>
      <c r="F834" s="90" t="s">
        <v>1149</v>
      </c>
      <c r="G834" s="90" t="s">
        <v>1151</v>
      </c>
      <c r="H834" s="6" t="s">
        <v>1149</v>
      </c>
      <c r="I834" s="60" t="s">
        <v>1151</v>
      </c>
      <c r="J834" s="79" t="b" cm="1">
        <f t="array" aca="1" ref="J834" ca="1">RIGHT("00"&amp;INDIRECT("R_"&amp;H834),2)=RIGHT("00"&amp;I834,2)</f>
        <v>0</v>
      </c>
      <c r="K834" s="6"/>
      <c r="L834" s="6"/>
      <c r="M834" s="6"/>
      <c r="N834" s="6"/>
    </row>
    <row r="835" spans="1:14">
      <c r="B835" s="6" t="str">
        <f t="shared" si="184"/>
        <v>1</v>
      </c>
      <c r="C835" s="6">
        <f>C834+1</f>
        <v>1</v>
      </c>
      <c r="D835" s="227"/>
      <c r="E835" s="227" t="s">
        <v>1134</v>
      </c>
      <c r="F835" s="90" t="s">
        <v>1150</v>
      </c>
      <c r="G835" s="90" t="s">
        <v>140</v>
      </c>
      <c r="H835" s="6" t="s">
        <v>327</v>
      </c>
      <c r="I835" s="60" t="s">
        <v>140</v>
      </c>
      <c r="J835" s="79" t="e" cm="1">
        <f t="array" aca="1" ref="J835" ca="1">RIGHT("00"&amp;INDIRECT("R_"&amp;H835),2)=RIGHT("00"&amp;I835,2)</f>
        <v>#REF!</v>
      </c>
      <c r="K835" s="6"/>
      <c r="L835" s="6"/>
      <c r="M835" s="6"/>
      <c r="N835" s="6"/>
    </row>
    <row r="836" spans="1:14">
      <c r="B836" s="6" t="str">
        <f t="shared" si="184"/>
        <v>2</v>
      </c>
      <c r="C836" s="6">
        <f t="shared" ref="C836:C841" si="185">C835+1</f>
        <v>2</v>
      </c>
      <c r="D836" s="227"/>
      <c r="E836" s="227" t="s">
        <v>1134</v>
      </c>
      <c r="F836" s="90" t="s">
        <v>1152</v>
      </c>
      <c r="G836" s="90" t="s">
        <v>180</v>
      </c>
      <c r="H836" s="6" t="s">
        <v>146</v>
      </c>
      <c r="I836" s="60" t="s">
        <v>140</v>
      </c>
      <c r="J836" s="79" t="b" cm="1">
        <f t="array" aca="1" ref="J836" ca="1">RIGHT("00"&amp;INDIRECT("R_"&amp;H836),2)=RIGHT("00"&amp;I836,2)</f>
        <v>0</v>
      </c>
      <c r="K836" s="6"/>
      <c r="L836" s="6"/>
      <c r="M836" s="6"/>
      <c r="N836" s="6"/>
    </row>
    <row r="837" spans="1:14">
      <c r="B837" s="6" t="str">
        <f t="shared" si="184"/>
        <v>3</v>
      </c>
      <c r="C837" s="6">
        <f t="shared" si="185"/>
        <v>3</v>
      </c>
      <c r="D837" s="227"/>
      <c r="E837" s="227" t="s">
        <v>1134</v>
      </c>
      <c r="F837" s="90" t="s">
        <v>327</v>
      </c>
      <c r="G837" s="90" t="s">
        <v>1150</v>
      </c>
      <c r="H837" s="6" t="s">
        <v>144</v>
      </c>
      <c r="I837" s="60" t="s">
        <v>140</v>
      </c>
      <c r="J837" s="79" t="e" cm="1">
        <f t="array" aca="1" ref="J837" ca="1">RIGHT("00"&amp;INDIRECT("R_"&amp;H837),2)=RIGHT("00"&amp;I837,2)</f>
        <v>#REF!</v>
      </c>
      <c r="K837" s="6"/>
      <c r="L837" s="6"/>
      <c r="M837" s="6"/>
      <c r="N837" s="6"/>
    </row>
    <row r="838" spans="1:14">
      <c r="B838" s="6" t="str">
        <f t="shared" ref="B838" si="186">DEC2HEX(C838)</f>
        <v>4</v>
      </c>
      <c r="C838" s="6">
        <f t="shared" si="185"/>
        <v>4</v>
      </c>
      <c r="D838" s="227"/>
      <c r="E838" s="227" t="s">
        <v>1134</v>
      </c>
      <c r="F838" s="91" t="s">
        <v>146</v>
      </c>
      <c r="G838" s="90" t="s">
        <v>327</v>
      </c>
      <c r="H838" s="6" t="s">
        <v>182</v>
      </c>
      <c r="I838" s="60" t="s">
        <v>180</v>
      </c>
      <c r="J838" s="79" t="e" cm="1">
        <f t="array" aca="1" ref="J838" ca="1">RIGHT("00"&amp;INDIRECT("R_"&amp;H838),2)=RIGHT("00"&amp;I838,2)</f>
        <v>#REF!</v>
      </c>
      <c r="K838" s="6"/>
      <c r="L838" s="6"/>
      <c r="M838" s="6"/>
      <c r="N838" s="6"/>
    </row>
    <row r="839" spans="1:14">
      <c r="B839" s="6" t="str">
        <f t="shared" ref="B839:B841" si="187">DEC2HEX(C839)</f>
        <v>5</v>
      </c>
      <c r="C839" s="6">
        <f t="shared" si="185"/>
        <v>5</v>
      </c>
      <c r="D839" s="227"/>
      <c r="E839" s="227" t="s">
        <v>1134</v>
      </c>
      <c r="F839" s="91" t="s">
        <v>144</v>
      </c>
      <c r="G839" s="90" t="s">
        <v>1150</v>
      </c>
      <c r="H839" s="6"/>
      <c r="I839" s="60"/>
      <c r="J839" s="6"/>
      <c r="K839" s="6"/>
      <c r="L839" s="6"/>
      <c r="M839" s="6"/>
      <c r="N839" s="6"/>
    </row>
    <row r="840" spans="1:14">
      <c r="B840" s="6" t="str">
        <f t="shared" si="187"/>
        <v>6</v>
      </c>
      <c r="C840" s="6">
        <f t="shared" si="185"/>
        <v>6</v>
      </c>
      <c r="D840" s="227"/>
      <c r="E840" s="227" t="s">
        <v>1134</v>
      </c>
      <c r="F840" s="91" t="s">
        <v>182</v>
      </c>
      <c r="G840" s="90" t="s">
        <v>1152</v>
      </c>
      <c r="H840" s="6"/>
      <c r="I840" s="60"/>
      <c r="J840" s="6"/>
      <c r="K840" s="6"/>
      <c r="L840" s="6"/>
      <c r="M840" s="6"/>
      <c r="N840" s="6"/>
    </row>
    <row r="841" spans="1:14">
      <c r="B841" s="6" t="str">
        <f t="shared" si="187"/>
        <v>7</v>
      </c>
      <c r="C841" s="6">
        <f t="shared" si="185"/>
        <v>7</v>
      </c>
      <c r="D841" s="227"/>
      <c r="E841" s="227" t="s">
        <v>184</v>
      </c>
      <c r="F841" s="91"/>
      <c r="G841" s="90"/>
      <c r="H841" s="6"/>
      <c r="I841" s="60"/>
      <c r="J841" s="6"/>
      <c r="K841" s="6"/>
      <c r="L841" s="6"/>
      <c r="M841" s="6"/>
      <c r="N841" s="6"/>
    </row>
    <row r="842" spans="1:14" ht="15.75" thickBot="1">
      <c r="D842" s="156"/>
      <c r="E842" s="156"/>
      <c r="F842" s="156"/>
      <c r="G842" s="156"/>
    </row>
    <row r="843" spans="1:14" ht="15.75" thickBot="1">
      <c r="A843" s="20" t="s">
        <v>1154</v>
      </c>
      <c r="B843" s="152" t="s">
        <v>136</v>
      </c>
      <c r="C843" s="152" t="s">
        <v>137</v>
      </c>
      <c r="D843" s="231" t="s">
        <v>125</v>
      </c>
      <c r="E843" s="232" t="s">
        <v>142</v>
      </c>
      <c r="F843" s="231" t="s">
        <v>123</v>
      </c>
      <c r="G843" s="231" t="s">
        <v>124</v>
      </c>
      <c r="H843" s="153" t="s">
        <v>245</v>
      </c>
      <c r="I843" s="148" t="s">
        <v>205</v>
      </c>
      <c r="J843" s="143">
        <f ca="1">IFERROR(IF(AND(J844:J847),0,1),0)</f>
        <v>1</v>
      </c>
      <c r="K843" s="219" t="s">
        <v>2353</v>
      </c>
      <c r="L843" s="50" t="s">
        <v>1173</v>
      </c>
      <c r="M843" s="154">
        <f>IFERROR(VLOOKUP($A843,$P$6:$S$1048576,3,0),0)</f>
        <v>0</v>
      </c>
      <c r="N843" s="154">
        <f>IFERROR(VLOOKUP($A843,$P$6:$S$1048576,4,0),0)</f>
        <v>0</v>
      </c>
    </row>
    <row r="844" spans="1:14">
      <c r="B844" s="6" t="str">
        <f t="shared" ref="B844:B847" si="188">DEC2HEX(C844)</f>
        <v>0</v>
      </c>
      <c r="C844" s="6">
        <v>0</v>
      </c>
      <c r="D844" s="227"/>
      <c r="E844" s="227" t="s">
        <v>141</v>
      </c>
      <c r="F844" s="90" t="s">
        <v>146</v>
      </c>
      <c r="G844" s="90" t="s">
        <v>140</v>
      </c>
      <c r="H844" s="6" t="s">
        <v>146</v>
      </c>
      <c r="I844" s="60" t="s">
        <v>140</v>
      </c>
      <c r="J844" s="79" t="b" cm="1">
        <f t="array" aca="1" ref="J844" ca="1">RIGHT("00"&amp;INDIRECT("R_"&amp;H844),2)=RIGHT("00"&amp;I844,2)</f>
        <v>0</v>
      </c>
      <c r="K844" s="6"/>
      <c r="L844" s="6"/>
      <c r="M844" s="6"/>
      <c r="N844" s="6"/>
    </row>
    <row r="845" spans="1:14">
      <c r="B845" s="6" t="str">
        <f t="shared" si="188"/>
        <v>1</v>
      </c>
      <c r="C845" s="6">
        <f>C844+1</f>
        <v>1</v>
      </c>
      <c r="D845" s="227"/>
      <c r="E845" s="227" t="s">
        <v>401</v>
      </c>
      <c r="F845" s="90" t="s">
        <v>146</v>
      </c>
      <c r="G845" s="90"/>
      <c r="H845" s="6"/>
      <c r="I845" s="60"/>
      <c r="J845" s="6"/>
      <c r="K845" s="6"/>
      <c r="L845" s="6"/>
      <c r="M845" s="6"/>
      <c r="N845" s="6"/>
    </row>
    <row r="846" spans="1:14">
      <c r="B846" s="6" t="str">
        <f t="shared" si="188"/>
        <v>2</v>
      </c>
      <c r="C846" s="6">
        <f t="shared" ref="C846:C847" si="189">C845+1</f>
        <v>2</v>
      </c>
      <c r="D846" s="227"/>
      <c r="E846" s="227" t="s">
        <v>184</v>
      </c>
      <c r="F846" s="90"/>
      <c r="G846" s="90"/>
      <c r="H846" s="6"/>
      <c r="I846" s="60"/>
      <c r="J846" s="6"/>
      <c r="K846" s="6"/>
      <c r="L846" s="6"/>
      <c r="M846" s="6"/>
      <c r="N846" s="6"/>
    </row>
    <row r="847" spans="1:14">
      <c r="B847" s="6" t="str">
        <f t="shared" si="188"/>
        <v>3</v>
      </c>
      <c r="C847" s="6">
        <f t="shared" si="189"/>
        <v>3</v>
      </c>
      <c r="D847" s="227"/>
      <c r="E847" s="227"/>
      <c r="F847" s="90"/>
      <c r="G847" s="90"/>
      <c r="H847" s="6"/>
      <c r="I847" s="60"/>
      <c r="J847" s="6"/>
      <c r="K847" s="6"/>
      <c r="L847" s="6"/>
      <c r="M847" s="6"/>
      <c r="N847" s="6"/>
    </row>
    <row r="848" spans="1:14" ht="15.75" thickBot="1">
      <c r="D848" s="156"/>
      <c r="E848" s="156"/>
      <c r="F848" s="156"/>
      <c r="G848" s="156"/>
    </row>
    <row r="849" spans="1:14" ht="15.75" thickBot="1">
      <c r="A849" s="20" t="s">
        <v>1155</v>
      </c>
      <c r="B849" s="152" t="s">
        <v>136</v>
      </c>
      <c r="C849" s="152" t="s">
        <v>137</v>
      </c>
      <c r="D849" s="231" t="s">
        <v>125</v>
      </c>
      <c r="E849" s="232" t="s">
        <v>142</v>
      </c>
      <c r="F849" s="231" t="s">
        <v>123</v>
      </c>
      <c r="G849" s="231" t="s">
        <v>124</v>
      </c>
      <c r="H849" s="153" t="s">
        <v>245</v>
      </c>
      <c r="I849" s="148" t="s">
        <v>205</v>
      </c>
      <c r="J849" s="143">
        <f ca="1">IFERROR(IF(AND(J850:J853),0,1),0)</f>
        <v>1</v>
      </c>
      <c r="K849" s="219" t="s">
        <v>2353</v>
      </c>
      <c r="L849" s="50" t="s">
        <v>1174</v>
      </c>
      <c r="M849" s="154">
        <f>IFERROR(VLOOKUP($A849,$P$6:$S$1048576,3,0),0)</f>
        <v>0</v>
      </c>
      <c r="N849" s="154">
        <f>IFERROR(VLOOKUP($A849,$P$6:$S$1048576,4,0),0)</f>
        <v>0</v>
      </c>
    </row>
    <row r="850" spans="1:14">
      <c r="B850" s="6" t="str">
        <f t="shared" ref="B850:B853" si="190">DEC2HEX(C850)</f>
        <v>0</v>
      </c>
      <c r="C850" s="6">
        <v>0</v>
      </c>
      <c r="D850" s="227"/>
      <c r="E850" s="227" t="s">
        <v>141</v>
      </c>
      <c r="F850" s="90" t="s">
        <v>146</v>
      </c>
      <c r="G850" s="90" t="s">
        <v>140</v>
      </c>
      <c r="H850" s="6" t="s">
        <v>146</v>
      </c>
      <c r="I850" s="60" t="s">
        <v>263</v>
      </c>
      <c r="J850" s="79" t="b" cm="1">
        <f t="array" aca="1" ref="J850" ca="1">RIGHT("00"&amp;INDIRECT("R_"&amp;H850),2)=RIGHT("00"&amp;I850,2)</f>
        <v>0</v>
      </c>
      <c r="K850" s="6"/>
      <c r="L850" s="6"/>
      <c r="M850" s="6"/>
      <c r="N850" s="6"/>
    </row>
    <row r="851" spans="1:14">
      <c r="B851" s="6" t="str">
        <f t="shared" si="190"/>
        <v>1</v>
      </c>
      <c r="C851" s="6">
        <f>C850+1</f>
        <v>1</v>
      </c>
      <c r="D851" s="227"/>
      <c r="E851" s="227" t="s">
        <v>147</v>
      </c>
      <c r="F851" s="90" t="s">
        <v>263</v>
      </c>
      <c r="G851" s="90"/>
      <c r="H851" s="6"/>
      <c r="I851" s="60"/>
      <c r="J851" s="6"/>
      <c r="K851" s="6"/>
      <c r="L851" s="6"/>
      <c r="M851" s="6"/>
      <c r="N851" s="6"/>
    </row>
    <row r="852" spans="1:14">
      <c r="B852" s="6" t="str">
        <f t="shared" si="190"/>
        <v>2</v>
      </c>
      <c r="C852" s="6">
        <f t="shared" ref="C852:C853" si="191">C851+1</f>
        <v>2</v>
      </c>
      <c r="D852" s="227"/>
      <c r="E852" s="227" t="s">
        <v>184</v>
      </c>
      <c r="F852" s="90"/>
      <c r="G852" s="90"/>
      <c r="H852" s="6"/>
      <c r="I852" s="60"/>
      <c r="J852" s="6"/>
      <c r="K852" s="6"/>
      <c r="L852" s="6"/>
      <c r="M852" s="6"/>
      <c r="N852" s="6"/>
    </row>
    <row r="853" spans="1:14">
      <c r="B853" s="6" t="str">
        <f t="shared" si="190"/>
        <v>3</v>
      </c>
      <c r="C853" s="6">
        <f t="shared" si="191"/>
        <v>3</v>
      </c>
      <c r="D853" s="227"/>
      <c r="E853" s="227"/>
      <c r="F853" s="90"/>
      <c r="G853" s="90"/>
      <c r="H853" s="6"/>
      <c r="I853" s="60"/>
      <c r="J853" s="6"/>
      <c r="K853" s="6"/>
      <c r="L853" s="6"/>
      <c r="M853" s="6"/>
      <c r="N853" s="6"/>
    </row>
    <row r="854" spans="1:14" ht="15.75" thickBot="1">
      <c r="D854" s="156"/>
      <c r="E854" s="156"/>
      <c r="F854" s="156"/>
      <c r="G854" s="156"/>
    </row>
    <row r="855" spans="1:14" ht="15.75" thickBot="1">
      <c r="A855" s="20" t="s">
        <v>1156</v>
      </c>
      <c r="B855" s="152" t="s">
        <v>136</v>
      </c>
      <c r="C855" s="152" t="s">
        <v>137</v>
      </c>
      <c r="D855" s="231" t="s">
        <v>125</v>
      </c>
      <c r="E855" s="232" t="s">
        <v>142</v>
      </c>
      <c r="F855" s="231" t="s">
        <v>123</v>
      </c>
      <c r="G855" s="231" t="s">
        <v>124</v>
      </c>
      <c r="H855" s="153" t="s">
        <v>245</v>
      </c>
      <c r="I855" s="148" t="s">
        <v>205</v>
      </c>
      <c r="J855" s="143">
        <f ca="1">IFERROR(IF(AND(J856:J859),0,1),0)</f>
        <v>1</v>
      </c>
      <c r="K855" s="219" t="s">
        <v>2353</v>
      </c>
      <c r="L855" s="50" t="s">
        <v>1175</v>
      </c>
      <c r="M855" s="154">
        <f>IFERROR(VLOOKUP($A855,$P$6:$S$1048576,3,0),0)</f>
        <v>0</v>
      </c>
      <c r="N855" s="154">
        <f>IFERROR(VLOOKUP($A855,$P$6:$S$1048576,4,0),0)</f>
        <v>0</v>
      </c>
    </row>
    <row r="856" spans="1:14">
      <c r="B856" s="6" t="str">
        <f t="shared" ref="B856:B859" si="192">DEC2HEX(C856)</f>
        <v>0</v>
      </c>
      <c r="C856" s="6">
        <v>0</v>
      </c>
      <c r="D856" s="227"/>
      <c r="E856" s="227" t="s">
        <v>141</v>
      </c>
      <c r="F856" s="90" t="s">
        <v>146</v>
      </c>
      <c r="G856" s="90" t="s">
        <v>264</v>
      </c>
      <c r="H856" s="6" t="s">
        <v>146</v>
      </c>
      <c r="I856" s="60" t="s">
        <v>140</v>
      </c>
      <c r="J856" s="79" t="b" cm="1">
        <f t="array" aca="1" ref="J856" ca="1">RIGHT("00"&amp;INDIRECT("R_"&amp;H856),2)=RIGHT("00"&amp;I856,2)</f>
        <v>0</v>
      </c>
      <c r="K856" s="6"/>
      <c r="L856" s="6"/>
      <c r="M856" s="6"/>
      <c r="N856" s="6"/>
    </row>
    <row r="857" spans="1:14">
      <c r="B857" s="6" t="str">
        <f t="shared" si="192"/>
        <v>1</v>
      </c>
      <c r="C857" s="6">
        <f>C856+1</f>
        <v>1</v>
      </c>
      <c r="D857" s="227"/>
      <c r="E857" s="227" t="s">
        <v>141</v>
      </c>
      <c r="F857" s="90" t="s">
        <v>144</v>
      </c>
      <c r="G857" s="90" t="s">
        <v>263</v>
      </c>
      <c r="H857" s="6" t="s">
        <v>144</v>
      </c>
      <c r="I857" s="60" t="s">
        <v>263</v>
      </c>
      <c r="J857" s="6"/>
      <c r="K857" s="6"/>
      <c r="L857" s="6"/>
      <c r="M857" s="6"/>
      <c r="N857" s="6"/>
    </row>
    <row r="858" spans="1:14">
      <c r="B858" s="6" t="str">
        <f t="shared" si="192"/>
        <v>2</v>
      </c>
      <c r="C858" s="6">
        <f t="shared" ref="C858:C859" si="193">C857+1</f>
        <v>2</v>
      </c>
      <c r="D858" s="227"/>
      <c r="E858" s="227" t="s">
        <v>262</v>
      </c>
      <c r="F858" s="90" t="s">
        <v>144</v>
      </c>
      <c r="G858" s="90"/>
      <c r="H858" s="6"/>
      <c r="I858" s="60"/>
      <c r="J858" s="6"/>
      <c r="K858" s="6"/>
      <c r="L858" s="6"/>
      <c r="M858" s="6"/>
      <c r="N858" s="6"/>
    </row>
    <row r="859" spans="1:14">
      <c r="B859" s="6" t="str">
        <f t="shared" si="192"/>
        <v>3</v>
      </c>
      <c r="C859" s="6">
        <f t="shared" si="193"/>
        <v>3</v>
      </c>
      <c r="D859" s="227"/>
      <c r="E859" s="227" t="s">
        <v>184</v>
      </c>
      <c r="F859" s="90"/>
      <c r="G859" s="90"/>
      <c r="H859" s="6"/>
      <c r="I859" s="60"/>
      <c r="J859" s="6"/>
      <c r="K859" s="6"/>
      <c r="L859" s="6"/>
      <c r="M859" s="6"/>
      <c r="N859" s="6"/>
    </row>
    <row r="860" spans="1:14" ht="15.75" thickBot="1">
      <c r="D860" s="156"/>
      <c r="E860" s="156"/>
      <c r="F860" s="156"/>
      <c r="G860" s="156"/>
    </row>
    <row r="861" spans="1:14" ht="15.75" thickBot="1">
      <c r="A861" s="20" t="s">
        <v>1157</v>
      </c>
      <c r="B861" s="152" t="s">
        <v>136</v>
      </c>
      <c r="C861" s="152" t="s">
        <v>137</v>
      </c>
      <c r="D861" s="231" t="s">
        <v>125</v>
      </c>
      <c r="E861" s="232" t="s">
        <v>142</v>
      </c>
      <c r="F861" s="231" t="s">
        <v>123</v>
      </c>
      <c r="G861" s="231" t="s">
        <v>124</v>
      </c>
      <c r="H861" s="153" t="s">
        <v>245</v>
      </c>
      <c r="I861" s="148" t="s">
        <v>205</v>
      </c>
      <c r="J861" s="143">
        <f ca="1">IFERROR(IF(AND(J862:J865),0,1),0)</f>
        <v>1</v>
      </c>
      <c r="K861" s="219" t="s">
        <v>2353</v>
      </c>
      <c r="L861" s="50" t="s">
        <v>1176</v>
      </c>
      <c r="M861" s="154">
        <f>IFERROR(VLOOKUP($A861,$P$6:$S$1048576,3,0),0)</f>
        <v>0</v>
      </c>
      <c r="N861" s="154">
        <f>IFERROR(VLOOKUP($A861,$P$6:$S$1048576,4,0),0)</f>
        <v>0</v>
      </c>
    </row>
    <row r="862" spans="1:14">
      <c r="B862" s="6" t="str">
        <f t="shared" ref="B862:B865" si="194">DEC2HEX(C862)</f>
        <v>0</v>
      </c>
      <c r="C862" s="6">
        <v>0</v>
      </c>
      <c r="D862" s="227"/>
      <c r="E862" s="227" t="s">
        <v>141</v>
      </c>
      <c r="F862" s="90" t="s">
        <v>146</v>
      </c>
      <c r="G862" s="90" t="s">
        <v>216</v>
      </c>
      <c r="H862" s="6" t="s">
        <v>146</v>
      </c>
      <c r="I862" s="60" t="s">
        <v>753</v>
      </c>
      <c r="J862" s="79" t="b" cm="1">
        <f t="array" aca="1" ref="J862" ca="1">RIGHT("00"&amp;INDIRECT("R_"&amp;H862),2)=RIGHT("00"&amp;I862,2)</f>
        <v>0</v>
      </c>
      <c r="K862" s="6"/>
      <c r="L862" s="6"/>
      <c r="M862" s="6"/>
      <c r="N862" s="6"/>
    </row>
    <row r="863" spans="1:14">
      <c r="B863" s="6" t="str">
        <f t="shared" si="194"/>
        <v>1</v>
      </c>
      <c r="C863" s="6">
        <f>C862+1</f>
        <v>1</v>
      </c>
      <c r="D863" s="227"/>
      <c r="E863" s="227" t="s">
        <v>149</v>
      </c>
      <c r="F863" s="90" t="s">
        <v>907</v>
      </c>
      <c r="G863" s="90"/>
      <c r="H863" s="6"/>
      <c r="I863" s="60"/>
      <c r="J863" s="6"/>
      <c r="K863" s="6"/>
      <c r="L863" s="6"/>
      <c r="M863" s="6"/>
      <c r="N863" s="6"/>
    </row>
    <row r="864" spans="1:14">
      <c r="B864" s="6" t="str">
        <f t="shared" si="194"/>
        <v>2</v>
      </c>
      <c r="C864" s="6">
        <f t="shared" ref="C864:C865" si="195">C863+1</f>
        <v>2</v>
      </c>
      <c r="D864" s="227"/>
      <c r="E864" s="227" t="s">
        <v>184</v>
      </c>
      <c r="F864" s="90"/>
      <c r="G864" s="90"/>
      <c r="H864" s="6"/>
      <c r="I864" s="60"/>
      <c r="J864" s="6"/>
      <c r="K864" s="6"/>
      <c r="L864" s="6"/>
      <c r="M864" s="6"/>
      <c r="N864" s="6"/>
    </row>
    <row r="865" spans="1:14">
      <c r="B865" s="6" t="str">
        <f t="shared" si="194"/>
        <v>3</v>
      </c>
      <c r="C865" s="6">
        <f t="shared" si="195"/>
        <v>3</v>
      </c>
      <c r="D865" s="227"/>
      <c r="E865" s="227"/>
      <c r="F865" s="90"/>
      <c r="G865" s="90"/>
      <c r="H865" s="6"/>
      <c r="I865" s="60"/>
      <c r="J865" s="6"/>
      <c r="K865" s="6"/>
      <c r="L865" s="6"/>
      <c r="M865" s="6"/>
      <c r="N865" s="6"/>
    </row>
    <row r="866" spans="1:14" ht="15.75" thickBot="1">
      <c r="D866" s="156"/>
      <c r="E866" s="156"/>
      <c r="F866" s="156"/>
      <c r="G866" s="156"/>
    </row>
    <row r="867" spans="1:14" ht="15.75" thickBot="1">
      <c r="A867" s="20" t="s">
        <v>1158</v>
      </c>
      <c r="B867" s="152" t="s">
        <v>136</v>
      </c>
      <c r="C867" s="152" t="s">
        <v>137</v>
      </c>
      <c r="D867" s="231" t="s">
        <v>125</v>
      </c>
      <c r="E867" s="232" t="s">
        <v>142</v>
      </c>
      <c r="F867" s="231" t="s">
        <v>123</v>
      </c>
      <c r="G867" s="231" t="s">
        <v>124</v>
      </c>
      <c r="H867" s="153" t="s">
        <v>245</v>
      </c>
      <c r="I867" s="148" t="s">
        <v>205</v>
      </c>
      <c r="J867" s="143">
        <f ca="1">IFERROR(IF(AND(J868:J871),0,1),0)</f>
        <v>1</v>
      </c>
      <c r="K867" s="219" t="s">
        <v>2353</v>
      </c>
      <c r="L867" s="50" t="s">
        <v>1177</v>
      </c>
      <c r="M867" s="154">
        <f>IFERROR(VLOOKUP($A867,$P$6:$S$1048576,3,0),0)</f>
        <v>0</v>
      </c>
      <c r="N867" s="154">
        <f>IFERROR(VLOOKUP($A867,$P$6:$S$1048576,4,0),0)</f>
        <v>0</v>
      </c>
    </row>
    <row r="868" spans="1:14">
      <c r="B868" s="6" t="str">
        <f t="shared" ref="B868:B871" si="196">DEC2HEX(C868)</f>
        <v>0</v>
      </c>
      <c r="C868" s="6">
        <v>0</v>
      </c>
      <c r="D868" s="227"/>
      <c r="E868" s="227" t="s">
        <v>141</v>
      </c>
      <c r="F868" s="90" t="s">
        <v>146</v>
      </c>
      <c r="G868" s="90" t="s">
        <v>216</v>
      </c>
      <c r="H868" s="6" t="s">
        <v>146</v>
      </c>
      <c r="I868" s="60">
        <v>0</v>
      </c>
      <c r="J868" s="79" t="b" cm="1">
        <f t="array" aca="1" ref="J868" ca="1">RIGHT("00"&amp;INDIRECT("R_"&amp;H868),2)=RIGHT("00"&amp;I868,2)</f>
        <v>0</v>
      </c>
      <c r="K868" s="6"/>
      <c r="L868" s="6"/>
      <c r="M868" s="6"/>
      <c r="N868" s="6"/>
    </row>
    <row r="869" spans="1:14">
      <c r="B869" s="6" t="str">
        <f t="shared" si="196"/>
        <v>1</v>
      </c>
      <c r="C869" s="6">
        <f>C868+1</f>
        <v>1</v>
      </c>
      <c r="D869" s="227"/>
      <c r="E869" s="227" t="s">
        <v>448</v>
      </c>
      <c r="F869" s="90" t="s">
        <v>146</v>
      </c>
      <c r="G869" s="90"/>
      <c r="H869" s="6"/>
      <c r="I869" s="60"/>
      <c r="J869" s="6"/>
      <c r="K869" s="6"/>
      <c r="L869" s="6"/>
      <c r="M869" s="6"/>
      <c r="N869" s="6"/>
    </row>
    <row r="870" spans="1:14">
      <c r="B870" s="6" t="str">
        <f t="shared" si="196"/>
        <v>2</v>
      </c>
      <c r="C870" s="6">
        <f t="shared" ref="C870:C871" si="197">C869+1</f>
        <v>2</v>
      </c>
      <c r="D870" s="227"/>
      <c r="E870" s="227" t="s">
        <v>184</v>
      </c>
      <c r="F870" s="90"/>
      <c r="G870" s="90"/>
      <c r="H870" s="6"/>
      <c r="I870" s="60"/>
      <c r="J870" s="6"/>
      <c r="K870" s="6"/>
      <c r="L870" s="6"/>
      <c r="M870" s="6"/>
      <c r="N870" s="6"/>
    </row>
    <row r="871" spans="1:14">
      <c r="B871" s="6" t="str">
        <f t="shared" si="196"/>
        <v>3</v>
      </c>
      <c r="C871" s="6">
        <f t="shared" si="197"/>
        <v>3</v>
      </c>
      <c r="D871" s="227"/>
      <c r="E871" s="227"/>
      <c r="F871" s="90"/>
      <c r="G871" s="90"/>
      <c r="H871" s="6"/>
      <c r="I871" s="60"/>
      <c r="J871" s="6"/>
      <c r="K871" s="6"/>
      <c r="L871" s="6"/>
      <c r="M871" s="6"/>
      <c r="N871" s="6"/>
    </row>
    <row r="872" spans="1:14" ht="15.75" thickBot="1">
      <c r="D872" s="156"/>
      <c r="E872" s="156"/>
      <c r="F872" s="156"/>
      <c r="G872" s="156"/>
    </row>
    <row r="873" spans="1:14" ht="15.75" thickBot="1">
      <c r="A873" s="20" t="s">
        <v>1159</v>
      </c>
      <c r="B873" s="152" t="s">
        <v>136</v>
      </c>
      <c r="C873" s="152" t="s">
        <v>137</v>
      </c>
      <c r="D873" s="231" t="s">
        <v>125</v>
      </c>
      <c r="E873" s="232" t="s">
        <v>142</v>
      </c>
      <c r="F873" s="231" t="s">
        <v>123</v>
      </c>
      <c r="G873" s="231" t="s">
        <v>124</v>
      </c>
      <c r="H873" s="153" t="s">
        <v>245</v>
      </c>
      <c r="I873" s="148" t="s">
        <v>205</v>
      </c>
      <c r="J873" s="143">
        <f ca="1">IFERROR(IF(AND(J874:J877),0,1),0)</f>
        <v>1</v>
      </c>
      <c r="K873" s="219" t="s">
        <v>2353</v>
      </c>
      <c r="L873" s="50" t="s">
        <v>1178</v>
      </c>
      <c r="M873" s="154">
        <f>IFERROR(VLOOKUP($A873,$P$6:$S$1048576,3,0),0)</f>
        <v>0</v>
      </c>
      <c r="N873" s="154">
        <f>IFERROR(VLOOKUP($A873,$P$6:$S$1048576,4,0),0)</f>
        <v>0</v>
      </c>
    </row>
    <row r="874" spans="1:14">
      <c r="B874" s="6" t="str">
        <f t="shared" ref="B874:B877" si="198">DEC2HEX(C874)</f>
        <v>0</v>
      </c>
      <c r="C874" s="6">
        <v>0</v>
      </c>
      <c r="D874" s="227"/>
      <c r="E874" s="227" t="s">
        <v>141</v>
      </c>
      <c r="F874" s="90" t="s">
        <v>146</v>
      </c>
      <c r="G874" s="90" t="s">
        <v>215</v>
      </c>
      <c r="H874" s="6" t="s">
        <v>146</v>
      </c>
      <c r="I874" s="60" t="s">
        <v>140</v>
      </c>
      <c r="J874" s="79" t="b" cm="1">
        <f t="array" aca="1" ref="J874" ca="1">RIGHT("00"&amp;INDIRECT("R_"&amp;H874),2)=RIGHT("00"&amp;I874,2)</f>
        <v>0</v>
      </c>
      <c r="K874" s="6"/>
      <c r="L874" s="6"/>
      <c r="M874" s="6"/>
      <c r="N874" s="6"/>
    </row>
    <row r="875" spans="1:14">
      <c r="B875" s="6" t="str">
        <f t="shared" si="198"/>
        <v>1</v>
      </c>
      <c r="C875" s="6">
        <f>C874+1</f>
        <v>1</v>
      </c>
      <c r="D875" s="227"/>
      <c r="E875" s="227" t="s">
        <v>155</v>
      </c>
      <c r="F875" s="90" t="s">
        <v>140</v>
      </c>
      <c r="G875" s="90"/>
      <c r="H875" s="6"/>
      <c r="I875" s="60"/>
      <c r="J875" s="6"/>
      <c r="K875" s="6"/>
      <c r="L875" s="6"/>
      <c r="M875" s="6"/>
      <c r="N875" s="6"/>
    </row>
    <row r="876" spans="1:14">
      <c r="B876" s="6" t="str">
        <f t="shared" si="198"/>
        <v>2</v>
      </c>
      <c r="C876" s="6">
        <f t="shared" ref="C876:C877" si="199">C875+1</f>
        <v>2</v>
      </c>
      <c r="D876" s="227"/>
      <c r="E876" s="227" t="s">
        <v>184</v>
      </c>
      <c r="F876" s="90"/>
      <c r="G876" s="90"/>
      <c r="H876" s="6"/>
      <c r="I876" s="60"/>
      <c r="J876" s="6"/>
      <c r="K876" s="6"/>
      <c r="L876" s="6"/>
      <c r="M876" s="6"/>
      <c r="N876" s="6"/>
    </row>
    <row r="877" spans="1:14">
      <c r="B877" s="6" t="str">
        <f t="shared" si="198"/>
        <v>3</v>
      </c>
      <c r="C877" s="6">
        <f t="shared" si="199"/>
        <v>3</v>
      </c>
      <c r="D877" s="227"/>
      <c r="E877" s="227"/>
      <c r="F877" s="90"/>
      <c r="G877" s="90"/>
      <c r="H877" s="6"/>
      <c r="I877" s="60"/>
      <c r="J877" s="6"/>
      <c r="K877" s="6"/>
      <c r="L877" s="6"/>
      <c r="M877" s="6"/>
      <c r="N877" s="6"/>
    </row>
    <row r="878" spans="1:14" ht="15.75" thickBot="1">
      <c r="D878" s="156"/>
      <c r="E878" s="156"/>
      <c r="F878" s="156"/>
      <c r="G878" s="156"/>
    </row>
    <row r="879" spans="1:14" ht="15.75" thickBot="1">
      <c r="A879" s="20" t="s">
        <v>1160</v>
      </c>
      <c r="B879" s="152" t="s">
        <v>136</v>
      </c>
      <c r="C879" s="152" t="s">
        <v>137</v>
      </c>
      <c r="D879" s="231" t="s">
        <v>125</v>
      </c>
      <c r="E879" s="232" t="s">
        <v>142</v>
      </c>
      <c r="F879" s="231" t="s">
        <v>123</v>
      </c>
      <c r="G879" s="231" t="s">
        <v>124</v>
      </c>
      <c r="H879" s="153" t="s">
        <v>245</v>
      </c>
      <c r="I879" s="148" t="s">
        <v>205</v>
      </c>
      <c r="J879" s="143">
        <f ca="1">IFERROR(IF(AND(J880:J883),0,1),0)</f>
        <v>0</v>
      </c>
      <c r="K879" s="219" t="s">
        <v>2353</v>
      </c>
      <c r="L879" s="50" t="s">
        <v>1179</v>
      </c>
      <c r="M879" s="154">
        <f>IFERROR(VLOOKUP($A879,$P$6:$S$1048576,3,0),0)</f>
        <v>0</v>
      </c>
      <c r="N879" s="154">
        <f>IFERROR(VLOOKUP($A879,$P$6:$S$1048576,4,0),0)</f>
        <v>0</v>
      </c>
    </row>
    <row r="880" spans="1:14">
      <c r="B880" s="6" t="str">
        <f t="shared" ref="B880:B883" si="200">DEC2HEX(C880)</f>
        <v>0</v>
      </c>
      <c r="C880" s="6">
        <v>0</v>
      </c>
      <c r="D880" s="227"/>
      <c r="E880" s="227" t="s">
        <v>141</v>
      </c>
      <c r="F880" s="90" t="s">
        <v>146</v>
      </c>
      <c r="G880" s="90" t="s">
        <v>916</v>
      </c>
      <c r="H880" s="6" t="s">
        <v>146</v>
      </c>
      <c r="I880" s="60" t="s">
        <v>916</v>
      </c>
      <c r="J880" s="79" t="b" cm="1">
        <f t="array" aca="1" ref="J880" ca="1">RIGHT("00"&amp;INDIRECT("R_"&amp;H880),2)=RIGHT("00"&amp;I880,2)</f>
        <v>0</v>
      </c>
      <c r="K880" s="6"/>
      <c r="L880" s="6"/>
      <c r="M880" s="6"/>
      <c r="N880" s="6"/>
    </row>
    <row r="881" spans="1:14">
      <c r="B881" s="6" t="str">
        <f t="shared" si="200"/>
        <v>1</v>
      </c>
      <c r="C881" s="6">
        <f>C880+1</f>
        <v>1</v>
      </c>
      <c r="D881" s="227"/>
      <c r="E881" s="227" t="s">
        <v>141</v>
      </c>
      <c r="F881" s="90" t="s">
        <v>144</v>
      </c>
      <c r="G881" s="90" t="s">
        <v>907</v>
      </c>
      <c r="H881" s="6" t="s">
        <v>144</v>
      </c>
      <c r="I881" s="60" t="s">
        <v>907</v>
      </c>
      <c r="J881" s="79" t="e" cm="1">
        <f t="array" aca="1" ref="J881" ca="1">RIGHT("00"&amp;INDIRECT("R_"&amp;H881),2)=RIGHT("00"&amp;I881,2)</f>
        <v>#REF!</v>
      </c>
      <c r="K881" s="6"/>
      <c r="L881" s="6"/>
      <c r="M881" s="6"/>
      <c r="N881" s="6"/>
    </row>
    <row r="882" spans="1:14">
      <c r="B882" s="6" t="str">
        <f t="shared" si="200"/>
        <v>2</v>
      </c>
      <c r="C882" s="6">
        <f t="shared" ref="C882:C883" si="201">C881+1</f>
        <v>2</v>
      </c>
      <c r="D882" s="227"/>
      <c r="E882" s="227" t="s">
        <v>865</v>
      </c>
      <c r="F882" s="90" t="s">
        <v>144</v>
      </c>
      <c r="G882" s="90"/>
      <c r="H882" s="6" t="s">
        <v>115</v>
      </c>
      <c r="I882" s="60">
        <v>0</v>
      </c>
      <c r="J882" s="81" t="b" cm="1">
        <f t="array" aca="1" ref="J882" ca="1">INDIRECT(H882)=I882</f>
        <v>0</v>
      </c>
      <c r="K882" s="6"/>
      <c r="L882" s="6"/>
      <c r="M882" s="6"/>
      <c r="N882" s="6"/>
    </row>
    <row r="883" spans="1:14">
      <c r="B883" s="6" t="str">
        <f t="shared" si="200"/>
        <v>3</v>
      </c>
      <c r="C883" s="6">
        <f t="shared" si="201"/>
        <v>3</v>
      </c>
      <c r="D883" s="227"/>
      <c r="E883" s="227" t="s">
        <v>184</v>
      </c>
      <c r="F883" s="90"/>
      <c r="G883" s="90"/>
      <c r="H883" s="6" t="s">
        <v>119</v>
      </c>
      <c r="I883" s="60">
        <v>0</v>
      </c>
      <c r="J883" s="81" t="b" cm="1">
        <f t="array" aca="1" ref="J883" ca="1">INDIRECT(H883)=I883</f>
        <v>1</v>
      </c>
      <c r="K883" s="6"/>
      <c r="L883" s="6"/>
      <c r="M883" s="6"/>
      <c r="N883" s="6"/>
    </row>
    <row r="884" spans="1:14" ht="15.75" thickBot="1">
      <c r="D884" s="156"/>
      <c r="E884" s="156"/>
      <c r="F884" s="156"/>
      <c r="G884" s="156"/>
    </row>
    <row r="885" spans="1:14" ht="15.75" thickBot="1">
      <c r="A885" s="20" t="s">
        <v>1161</v>
      </c>
      <c r="B885" s="152" t="s">
        <v>136</v>
      </c>
      <c r="C885" s="152" t="s">
        <v>137</v>
      </c>
      <c r="D885" s="231" t="s">
        <v>125</v>
      </c>
      <c r="E885" s="232" t="s">
        <v>142</v>
      </c>
      <c r="F885" s="231" t="s">
        <v>123</v>
      </c>
      <c r="G885" s="231" t="s">
        <v>124</v>
      </c>
      <c r="H885" s="153" t="s">
        <v>245</v>
      </c>
      <c r="I885" s="148" t="s">
        <v>205</v>
      </c>
      <c r="J885" s="143">
        <f ca="1">IFERROR(IF(AND(J886:J889),0,1),0)</f>
        <v>0</v>
      </c>
      <c r="K885" s="219" t="s">
        <v>2353</v>
      </c>
      <c r="L885" s="50" t="s">
        <v>1180</v>
      </c>
      <c r="M885" s="154">
        <f>IFERROR(VLOOKUP($A885,$P$6:$S$1048576,3,0),0)</f>
        <v>0</v>
      </c>
      <c r="N885" s="154">
        <f>IFERROR(VLOOKUP($A885,$P$6:$S$1048576,4,0),0)</f>
        <v>0</v>
      </c>
    </row>
    <row r="886" spans="1:14">
      <c r="B886" s="6" t="str">
        <f t="shared" ref="B886:B889" si="202">DEC2HEX(C886)</f>
        <v>0</v>
      </c>
      <c r="C886" s="6">
        <v>0</v>
      </c>
      <c r="D886" s="227"/>
      <c r="E886" s="227" t="s">
        <v>141</v>
      </c>
      <c r="F886" s="90" t="s">
        <v>146</v>
      </c>
      <c r="G886" s="90" t="s">
        <v>925</v>
      </c>
      <c r="H886" s="6" t="s">
        <v>146</v>
      </c>
      <c r="I886" s="60" t="s">
        <v>925</v>
      </c>
      <c r="J886" s="79" t="b" cm="1">
        <f t="array" aca="1" ref="J886" ca="1">RIGHT("00"&amp;INDIRECT("R_"&amp;H886),2)=RIGHT("00"&amp;I886,2)</f>
        <v>0</v>
      </c>
      <c r="K886" s="6"/>
      <c r="L886" s="6"/>
      <c r="M886" s="6"/>
      <c r="N886" s="6"/>
    </row>
    <row r="887" spans="1:14">
      <c r="B887" s="6" t="str">
        <f t="shared" si="202"/>
        <v>1</v>
      </c>
      <c r="C887" s="6">
        <f>C886+1</f>
        <v>1</v>
      </c>
      <c r="D887" s="227"/>
      <c r="E887" s="227" t="s">
        <v>141</v>
      </c>
      <c r="F887" s="90" t="s">
        <v>144</v>
      </c>
      <c r="G887" s="90" t="s">
        <v>925</v>
      </c>
      <c r="H887" s="6" t="s">
        <v>144</v>
      </c>
      <c r="I887" s="60" t="s">
        <v>925</v>
      </c>
      <c r="J887" s="79" t="e" cm="1">
        <f t="array" aca="1" ref="J887" ca="1">RIGHT("00"&amp;INDIRECT("R_"&amp;H887),2)=RIGHT("00"&amp;I887,2)</f>
        <v>#REF!</v>
      </c>
      <c r="K887" s="6"/>
      <c r="L887" s="6"/>
      <c r="M887" s="6"/>
      <c r="N887" s="6"/>
    </row>
    <row r="888" spans="1:14">
      <c r="B888" s="6" t="str">
        <f t="shared" si="202"/>
        <v>2</v>
      </c>
      <c r="C888" s="6">
        <f t="shared" ref="C888:C889" si="203">C887+1</f>
        <v>2</v>
      </c>
      <c r="D888" s="227"/>
      <c r="E888" s="227" t="s">
        <v>865</v>
      </c>
      <c r="F888" s="90" t="s">
        <v>144</v>
      </c>
      <c r="G888" s="90"/>
      <c r="H888" s="6" t="s">
        <v>115</v>
      </c>
      <c r="I888" s="60">
        <v>0</v>
      </c>
      <c r="J888" s="81" t="b" cm="1">
        <f t="array" aca="1" ref="J888" ca="1">INDIRECT(H888)=I888</f>
        <v>0</v>
      </c>
      <c r="K888" s="6"/>
      <c r="L888" s="6"/>
      <c r="M888" s="6"/>
      <c r="N888" s="6"/>
    </row>
    <row r="889" spans="1:14">
      <c r="B889" s="6" t="str">
        <f t="shared" si="202"/>
        <v>3</v>
      </c>
      <c r="C889" s="6">
        <f t="shared" si="203"/>
        <v>3</v>
      </c>
      <c r="D889" s="227"/>
      <c r="E889" s="227" t="s">
        <v>184</v>
      </c>
      <c r="F889" s="90"/>
      <c r="G889" s="90"/>
      <c r="H889" s="6" t="s">
        <v>119</v>
      </c>
      <c r="I889" s="60">
        <v>1</v>
      </c>
      <c r="J889" s="81" t="b" cm="1">
        <f t="array" aca="1" ref="J889" ca="1">INDIRECT(H889)=I889</f>
        <v>0</v>
      </c>
      <c r="K889" s="6"/>
      <c r="L889" s="6"/>
      <c r="M889" s="6"/>
      <c r="N889" s="6"/>
    </row>
    <row r="890" spans="1:14" ht="15.75" thickBot="1">
      <c r="D890" s="156"/>
      <c r="E890" s="156"/>
      <c r="F890" s="156"/>
      <c r="G890" s="156"/>
    </row>
    <row r="891" spans="1:14" ht="15.75" thickBot="1">
      <c r="A891" s="20" t="s">
        <v>1181</v>
      </c>
      <c r="B891" s="152" t="s">
        <v>136</v>
      </c>
      <c r="C891" s="152" t="s">
        <v>137</v>
      </c>
      <c r="D891" s="231" t="s">
        <v>125</v>
      </c>
      <c r="E891" s="232" t="s">
        <v>142</v>
      </c>
      <c r="F891" s="231" t="s">
        <v>123</v>
      </c>
      <c r="G891" s="231" t="s">
        <v>124</v>
      </c>
      <c r="H891" s="153" t="s">
        <v>245</v>
      </c>
      <c r="I891" s="148" t="s">
        <v>205</v>
      </c>
      <c r="J891" s="143">
        <f ca="1">IFERROR(IF(AND(J892:J895),0,1),0)</f>
        <v>1</v>
      </c>
      <c r="K891" s="219" t="s">
        <v>2353</v>
      </c>
      <c r="L891" s="50" t="s">
        <v>1195</v>
      </c>
      <c r="M891" s="154">
        <f>IFERROR(VLOOKUP($A891,$P$6:$S$1048576,3,0),0)</f>
        <v>0</v>
      </c>
      <c r="N891" s="154">
        <f>IFERROR(VLOOKUP($A891,$P$6:$S$1048576,4,0),0)</f>
        <v>0</v>
      </c>
    </row>
    <row r="892" spans="1:14">
      <c r="B892" s="6" t="str">
        <f t="shared" ref="B892:B895" si="204">DEC2HEX(C892)</f>
        <v>0</v>
      </c>
      <c r="C892" s="6">
        <v>0</v>
      </c>
      <c r="D892" s="227"/>
      <c r="E892" s="227" t="s">
        <v>141</v>
      </c>
      <c r="F892" s="90" t="s">
        <v>146</v>
      </c>
      <c r="G892" s="90" t="s">
        <v>916</v>
      </c>
      <c r="H892" s="6" t="s">
        <v>146</v>
      </c>
      <c r="I892" s="60" t="s">
        <v>916</v>
      </c>
      <c r="J892" s="79" t="b" cm="1">
        <f t="array" aca="1" ref="J892" ca="1">RIGHT("00"&amp;INDIRECT("R_"&amp;H892),2)=RIGHT("00"&amp;I892,2)</f>
        <v>0</v>
      </c>
      <c r="K892" s="6"/>
      <c r="L892" s="6"/>
      <c r="M892" s="6"/>
      <c r="N892" s="6"/>
    </row>
    <row r="893" spans="1:14">
      <c r="B893" s="6" t="str">
        <f t="shared" si="204"/>
        <v>1</v>
      </c>
      <c r="C893" s="6">
        <f>C892+1</f>
        <v>1</v>
      </c>
      <c r="D893" s="227"/>
      <c r="E893" s="227" t="s">
        <v>157</v>
      </c>
      <c r="F893" s="90" t="s">
        <v>916</v>
      </c>
      <c r="G893" s="90"/>
      <c r="H893" s="6"/>
      <c r="I893" s="60"/>
      <c r="J893" s="6"/>
      <c r="K893" s="6"/>
      <c r="L893" s="6"/>
      <c r="M893" s="6"/>
      <c r="N893" s="6"/>
    </row>
    <row r="894" spans="1:14">
      <c r="B894" s="6" t="str">
        <f t="shared" si="204"/>
        <v>2</v>
      </c>
      <c r="C894" s="6">
        <f t="shared" ref="C894:C895" si="205">C893+1</f>
        <v>2</v>
      </c>
      <c r="D894" s="227"/>
      <c r="E894" s="227" t="s">
        <v>184</v>
      </c>
      <c r="F894" s="90"/>
      <c r="G894" s="90"/>
      <c r="H894" s="6" t="s">
        <v>115</v>
      </c>
      <c r="I894" s="60">
        <v>0</v>
      </c>
      <c r="J894" s="81" t="b" cm="1">
        <f t="array" aca="1" ref="J894" ca="1">INDIRECT(H894)=I894</f>
        <v>0</v>
      </c>
      <c r="K894" s="6"/>
      <c r="L894" s="6"/>
      <c r="M894" s="6"/>
      <c r="N894" s="6"/>
    </row>
    <row r="895" spans="1:14">
      <c r="B895" s="6" t="str">
        <f t="shared" si="204"/>
        <v>3</v>
      </c>
      <c r="C895" s="6">
        <f t="shared" si="205"/>
        <v>3</v>
      </c>
      <c r="D895" s="227"/>
      <c r="E895" s="227"/>
      <c r="F895" s="90"/>
      <c r="G895" s="90"/>
      <c r="H895" s="6" t="s">
        <v>119</v>
      </c>
      <c r="I895" s="60">
        <v>1</v>
      </c>
      <c r="J895" s="81" t="b" cm="1">
        <f t="array" aca="1" ref="J895" ca="1">INDIRECT(H895)=I895</f>
        <v>0</v>
      </c>
      <c r="K895" s="6"/>
      <c r="L895" s="6"/>
      <c r="M895" s="6"/>
      <c r="N895" s="6"/>
    </row>
    <row r="896" spans="1:14" ht="15.75" thickBot="1">
      <c r="D896" s="156"/>
      <c r="E896" s="156"/>
      <c r="F896" s="156"/>
      <c r="G896" s="156"/>
    </row>
    <row r="897" spans="1:14" ht="15.75" thickBot="1">
      <c r="A897" s="20" t="s">
        <v>1196</v>
      </c>
      <c r="B897" s="34" t="s">
        <v>136</v>
      </c>
      <c r="C897" s="34" t="s">
        <v>137</v>
      </c>
      <c r="D897" s="228" t="s">
        <v>125</v>
      </c>
      <c r="E897" s="229" t="s">
        <v>142</v>
      </c>
      <c r="F897" s="228" t="s">
        <v>123</v>
      </c>
      <c r="G897" s="228" t="s">
        <v>124</v>
      </c>
      <c r="H897" s="47" t="s">
        <v>245</v>
      </c>
      <c r="I897" s="69" t="s">
        <v>205</v>
      </c>
      <c r="J897" s="46">
        <v>0</v>
      </c>
      <c r="K897" s="222" t="s">
        <v>2353</v>
      </c>
      <c r="L897" s="62" t="s">
        <v>1197</v>
      </c>
      <c r="M897" s="20">
        <f>IFERROR(VLOOKUP($A897,$P$6:$S$1048576,3,0),0)</f>
        <v>0</v>
      </c>
      <c r="N897" s="20">
        <f>IFERROR(VLOOKUP($A897,$P$6:$S$1048576,4,0),0)</f>
        <v>0</v>
      </c>
    </row>
    <row r="898" spans="1:14" ht="15.75" thickBot="1">
      <c r="D898" s="156"/>
      <c r="E898" s="156"/>
      <c r="F898" s="156"/>
      <c r="G898" s="156"/>
    </row>
    <row r="899" spans="1:14" ht="15.75" thickBot="1">
      <c r="A899" s="20" t="s">
        <v>1183</v>
      </c>
      <c r="B899" s="152" t="s">
        <v>136</v>
      </c>
      <c r="C899" s="152" t="s">
        <v>137</v>
      </c>
      <c r="D899" s="231" t="s">
        <v>125</v>
      </c>
      <c r="E899" s="232" t="s">
        <v>142</v>
      </c>
      <c r="F899" s="231" t="s">
        <v>123</v>
      </c>
      <c r="G899" s="231" t="s">
        <v>124</v>
      </c>
      <c r="H899" s="153" t="s">
        <v>245</v>
      </c>
      <c r="I899" s="148" t="s">
        <v>205</v>
      </c>
      <c r="J899" s="143">
        <f ca="1">IFERROR(IF(AND(J900:J903),0,1),0)</f>
        <v>1</v>
      </c>
      <c r="K899" s="219" t="s">
        <v>2353</v>
      </c>
      <c r="L899" s="50" t="s">
        <v>2344</v>
      </c>
      <c r="M899" s="154">
        <f>IFERROR(VLOOKUP($A899,$P$6:$S$1048576,3,0),0)</f>
        <v>0</v>
      </c>
      <c r="N899" s="154">
        <f>IFERROR(VLOOKUP($A899,$P$6:$S$1048576,4,0),0)</f>
        <v>0</v>
      </c>
    </row>
    <row r="900" spans="1:14">
      <c r="B900" s="6" t="str">
        <f t="shared" ref="B900:B903" si="206">DEC2HEX(C900)</f>
        <v>0</v>
      </c>
      <c r="C900" s="6">
        <v>0</v>
      </c>
      <c r="D900" s="227"/>
      <c r="E900" s="227" t="s">
        <v>864</v>
      </c>
      <c r="F900" s="90" t="s">
        <v>2334</v>
      </c>
      <c r="G900" s="90"/>
      <c r="H900" s="6" t="s">
        <v>146</v>
      </c>
      <c r="I900" s="60" t="s">
        <v>180</v>
      </c>
      <c r="J900" s="79" t="b" cm="1">
        <f t="array" aca="1" ref="J900" ca="1">RIGHT("00"&amp;INDIRECT("R_"&amp;H900),2)=RIGHT("00"&amp;I900,2)</f>
        <v>0</v>
      </c>
      <c r="K900" s="6"/>
      <c r="L900" s="6"/>
      <c r="M900" s="6"/>
      <c r="N900" s="6"/>
    </row>
    <row r="901" spans="1:14">
      <c r="B901" s="6" t="str">
        <f t="shared" si="206"/>
        <v>1</v>
      </c>
      <c r="C901" s="6">
        <f>C900+1</f>
        <v>1</v>
      </c>
      <c r="D901" s="227"/>
      <c r="E901" s="227" t="s">
        <v>2284</v>
      </c>
      <c r="F901" s="90" t="s">
        <v>2335</v>
      </c>
      <c r="G901" s="90"/>
      <c r="H901" s="6" t="s">
        <v>2346</v>
      </c>
      <c r="I901" s="60" t="s">
        <v>295</v>
      </c>
      <c r="J901" s="79" t="b" cm="1">
        <f t="array" aca="1" ref="J901" ca="1">RIGHT("00"&amp;INDIRECT("R_"&amp;H901),2)=RIGHT("00"&amp;I901,2)</f>
        <v>0</v>
      </c>
      <c r="K901" s="6"/>
      <c r="L901" s="6"/>
      <c r="M901" s="6"/>
      <c r="N901" s="6"/>
    </row>
    <row r="902" spans="1:14">
      <c r="B902" s="6" t="str">
        <f t="shared" si="206"/>
        <v>2</v>
      </c>
      <c r="C902" s="6">
        <f t="shared" ref="C902:C903" si="207">C901+1</f>
        <v>2</v>
      </c>
      <c r="D902" s="227"/>
      <c r="E902" s="227" t="s">
        <v>2288</v>
      </c>
      <c r="F902" s="90" t="s">
        <v>2345</v>
      </c>
      <c r="G902" s="90"/>
      <c r="H902" s="6" t="s">
        <v>2347</v>
      </c>
      <c r="I902" s="60" t="s">
        <v>215</v>
      </c>
      <c r="J902" s="79" t="b" cm="1">
        <f t="array" aca="1" ref="J902" ca="1">RIGHT("00"&amp;INDIRECT("R_"&amp;H902),2)=RIGHT("00"&amp;I902,2)</f>
        <v>0</v>
      </c>
      <c r="K902" s="6"/>
      <c r="L902" s="6"/>
      <c r="M902" s="6"/>
      <c r="N902" s="6"/>
    </row>
    <row r="903" spans="1:14">
      <c r="B903" s="6" t="str">
        <f t="shared" si="206"/>
        <v>3</v>
      </c>
      <c r="C903" s="6">
        <f t="shared" si="207"/>
        <v>3</v>
      </c>
      <c r="D903" s="227"/>
      <c r="E903" s="227" t="s">
        <v>184</v>
      </c>
      <c r="F903" s="90"/>
      <c r="G903" s="90"/>
      <c r="H903" s="6"/>
      <c r="I903" s="60"/>
      <c r="J903" s="6"/>
      <c r="K903" s="6"/>
      <c r="L903" s="6"/>
      <c r="M903" s="6"/>
      <c r="N903" s="6"/>
    </row>
    <row r="904" spans="1:14" ht="15.75" thickBot="1">
      <c r="D904" s="156"/>
      <c r="E904" s="156"/>
      <c r="F904" s="156"/>
      <c r="G904" s="156"/>
    </row>
    <row r="905" spans="1:14" ht="15.75" thickBot="1">
      <c r="A905" s="20" t="s">
        <v>1182</v>
      </c>
      <c r="B905" s="152" t="s">
        <v>136</v>
      </c>
      <c r="C905" s="152" t="s">
        <v>137</v>
      </c>
      <c r="D905" s="231" t="s">
        <v>125</v>
      </c>
      <c r="E905" s="232" t="s">
        <v>142</v>
      </c>
      <c r="F905" s="231" t="s">
        <v>123</v>
      </c>
      <c r="G905" s="231" t="s">
        <v>124</v>
      </c>
      <c r="H905" s="153" t="s">
        <v>245</v>
      </c>
      <c r="I905" s="148" t="s">
        <v>205</v>
      </c>
      <c r="J905" s="143">
        <f ca="1">IFERROR(IF(AND(J906:J914),0,1),0)</f>
        <v>1</v>
      </c>
      <c r="K905" s="219" t="s">
        <v>2353</v>
      </c>
      <c r="L905" s="50" t="s">
        <v>2356</v>
      </c>
      <c r="M905" s="154">
        <f>IFERROR(VLOOKUP($A905,$P$6:$S$1048576,3,0),0)</f>
        <v>0</v>
      </c>
      <c r="N905" s="154">
        <f>IFERROR(VLOOKUP($A905,$P$6:$S$1048576,4,0),0)</f>
        <v>0</v>
      </c>
    </row>
    <row r="906" spans="1:14">
      <c r="B906" s="6">
        <v>0</v>
      </c>
      <c r="C906" s="6"/>
      <c r="D906" s="227"/>
      <c r="E906" s="227" t="s">
        <v>864</v>
      </c>
      <c r="F906" s="90" t="s">
        <v>2357</v>
      </c>
      <c r="G906" s="90"/>
      <c r="H906" s="6" t="s">
        <v>2346</v>
      </c>
      <c r="I906" s="60">
        <v>33</v>
      </c>
      <c r="J906" s="79" t="b" cm="1">
        <f t="array" aca="1" ref="J906" ca="1">RIGHT("00"&amp;INDIRECT("R_"&amp;H906),2)=RIGHT("00"&amp;I906,2)</f>
        <v>0</v>
      </c>
      <c r="K906" s="6"/>
      <c r="L906" s="6"/>
      <c r="M906" s="6"/>
      <c r="N906" s="6"/>
    </row>
    <row r="907" spans="1:14">
      <c r="B907" s="6">
        <v>1</v>
      </c>
      <c r="C907" s="6"/>
      <c r="D907" s="227"/>
      <c r="E907" s="227" t="s">
        <v>2322</v>
      </c>
      <c r="F907" s="90"/>
      <c r="G907" s="90"/>
      <c r="H907" s="6" t="s">
        <v>2347</v>
      </c>
      <c r="I907" s="60" t="s">
        <v>942</v>
      </c>
      <c r="J907" s="79" t="b" cm="1">
        <f t="array" aca="1" ref="J907" ca="1">RIGHT("00"&amp;INDIRECT("R_"&amp;H907),2)=RIGHT("00"&amp;I907,2)</f>
        <v>0</v>
      </c>
      <c r="K907" s="6"/>
      <c r="L907" s="6"/>
      <c r="M907" s="6"/>
      <c r="N907" s="6"/>
    </row>
    <row r="908" spans="1:14">
      <c r="B908" s="6">
        <v>2</v>
      </c>
      <c r="C908" s="6"/>
      <c r="D908" s="227"/>
      <c r="E908" s="227" t="s">
        <v>864</v>
      </c>
      <c r="F908" s="90" t="s">
        <v>2358</v>
      </c>
      <c r="G908" s="90"/>
      <c r="H908" s="6" t="s">
        <v>146</v>
      </c>
      <c r="I908" s="60" t="s">
        <v>942</v>
      </c>
      <c r="J908" s="79" t="b" cm="1">
        <f t="array" aca="1" ref="J908" ca="1">RIGHT("00"&amp;INDIRECT("R_"&amp;H908),2)=RIGHT("00"&amp;I908,2)</f>
        <v>0</v>
      </c>
      <c r="K908" s="6"/>
      <c r="L908" s="6"/>
      <c r="M908" s="6"/>
      <c r="N908" s="6"/>
    </row>
    <row r="909" spans="1:14">
      <c r="B909" s="6">
        <v>3</v>
      </c>
      <c r="C909" s="6"/>
      <c r="D909" s="227"/>
      <c r="E909" s="227" t="s">
        <v>2324</v>
      </c>
      <c r="F909" s="90"/>
      <c r="G909" s="90"/>
      <c r="H909" s="6"/>
      <c r="I909" s="60"/>
      <c r="J909" s="6"/>
      <c r="K909" s="6"/>
      <c r="L909" s="6"/>
      <c r="M909" s="6"/>
      <c r="N909" s="6"/>
    </row>
    <row r="910" spans="1:14">
      <c r="B910" s="6">
        <v>4</v>
      </c>
      <c r="C910" s="6"/>
      <c r="D910" s="227"/>
      <c r="E910" s="227" t="s">
        <v>2284</v>
      </c>
      <c r="F910" s="90" t="s">
        <v>2359</v>
      </c>
      <c r="G910" s="90"/>
      <c r="H910" s="6"/>
      <c r="I910" s="60"/>
      <c r="J910" s="6"/>
      <c r="K910" s="6"/>
      <c r="L910" s="6"/>
      <c r="M910" s="6"/>
      <c r="N910" s="6"/>
    </row>
    <row r="911" spans="1:14">
      <c r="B911" s="6">
        <v>5</v>
      </c>
      <c r="C911" s="6"/>
      <c r="D911" s="227"/>
      <c r="E911" s="227" t="s">
        <v>2328</v>
      </c>
      <c r="F911" s="90"/>
      <c r="G911" s="90"/>
      <c r="H911" s="6"/>
      <c r="I911" s="60"/>
      <c r="J911" s="6"/>
      <c r="K911" s="6"/>
      <c r="L911" s="6"/>
      <c r="M911" s="6"/>
      <c r="N911" s="6"/>
    </row>
    <row r="912" spans="1:14">
      <c r="B912" s="6">
        <v>6</v>
      </c>
      <c r="C912" s="6"/>
      <c r="D912" s="227"/>
      <c r="E912" s="227" t="s">
        <v>2288</v>
      </c>
      <c r="F912" s="90" t="s">
        <v>2360</v>
      </c>
      <c r="G912" s="90"/>
      <c r="H912" s="6"/>
      <c r="I912" s="60"/>
      <c r="J912" s="6"/>
      <c r="K912" s="6"/>
      <c r="L912" s="6"/>
      <c r="M912" s="6"/>
      <c r="N912" s="6"/>
    </row>
    <row r="913" spans="1:14">
      <c r="B913" s="6">
        <v>7</v>
      </c>
      <c r="C913" s="6"/>
      <c r="D913" s="227"/>
      <c r="E913" s="227" t="s">
        <v>2332</v>
      </c>
      <c r="F913" s="90"/>
      <c r="G913" s="90"/>
      <c r="H913" s="6"/>
      <c r="I913" s="60"/>
      <c r="J913" s="6"/>
      <c r="K913" s="6"/>
      <c r="L913" s="6"/>
      <c r="M913" s="6"/>
      <c r="N913" s="6"/>
    </row>
    <row r="914" spans="1:14">
      <c r="B914" s="6">
        <v>8</v>
      </c>
      <c r="C914" s="6"/>
      <c r="D914" s="227"/>
      <c r="E914" s="227" t="s">
        <v>184</v>
      </c>
      <c r="F914" s="90"/>
      <c r="G914" s="90"/>
      <c r="H914" s="6"/>
      <c r="I914" s="60"/>
      <c r="J914" s="6"/>
      <c r="K914" s="6"/>
      <c r="L914" s="6"/>
      <c r="M914" s="6"/>
      <c r="N914" s="6"/>
    </row>
    <row r="915" spans="1:14" ht="15.75" thickBot="1">
      <c r="D915" s="156"/>
      <c r="E915" s="156"/>
      <c r="F915" s="156"/>
      <c r="G915" s="156"/>
      <c r="I915"/>
    </row>
    <row r="916" spans="1:14" ht="15.75" thickBot="1">
      <c r="A916" s="20" t="s">
        <v>1184</v>
      </c>
      <c r="B916" s="152" t="s">
        <v>136</v>
      </c>
      <c r="C916" s="152" t="s">
        <v>137</v>
      </c>
      <c r="D916" s="231" t="s">
        <v>125</v>
      </c>
      <c r="E916" s="232" t="s">
        <v>142</v>
      </c>
      <c r="F916" s="231" t="s">
        <v>123</v>
      </c>
      <c r="G916" s="231" t="s">
        <v>124</v>
      </c>
      <c r="H916" s="153" t="s">
        <v>245</v>
      </c>
      <c r="I916" s="148" t="s">
        <v>205</v>
      </c>
      <c r="J916" s="143">
        <f ca="1">IFERROR(IF(AND(J917:J926),0,1),0)</f>
        <v>1</v>
      </c>
      <c r="K916" s="219" t="s">
        <v>2353</v>
      </c>
      <c r="L916" s="50" t="s">
        <v>2361</v>
      </c>
      <c r="M916" s="154">
        <f>IFERROR(VLOOKUP($A916,$P$6:$S$1048576,3,0),0)</f>
        <v>0</v>
      </c>
      <c r="N916" s="154">
        <f>IFERROR(VLOOKUP($A916,$P$6:$S$1048576,4,0),0)</f>
        <v>0</v>
      </c>
    </row>
    <row r="917" spans="1:14">
      <c r="B917" s="6">
        <v>0</v>
      </c>
      <c r="C917" s="6"/>
      <c r="D917" s="227"/>
      <c r="E917" s="227" t="s">
        <v>864</v>
      </c>
      <c r="F917" s="90" t="s">
        <v>2362</v>
      </c>
      <c r="G917" s="90"/>
      <c r="H917" s="6" t="s">
        <v>146</v>
      </c>
      <c r="I917" s="60" t="s">
        <v>701</v>
      </c>
      <c r="J917" s="79" t="b" cm="1">
        <f t="array" aca="1" ref="J917" ca="1">RIGHT("00"&amp;INDIRECT("R_"&amp;H917),2)=RIGHT("00"&amp;I917,2)</f>
        <v>0</v>
      </c>
      <c r="K917" s="6"/>
      <c r="L917" s="6"/>
      <c r="M917" s="6"/>
      <c r="N917" s="6"/>
    </row>
    <row r="918" spans="1:14">
      <c r="B918" s="6">
        <v>1</v>
      </c>
      <c r="C918" s="6"/>
      <c r="D918" s="227"/>
      <c r="E918" s="227" t="s">
        <v>2256</v>
      </c>
      <c r="F918" s="90"/>
      <c r="G918" s="90"/>
      <c r="H918" s="6" t="s">
        <v>2206</v>
      </c>
      <c r="I918" s="60">
        <v>1</v>
      </c>
      <c r="J918" s="81" t="b" cm="1">
        <f t="array" aca="1" ref="J918" ca="1">INDIRECT(H918)=I918</f>
        <v>0</v>
      </c>
      <c r="K918" s="6"/>
      <c r="L918" s="6"/>
      <c r="M918" s="6"/>
      <c r="N918" s="6"/>
    </row>
    <row r="919" spans="1:14">
      <c r="B919" s="6">
        <v>2</v>
      </c>
      <c r="C919" s="6"/>
      <c r="D919" s="227"/>
      <c r="E919" s="227" t="s">
        <v>426</v>
      </c>
      <c r="F919" s="90" t="s">
        <v>2363</v>
      </c>
      <c r="G919" s="90"/>
      <c r="H919" s="6" t="s">
        <v>2390</v>
      </c>
      <c r="I919" s="60">
        <v>1</v>
      </c>
      <c r="J919" s="81" t="b" cm="1">
        <f t="array" aca="1" ref="J919" ca="1">INDIRECT(H919)=I919</f>
        <v>0</v>
      </c>
      <c r="K919" s="6"/>
      <c r="L919" s="6"/>
      <c r="M919" s="6"/>
      <c r="N919" s="6"/>
    </row>
    <row r="920" spans="1:14">
      <c r="B920" s="6">
        <v>3</v>
      </c>
      <c r="C920" s="6"/>
      <c r="D920" s="227"/>
      <c r="E920" s="227" t="s">
        <v>864</v>
      </c>
      <c r="F920" s="90" t="s">
        <v>2364</v>
      </c>
      <c r="G920" s="90"/>
      <c r="H920" s="6" t="s">
        <v>115</v>
      </c>
      <c r="I920" s="60">
        <v>0</v>
      </c>
      <c r="J920" s="81" t="b" cm="1">
        <f t="array" aca="1" ref="J920" ca="1">INDIRECT(H920)=I920</f>
        <v>0</v>
      </c>
      <c r="K920" s="6"/>
      <c r="L920" s="6"/>
      <c r="M920" s="6"/>
      <c r="N920" s="6"/>
    </row>
    <row r="921" spans="1:14">
      <c r="B921" s="6">
        <v>4</v>
      </c>
      <c r="C921" s="6"/>
      <c r="D921" s="227"/>
      <c r="E921" s="227" t="s">
        <v>2256</v>
      </c>
      <c r="F921" s="90"/>
      <c r="G921" s="90"/>
      <c r="H921" s="6"/>
      <c r="I921" s="60"/>
      <c r="J921" s="6"/>
      <c r="K921" s="6"/>
      <c r="L921" s="6"/>
      <c r="M921" s="6"/>
      <c r="N921" s="6"/>
    </row>
    <row r="922" spans="1:14">
      <c r="B922" s="6">
        <v>5</v>
      </c>
      <c r="C922" s="6"/>
      <c r="D922" s="227"/>
      <c r="E922" s="227" t="s">
        <v>426</v>
      </c>
      <c r="F922" s="90" t="s">
        <v>2335</v>
      </c>
      <c r="G922" s="90"/>
      <c r="H922" s="6"/>
      <c r="I922" s="60"/>
      <c r="J922" s="6"/>
      <c r="K922" s="6"/>
      <c r="L922" s="6"/>
      <c r="M922" s="6"/>
      <c r="N922" s="6"/>
    </row>
    <row r="923" spans="1:14">
      <c r="B923" s="6">
        <v>6</v>
      </c>
      <c r="C923" s="6"/>
      <c r="D923" s="227"/>
      <c r="E923" s="227" t="s">
        <v>864</v>
      </c>
      <c r="F923" s="90" t="s">
        <v>2365</v>
      </c>
      <c r="G923" s="90"/>
      <c r="H923" s="6"/>
      <c r="I923" s="60"/>
      <c r="J923" s="6"/>
      <c r="K923" s="6"/>
      <c r="L923" s="6"/>
      <c r="M923" s="6"/>
      <c r="N923" s="6"/>
    </row>
    <row r="924" spans="1:14">
      <c r="B924" s="6">
        <v>7</v>
      </c>
      <c r="C924" s="6"/>
      <c r="D924" s="227"/>
      <c r="E924" s="227" t="s">
        <v>2256</v>
      </c>
      <c r="F924" s="90"/>
      <c r="G924" s="90"/>
      <c r="H924" s="6"/>
      <c r="I924" s="60"/>
      <c r="J924" s="6"/>
      <c r="K924" s="6"/>
      <c r="L924" s="6"/>
      <c r="M924" s="6"/>
      <c r="N924" s="6"/>
    </row>
    <row r="925" spans="1:14">
      <c r="B925" s="6">
        <v>8</v>
      </c>
      <c r="C925" s="6"/>
      <c r="D925" s="227"/>
      <c r="E925" s="227" t="s">
        <v>426</v>
      </c>
      <c r="F925" s="90" t="s">
        <v>2365</v>
      </c>
      <c r="G925" s="90"/>
      <c r="H925" s="6"/>
      <c r="I925" s="60"/>
      <c r="J925" s="6"/>
      <c r="K925" s="6"/>
      <c r="L925" s="6"/>
      <c r="M925" s="6"/>
      <c r="N925" s="6"/>
    </row>
    <row r="926" spans="1:14">
      <c r="B926" s="6">
        <v>9</v>
      </c>
      <c r="C926" s="6"/>
      <c r="D926" s="227"/>
      <c r="E926" s="227" t="s">
        <v>184</v>
      </c>
      <c r="F926" s="90"/>
      <c r="G926" s="90"/>
      <c r="H926" s="6"/>
      <c r="I926" s="60"/>
      <c r="J926" s="6"/>
      <c r="K926" s="6"/>
      <c r="L926" s="6"/>
      <c r="M926" s="6"/>
      <c r="N926" s="6"/>
    </row>
    <row r="927" spans="1:14" ht="15.75" thickBot="1">
      <c r="D927" s="156"/>
      <c r="E927" s="156"/>
      <c r="F927" s="156"/>
      <c r="G927" s="156"/>
    </row>
    <row r="928" spans="1:14" ht="15.75" thickBot="1">
      <c r="A928" s="20" t="s">
        <v>1185</v>
      </c>
      <c r="B928" s="34" t="s">
        <v>136</v>
      </c>
      <c r="C928" s="34" t="s">
        <v>137</v>
      </c>
      <c r="D928" s="228" t="s">
        <v>125</v>
      </c>
      <c r="E928" s="229" t="s">
        <v>142</v>
      </c>
      <c r="F928" s="228" t="s">
        <v>123</v>
      </c>
      <c r="G928" s="228" t="s">
        <v>124</v>
      </c>
      <c r="H928" s="47" t="s">
        <v>245</v>
      </c>
      <c r="I928" s="69" t="s">
        <v>205</v>
      </c>
      <c r="J928" s="46">
        <f ca="1">IFERROR(IF(AND(J929:J935),0,1),0)</f>
        <v>1</v>
      </c>
      <c r="K928" s="222" t="s">
        <v>2353</v>
      </c>
      <c r="L928" s="62" t="s">
        <v>2366</v>
      </c>
      <c r="M928" s="20">
        <f>IFERROR(VLOOKUP($A928,$P$6:$S$1048576,3,0),0)</f>
        <v>0</v>
      </c>
      <c r="N928" s="20">
        <f>IFERROR(VLOOKUP($A928,$P$6:$S$1048576,4,0),0)</f>
        <v>0</v>
      </c>
    </row>
    <row r="929" spans="1:14">
      <c r="B929" s="33">
        <v>0</v>
      </c>
      <c r="C929" s="33"/>
      <c r="D929" s="223"/>
      <c r="E929" s="223" t="s">
        <v>864</v>
      </c>
      <c r="F929" s="89" t="s">
        <v>2365</v>
      </c>
      <c r="G929" s="89"/>
      <c r="H929" s="33" t="s">
        <v>146</v>
      </c>
      <c r="I929" s="75" t="s">
        <v>264</v>
      </c>
      <c r="J929" s="79" t="b" cm="1">
        <f t="array" aca="1" ref="J929" ca="1">RIGHT("00"&amp;INDIRECT("R_"&amp;H929),2)=RIGHT("00"&amp;I929,2)</f>
        <v>0</v>
      </c>
      <c r="K929" s="33"/>
      <c r="L929" s="33"/>
      <c r="M929" s="33"/>
      <c r="N929" s="33"/>
    </row>
    <row r="930" spans="1:14">
      <c r="B930" s="6">
        <v>1</v>
      </c>
      <c r="C930" s="6"/>
      <c r="D930" s="227"/>
      <c r="E930" s="227" t="s">
        <v>2311</v>
      </c>
      <c r="F930" s="90"/>
      <c r="G930" s="90"/>
      <c r="H930" s="6" t="s">
        <v>2390</v>
      </c>
      <c r="I930" s="60">
        <v>1</v>
      </c>
      <c r="J930" s="81" t="b" cm="1">
        <f t="array" aca="1" ref="J930" ca="1">INDIRECT(H930)=I930</f>
        <v>0</v>
      </c>
      <c r="K930" s="6"/>
      <c r="L930" s="6"/>
      <c r="M930" s="6"/>
      <c r="N930" s="6"/>
    </row>
    <row r="931" spans="1:14">
      <c r="B931" s="6">
        <v>2</v>
      </c>
      <c r="C931" s="6"/>
      <c r="D931" s="227"/>
      <c r="E931" s="227" t="s">
        <v>1267</v>
      </c>
      <c r="F931" s="90" t="s">
        <v>2362</v>
      </c>
      <c r="G931" s="90"/>
      <c r="H931" s="6" t="s">
        <v>115</v>
      </c>
      <c r="I931" s="60">
        <v>0</v>
      </c>
      <c r="J931" s="81" t="b" cm="1">
        <f t="array" aca="1" ref="J931" ca="1">INDIRECT(H931)=I931</f>
        <v>0</v>
      </c>
      <c r="K931" s="6"/>
      <c r="L931" s="6"/>
      <c r="M931" s="6"/>
      <c r="N931" s="6"/>
    </row>
    <row r="932" spans="1:14">
      <c r="B932" s="6">
        <v>3</v>
      </c>
      <c r="C932" s="6"/>
      <c r="D932" s="227"/>
      <c r="E932" s="227" t="s">
        <v>864</v>
      </c>
      <c r="F932" s="90" t="s">
        <v>2362</v>
      </c>
      <c r="G932" s="90"/>
      <c r="H932" s="6"/>
      <c r="I932" s="60"/>
      <c r="J932" s="6"/>
      <c r="K932" s="6"/>
      <c r="L932" s="6"/>
      <c r="M932" s="6"/>
      <c r="N932" s="6"/>
    </row>
    <row r="933" spans="1:14">
      <c r="B933" s="6">
        <v>4</v>
      </c>
      <c r="C933" s="6"/>
      <c r="D933" s="227"/>
      <c r="E933" s="227" t="s">
        <v>2311</v>
      </c>
      <c r="F933" s="90"/>
      <c r="G933" s="90"/>
      <c r="H933" s="6"/>
      <c r="I933" s="60"/>
      <c r="J933" s="6"/>
      <c r="K933" s="6"/>
      <c r="L933" s="6"/>
      <c r="M933" s="6"/>
      <c r="N933" s="6"/>
    </row>
    <row r="934" spans="1:14">
      <c r="B934" s="6">
        <v>5</v>
      </c>
      <c r="C934" s="6"/>
      <c r="D934" s="227"/>
      <c r="E934" s="227" t="s">
        <v>1267</v>
      </c>
      <c r="F934" s="90" t="s">
        <v>2363</v>
      </c>
      <c r="G934" s="90"/>
      <c r="H934" s="6"/>
      <c r="I934" s="60"/>
      <c r="J934" s="6"/>
      <c r="K934" s="6"/>
      <c r="L934" s="6"/>
      <c r="M934" s="6"/>
      <c r="N934" s="6"/>
    </row>
    <row r="935" spans="1:14">
      <c r="B935" s="6">
        <v>6</v>
      </c>
      <c r="C935" s="6"/>
      <c r="D935" s="227"/>
      <c r="E935" s="227" t="s">
        <v>184</v>
      </c>
      <c r="F935" s="90"/>
      <c r="G935" s="90"/>
      <c r="H935" s="6"/>
      <c r="I935" s="60"/>
      <c r="J935" s="6"/>
      <c r="K935" s="6"/>
      <c r="L935" s="6"/>
      <c r="M935" s="6"/>
      <c r="N935" s="6"/>
    </row>
    <row r="936" spans="1:14" ht="15.75" thickBot="1">
      <c r="D936" s="156"/>
      <c r="E936" s="156"/>
      <c r="F936" s="156"/>
      <c r="G936" s="156"/>
      <c r="I936"/>
    </row>
    <row r="937" spans="1:14" ht="15.75" thickBot="1">
      <c r="A937" s="20" t="s">
        <v>1186</v>
      </c>
      <c r="B937" s="34" t="s">
        <v>136</v>
      </c>
      <c r="C937" s="34" t="s">
        <v>137</v>
      </c>
      <c r="D937" s="228" t="s">
        <v>125</v>
      </c>
      <c r="E937" s="229" t="s">
        <v>142</v>
      </c>
      <c r="F937" s="228" t="s">
        <v>123</v>
      </c>
      <c r="G937" s="228" t="s">
        <v>124</v>
      </c>
      <c r="H937" s="47" t="s">
        <v>245</v>
      </c>
      <c r="I937" s="69" t="s">
        <v>205</v>
      </c>
      <c r="J937" s="46">
        <f ca="1">IFERROR(IF(AND(J938:J944),0,1),0)</f>
        <v>1</v>
      </c>
      <c r="K937" s="222" t="s">
        <v>2353</v>
      </c>
      <c r="L937" s="62" t="s">
        <v>2367</v>
      </c>
      <c r="M937" s="20">
        <f>IFERROR(VLOOKUP($A937,$P$6:$S$1048576,3,0),0)</f>
        <v>0</v>
      </c>
      <c r="N937" s="20">
        <f>IFERROR(VLOOKUP($A937,$P$6:$S$1048576,4,0),0)</f>
        <v>0</v>
      </c>
    </row>
    <row r="938" spans="1:14">
      <c r="B938" s="33">
        <v>0</v>
      </c>
      <c r="C938" s="33"/>
      <c r="D938" s="223"/>
      <c r="E938" s="223" t="s">
        <v>2284</v>
      </c>
      <c r="F938" s="89" t="s">
        <v>2364</v>
      </c>
      <c r="G938" s="89"/>
      <c r="H938" s="33" t="s">
        <v>2346</v>
      </c>
      <c r="I938" s="75" t="s">
        <v>216</v>
      </c>
      <c r="J938" s="79" t="b" cm="1">
        <f t="array" aca="1" ref="J938" ca="1">RIGHT("00"&amp;INDIRECT("R_"&amp;H938),2)=RIGHT("00"&amp;I938,2)</f>
        <v>0</v>
      </c>
      <c r="K938" s="33"/>
      <c r="L938" s="33"/>
      <c r="M938" s="33"/>
      <c r="N938" s="33"/>
    </row>
    <row r="939" spans="1:14">
      <c r="B939" s="6">
        <v>1</v>
      </c>
      <c r="C939" s="6"/>
      <c r="D939" s="227"/>
      <c r="E939" s="227" t="s">
        <v>461</v>
      </c>
      <c r="F939" s="90"/>
      <c r="G939" s="90"/>
      <c r="H939" s="6" t="s">
        <v>2347</v>
      </c>
      <c r="I939" s="60" t="s">
        <v>140</v>
      </c>
      <c r="J939" s="79" t="b" cm="1">
        <f t="array" aca="1" ref="J939" ca="1">RIGHT("00"&amp;INDIRECT("R_"&amp;H939),2)=RIGHT("00"&amp;I939,2)</f>
        <v>0</v>
      </c>
      <c r="K939" s="6"/>
      <c r="L939" s="6"/>
      <c r="M939" s="6"/>
      <c r="N939" s="6"/>
    </row>
    <row r="940" spans="1:14">
      <c r="B940" s="6">
        <v>2</v>
      </c>
      <c r="C940" s="6"/>
      <c r="D940" s="227"/>
      <c r="E940" s="227" t="s">
        <v>2288</v>
      </c>
      <c r="F940" s="90" t="s">
        <v>2345</v>
      </c>
      <c r="G940" s="90"/>
      <c r="H940" s="6" t="s">
        <v>2390</v>
      </c>
      <c r="I940" s="60">
        <v>1</v>
      </c>
      <c r="J940" s="81" t="b" cm="1">
        <f t="array" aca="1" ref="J940" ca="1">INDIRECT(H940)=I940</f>
        <v>0</v>
      </c>
      <c r="K940" s="6"/>
      <c r="L940" s="6"/>
      <c r="M940" s="6"/>
      <c r="N940" s="6"/>
    </row>
    <row r="941" spans="1:14">
      <c r="B941" s="6">
        <v>3</v>
      </c>
      <c r="C941" s="6"/>
      <c r="D941" s="227"/>
      <c r="E941" s="227" t="s">
        <v>2272</v>
      </c>
      <c r="F941" s="90"/>
      <c r="G941" s="90"/>
      <c r="H941" s="6"/>
      <c r="I941" s="60"/>
      <c r="J941" s="6"/>
      <c r="K941" s="6"/>
      <c r="L941" s="6"/>
      <c r="M941" s="6"/>
      <c r="N941" s="6"/>
    </row>
    <row r="942" spans="1:14">
      <c r="B942" s="6">
        <v>4</v>
      </c>
      <c r="C942" s="6"/>
      <c r="D942" s="227"/>
      <c r="E942" s="227" t="s">
        <v>2284</v>
      </c>
      <c r="F942" s="90" t="s">
        <v>2368</v>
      </c>
      <c r="G942" s="90"/>
      <c r="H942" s="6"/>
      <c r="I942" s="60"/>
      <c r="J942" s="6"/>
      <c r="K942" s="6"/>
      <c r="L942" s="6"/>
      <c r="M942" s="6"/>
      <c r="N942" s="6"/>
    </row>
    <row r="943" spans="1:14">
      <c r="B943" s="6">
        <v>5</v>
      </c>
      <c r="C943" s="6"/>
      <c r="D943" s="227"/>
      <c r="E943" s="227" t="s">
        <v>461</v>
      </c>
      <c r="F943" s="90"/>
      <c r="G943" s="90"/>
      <c r="H943" s="6"/>
      <c r="I943" s="60"/>
      <c r="J943" s="6"/>
      <c r="K943" s="6"/>
      <c r="L943" s="6"/>
      <c r="M943" s="6"/>
      <c r="N943" s="6"/>
    </row>
    <row r="944" spans="1:14">
      <c r="B944" s="6">
        <v>6</v>
      </c>
      <c r="C944" s="6"/>
      <c r="D944" s="227"/>
      <c r="E944" s="227" t="s">
        <v>184</v>
      </c>
      <c r="F944" s="90"/>
      <c r="G944" s="90"/>
      <c r="H944" s="6"/>
      <c r="I944" s="60"/>
      <c r="J944" s="6"/>
      <c r="K944" s="6"/>
      <c r="L944" s="6"/>
      <c r="M944" s="6"/>
      <c r="N944" s="6"/>
    </row>
    <row r="945" spans="1:14" ht="15.75" thickBot="1">
      <c r="D945" s="156"/>
      <c r="E945" s="156"/>
      <c r="F945" s="156"/>
      <c r="G945" s="156"/>
    </row>
    <row r="946" spans="1:14" ht="15.75" thickBot="1">
      <c r="A946" s="20" t="s">
        <v>1187</v>
      </c>
      <c r="B946" s="152" t="s">
        <v>136</v>
      </c>
      <c r="C946" s="152" t="s">
        <v>137</v>
      </c>
      <c r="D946" s="231" t="s">
        <v>125</v>
      </c>
      <c r="E946" s="232" t="s">
        <v>142</v>
      </c>
      <c r="F946" s="231" t="s">
        <v>123</v>
      </c>
      <c r="G946" s="231" t="s">
        <v>124</v>
      </c>
      <c r="H946" s="153" t="s">
        <v>245</v>
      </c>
      <c r="I946" s="148" t="s">
        <v>205</v>
      </c>
      <c r="J946" s="143">
        <f ca="1">IFERROR(IF(AND(J947:J951),0,1),0)</f>
        <v>1</v>
      </c>
      <c r="K946" s="219" t="s">
        <v>2353</v>
      </c>
      <c r="L946" s="50" t="s">
        <v>2369</v>
      </c>
      <c r="M946" s="154">
        <f>IFERROR(VLOOKUP($A946,$P$6:$S$1048576,3,0),0)</f>
        <v>0</v>
      </c>
      <c r="N946" s="154">
        <f>IFERROR(VLOOKUP($A946,$P$6:$S$1048576,4,0),0)</f>
        <v>0</v>
      </c>
    </row>
    <row r="947" spans="1:14">
      <c r="B947" s="6">
        <v>0</v>
      </c>
      <c r="C947" s="6"/>
      <c r="D947" s="227"/>
      <c r="E947" s="227" t="s">
        <v>864</v>
      </c>
      <c r="F947" s="90" t="s">
        <v>2364</v>
      </c>
      <c r="G947" s="90"/>
      <c r="H947" s="6" t="s">
        <v>146</v>
      </c>
      <c r="I947" s="60" t="s">
        <v>215</v>
      </c>
      <c r="J947" s="79" t="b" cm="1">
        <f t="array" aca="1" ref="J947" ca="1">RIGHT("00"&amp;INDIRECT("R_"&amp;H947),2)=RIGHT("00"&amp;I947,2)</f>
        <v>0</v>
      </c>
      <c r="K947" s="6"/>
      <c r="L947" s="6"/>
      <c r="M947" s="6"/>
      <c r="N947" s="6"/>
    </row>
    <row r="948" spans="1:14">
      <c r="B948" s="6">
        <v>1</v>
      </c>
      <c r="C948" s="6"/>
      <c r="D948" s="227"/>
      <c r="E948" s="227" t="s">
        <v>1276</v>
      </c>
      <c r="F948" s="90" t="s">
        <v>2370</v>
      </c>
      <c r="G948" s="90"/>
      <c r="H948" s="6" t="s">
        <v>119</v>
      </c>
      <c r="I948" s="60">
        <v>1</v>
      </c>
      <c r="J948" s="81" t="b" cm="1">
        <f t="array" aca="1" ref="J948" ca="1">INDIRECT(H948)=I948</f>
        <v>0</v>
      </c>
      <c r="K948" s="6"/>
      <c r="L948" s="6"/>
      <c r="M948" s="6"/>
      <c r="N948" s="6"/>
    </row>
    <row r="949" spans="1:14">
      <c r="B949" s="6">
        <v>2</v>
      </c>
      <c r="C949" s="6"/>
      <c r="D949" s="227"/>
      <c r="E949" s="227" t="s">
        <v>262</v>
      </c>
      <c r="F949" s="90" t="s">
        <v>2371</v>
      </c>
      <c r="G949" s="90"/>
      <c r="H949" s="6"/>
      <c r="I949" s="60"/>
      <c r="J949" s="6"/>
      <c r="K949" s="6"/>
      <c r="L949" s="6"/>
      <c r="M949" s="6"/>
      <c r="N949" s="6"/>
    </row>
    <row r="950" spans="1:14">
      <c r="B950" s="6">
        <v>3</v>
      </c>
      <c r="C950" s="6"/>
      <c r="D950" s="227"/>
      <c r="E950" s="227" t="s">
        <v>2274</v>
      </c>
      <c r="F950" s="90" t="s">
        <v>2364</v>
      </c>
      <c r="G950" s="90"/>
      <c r="H950" s="6"/>
      <c r="I950" s="60"/>
      <c r="J950" s="6"/>
      <c r="K950" s="6"/>
      <c r="L950" s="6"/>
      <c r="M950" s="6"/>
      <c r="N950" s="6"/>
    </row>
    <row r="951" spans="1:14">
      <c r="B951" s="6">
        <v>4</v>
      </c>
      <c r="C951" s="6"/>
      <c r="D951" s="227"/>
      <c r="E951" s="227" t="s">
        <v>184</v>
      </c>
      <c r="F951" s="90"/>
      <c r="G951" s="90"/>
      <c r="H951" s="6"/>
      <c r="I951" s="60"/>
      <c r="J951" s="6"/>
      <c r="K951" s="6"/>
      <c r="L951" s="6"/>
      <c r="M951" s="6"/>
      <c r="N951" s="6"/>
    </row>
    <row r="952" spans="1:14" ht="15.75" thickBot="1">
      <c r="D952" s="156"/>
      <c r="E952" s="156"/>
      <c r="F952" s="156"/>
      <c r="G952" s="156"/>
    </row>
    <row r="953" spans="1:14" ht="15.75" thickBot="1">
      <c r="A953" s="20" t="s">
        <v>1188</v>
      </c>
      <c r="B953" s="152" t="s">
        <v>136</v>
      </c>
      <c r="C953" s="152" t="s">
        <v>137</v>
      </c>
      <c r="D953" s="231" t="s">
        <v>125</v>
      </c>
      <c r="E953" s="232" t="s">
        <v>142</v>
      </c>
      <c r="F953" s="231" t="s">
        <v>123</v>
      </c>
      <c r="G953" s="231" t="s">
        <v>124</v>
      </c>
      <c r="H953" s="153" t="s">
        <v>245</v>
      </c>
      <c r="I953" s="148" t="s">
        <v>205</v>
      </c>
      <c r="J953" s="143">
        <f ca="1">IFERROR(IF(AND(J954:J957),0,1),0)</f>
        <v>1</v>
      </c>
      <c r="K953" s="219" t="s">
        <v>2353</v>
      </c>
      <c r="L953" s="50" t="s">
        <v>2372</v>
      </c>
      <c r="M953" s="154">
        <f>IFERROR(VLOOKUP($A953,$P$6:$S$1048576,3,0),0)</f>
        <v>0</v>
      </c>
      <c r="N953" s="154">
        <f>IFERROR(VLOOKUP($A953,$P$6:$S$1048576,4,0),0)</f>
        <v>0</v>
      </c>
    </row>
    <row r="954" spans="1:14">
      <c r="B954" s="6">
        <v>0</v>
      </c>
      <c r="C954" s="6"/>
      <c r="D954" s="227"/>
      <c r="E954" s="227" t="s">
        <v>864</v>
      </c>
      <c r="F954" s="90" t="s">
        <v>2373</v>
      </c>
      <c r="G954" s="90"/>
      <c r="H954" s="6" t="s">
        <v>146</v>
      </c>
      <c r="I954" s="60" t="s">
        <v>295</v>
      </c>
      <c r="J954" s="79" t="b" cm="1">
        <f t="array" aca="1" ref="J954" ca="1">RIGHT("00"&amp;INDIRECT("R_"&amp;H954),2)=RIGHT("00"&amp;I954,2)</f>
        <v>0</v>
      </c>
      <c r="K954" s="6"/>
      <c r="L954" s="6"/>
      <c r="M954" s="6"/>
      <c r="N954" s="6"/>
    </row>
    <row r="955" spans="1:14">
      <c r="B955" s="6">
        <v>1</v>
      </c>
      <c r="C955" s="6"/>
      <c r="D955" s="227"/>
      <c r="E955" s="227" t="s">
        <v>2230</v>
      </c>
      <c r="F955" s="90" t="s">
        <v>146</v>
      </c>
      <c r="G955" s="90"/>
      <c r="H955" s="6" t="s">
        <v>115</v>
      </c>
      <c r="I955" s="60">
        <v>0</v>
      </c>
      <c r="J955" s="81" t="b" cm="1">
        <f t="array" aca="1" ref="J955" ca="1">INDIRECT(H955)=I955</f>
        <v>0</v>
      </c>
      <c r="K955" s="6"/>
      <c r="L955" s="6"/>
      <c r="M955" s="6"/>
      <c r="N955" s="6"/>
    </row>
    <row r="956" spans="1:14">
      <c r="B956" s="6">
        <v>2</v>
      </c>
      <c r="C956" s="6"/>
      <c r="D956" s="227"/>
      <c r="E956" s="227" t="s">
        <v>2290</v>
      </c>
      <c r="F956" s="90" t="s">
        <v>146</v>
      </c>
      <c r="G956" s="90"/>
      <c r="H956" s="6"/>
      <c r="I956" s="60"/>
      <c r="J956" s="6"/>
      <c r="K956" s="6"/>
      <c r="L956" s="6"/>
      <c r="M956" s="6"/>
      <c r="N956" s="6"/>
    </row>
    <row r="957" spans="1:14">
      <c r="B957" s="6">
        <v>3</v>
      </c>
      <c r="C957" s="6"/>
      <c r="D957" s="227"/>
      <c r="E957" s="227" t="s">
        <v>184</v>
      </c>
      <c r="F957" s="90"/>
      <c r="G957" s="90"/>
      <c r="H957" s="6"/>
      <c r="I957" s="60"/>
      <c r="J957" s="6"/>
      <c r="K957" s="6"/>
      <c r="L957" s="6"/>
      <c r="M957" s="6"/>
      <c r="N957" s="6"/>
    </row>
    <row r="958" spans="1:14" ht="15.75" thickBot="1">
      <c r="D958" s="156"/>
      <c r="E958" s="156"/>
      <c r="F958" s="156"/>
      <c r="G958" s="156"/>
      <c r="I958"/>
    </row>
    <row r="959" spans="1:14" ht="15.75" thickBot="1">
      <c r="A959" s="20" t="s">
        <v>1189</v>
      </c>
      <c r="B959" s="152" t="s">
        <v>136</v>
      </c>
      <c r="C959" s="152" t="s">
        <v>137</v>
      </c>
      <c r="D959" s="231" t="s">
        <v>125</v>
      </c>
      <c r="E959" s="232" t="s">
        <v>142</v>
      </c>
      <c r="F959" s="231" t="s">
        <v>123</v>
      </c>
      <c r="G959" s="231" t="s">
        <v>124</v>
      </c>
      <c r="H959" s="153" t="s">
        <v>245</v>
      </c>
      <c r="I959" s="148" t="s">
        <v>205</v>
      </c>
      <c r="J959" s="143">
        <f ca="1">IFERROR(IF(AND(J960:J965),0,1),0)</f>
        <v>1</v>
      </c>
      <c r="K959" s="219" t="s">
        <v>2353</v>
      </c>
      <c r="L959" s="50" t="s">
        <v>2374</v>
      </c>
      <c r="M959" s="154">
        <f>IFERROR(VLOOKUP($A959,$P$6:$S$1048576,3,0),0)</f>
        <v>0</v>
      </c>
      <c r="N959" s="154">
        <f>IFERROR(VLOOKUP($A959,$P$6:$S$1048576,4,0),0)</f>
        <v>0</v>
      </c>
    </row>
    <row r="960" spans="1:14">
      <c r="B960" s="6">
        <v>0</v>
      </c>
      <c r="C960" s="6"/>
      <c r="D960" s="227"/>
      <c r="E960" s="227" t="s">
        <v>864</v>
      </c>
      <c r="F960" s="90" t="s">
        <v>2358</v>
      </c>
      <c r="G960" s="90"/>
      <c r="H960" s="6" t="s">
        <v>146</v>
      </c>
      <c r="I960" s="60" t="s">
        <v>216</v>
      </c>
      <c r="J960" s="79" t="b" cm="1">
        <f t="array" aca="1" ref="J960" ca="1">RIGHT("00"&amp;INDIRECT("R_"&amp;H960),2)=RIGHT("00"&amp;I960,2)</f>
        <v>0</v>
      </c>
      <c r="K960" s="6"/>
      <c r="L960" s="6"/>
      <c r="M960" s="6"/>
      <c r="N960" s="6"/>
    </row>
    <row r="961" spans="1:14">
      <c r="B961" s="6">
        <v>1</v>
      </c>
      <c r="C961" s="6"/>
      <c r="D961" s="227"/>
      <c r="E961" s="227" t="s">
        <v>2256</v>
      </c>
      <c r="F961" s="90"/>
      <c r="G961" s="90"/>
      <c r="H961" s="6" t="s">
        <v>115</v>
      </c>
      <c r="I961" s="60">
        <v>0</v>
      </c>
      <c r="J961" s="81" t="b" cm="1">
        <f t="array" aca="1" ref="J961" ca="1">INDIRECT(H961)=I961</f>
        <v>0</v>
      </c>
      <c r="K961" s="6"/>
      <c r="L961" s="6"/>
      <c r="M961" s="6"/>
      <c r="N961" s="6"/>
    </row>
    <row r="962" spans="1:14">
      <c r="B962" s="6">
        <v>2</v>
      </c>
      <c r="C962" s="6"/>
      <c r="D962" s="227"/>
      <c r="E962" s="227" t="s">
        <v>2302</v>
      </c>
      <c r="F962" s="90" t="s">
        <v>146</v>
      </c>
      <c r="G962" s="90"/>
      <c r="H962" s="6" t="s">
        <v>2390</v>
      </c>
      <c r="I962" s="60">
        <v>1</v>
      </c>
      <c r="J962" s="81" t="b" cm="1">
        <f t="array" aca="1" ref="J962" ca="1">INDIRECT(H962)=I962</f>
        <v>0</v>
      </c>
      <c r="K962" s="6"/>
      <c r="L962" s="6"/>
      <c r="M962" s="6"/>
      <c r="N962" s="6"/>
    </row>
    <row r="963" spans="1:14">
      <c r="B963" s="6">
        <v>3</v>
      </c>
      <c r="C963" s="6"/>
      <c r="D963" s="227"/>
      <c r="E963" s="227" t="s">
        <v>2311</v>
      </c>
      <c r="F963" s="90"/>
      <c r="G963" s="90"/>
      <c r="H963" s="6"/>
      <c r="I963" s="60"/>
      <c r="J963" s="6"/>
      <c r="K963" s="6"/>
      <c r="L963" s="6"/>
      <c r="M963" s="6"/>
      <c r="N963" s="6"/>
    </row>
    <row r="964" spans="1:14">
      <c r="B964" s="6">
        <v>4</v>
      </c>
      <c r="C964" s="6"/>
      <c r="D964" s="227"/>
      <c r="E964" s="227" t="s">
        <v>2304</v>
      </c>
      <c r="F964" s="90" t="s">
        <v>146</v>
      </c>
      <c r="G964" s="90"/>
      <c r="H964" s="6"/>
      <c r="I964" s="60"/>
      <c r="J964" s="6"/>
      <c r="K964" s="6"/>
      <c r="L964" s="6"/>
      <c r="M964" s="6"/>
      <c r="N964" s="6"/>
    </row>
    <row r="965" spans="1:14">
      <c r="B965" s="6">
        <v>5</v>
      </c>
      <c r="C965" s="6"/>
      <c r="D965" s="227"/>
      <c r="E965" s="227" t="s">
        <v>184</v>
      </c>
      <c r="F965" s="90"/>
      <c r="G965" s="90"/>
      <c r="H965" s="6"/>
      <c r="I965" s="60"/>
      <c r="J965" s="6"/>
      <c r="K965" s="6"/>
      <c r="L965" s="6"/>
      <c r="M965" s="6"/>
      <c r="N965" s="6"/>
    </row>
    <row r="966" spans="1:14" ht="15.75" thickBot="1">
      <c r="D966" s="156"/>
      <c r="E966" s="156"/>
      <c r="F966" s="156"/>
      <c r="G966" s="156"/>
      <c r="I966"/>
    </row>
    <row r="967" spans="1:14" ht="15.75" thickBot="1">
      <c r="A967" s="20" t="s">
        <v>1190</v>
      </c>
      <c r="B967" s="152" t="s">
        <v>136</v>
      </c>
      <c r="C967" s="152" t="s">
        <v>137</v>
      </c>
      <c r="D967" s="231" t="s">
        <v>125</v>
      </c>
      <c r="E967" s="232" t="s">
        <v>142</v>
      </c>
      <c r="F967" s="231" t="s">
        <v>123</v>
      </c>
      <c r="G967" s="231" t="s">
        <v>124</v>
      </c>
      <c r="H967" s="153" t="s">
        <v>245</v>
      </c>
      <c r="I967" s="148" t="s">
        <v>205</v>
      </c>
      <c r="J967" s="143">
        <f ca="1">IFERROR(IF(AND(J968:J971),0,1),0)</f>
        <v>1</v>
      </c>
      <c r="K967" s="219" t="s">
        <v>2353</v>
      </c>
      <c r="L967" s="50" t="s">
        <v>2375</v>
      </c>
      <c r="M967" s="154">
        <f>IFERROR(VLOOKUP($A967,$P$6:$S$1048576,3,0),0)</f>
        <v>0</v>
      </c>
      <c r="N967" s="154">
        <f>IFERROR(VLOOKUP($A967,$P$6:$S$1048576,4,0),0)</f>
        <v>0</v>
      </c>
    </row>
    <row r="968" spans="1:14">
      <c r="B968" s="6">
        <v>0</v>
      </c>
      <c r="C968" s="6"/>
      <c r="D968" s="227"/>
      <c r="E968" s="227" t="s">
        <v>864</v>
      </c>
      <c r="F968" s="90" t="s">
        <v>2365</v>
      </c>
      <c r="G968" s="90"/>
      <c r="H968" s="6" t="s">
        <v>146</v>
      </c>
      <c r="I968" s="60" t="s">
        <v>916</v>
      </c>
      <c r="J968" s="79" t="b" cm="1">
        <f t="array" aca="1" ref="J968" ca="1">RIGHT("00"&amp;INDIRECT("R_"&amp;H968),2)=RIGHT("00"&amp;I968,2)</f>
        <v>0</v>
      </c>
      <c r="K968" s="6"/>
      <c r="L968" s="6"/>
      <c r="M968" s="6"/>
      <c r="N968" s="6"/>
    </row>
    <row r="969" spans="1:14">
      <c r="B969" s="6">
        <v>1</v>
      </c>
      <c r="C969" s="6"/>
      <c r="D969" s="227"/>
      <c r="E969" s="227" t="s">
        <v>865</v>
      </c>
      <c r="F969" s="90" t="s">
        <v>2365</v>
      </c>
      <c r="G969" s="90"/>
      <c r="H969" s="6" t="s">
        <v>119</v>
      </c>
      <c r="I969" s="60">
        <v>0</v>
      </c>
      <c r="J969" s="81" t="b" cm="1">
        <f t="array" aca="1" ref="J969" ca="1">INDIRECT(H969)=I969</f>
        <v>1</v>
      </c>
      <c r="K969" s="6"/>
      <c r="L969" s="6"/>
      <c r="M969" s="6"/>
      <c r="N969" s="6"/>
    </row>
    <row r="970" spans="1:14">
      <c r="B970" s="6">
        <v>2</v>
      </c>
      <c r="C970" s="6"/>
      <c r="D970" s="227"/>
      <c r="E970" s="227" t="s">
        <v>865</v>
      </c>
      <c r="F970" s="90" t="s">
        <v>2376</v>
      </c>
      <c r="G970" s="90"/>
      <c r="H970" s="6" t="s">
        <v>115</v>
      </c>
      <c r="I970" s="60">
        <v>0</v>
      </c>
      <c r="J970" s="81" t="b" cm="1">
        <f t="array" aca="1" ref="J970" ca="1">INDIRECT(H970)=I970</f>
        <v>0</v>
      </c>
      <c r="K970" s="6"/>
      <c r="L970" s="6"/>
      <c r="M970" s="6"/>
      <c r="N970" s="6"/>
    </row>
    <row r="971" spans="1:14">
      <c r="B971" s="6">
        <v>3</v>
      </c>
      <c r="C971" s="6"/>
      <c r="D971" s="227"/>
      <c r="E971" s="227" t="s">
        <v>184</v>
      </c>
      <c r="F971" s="90"/>
      <c r="G971" s="90"/>
      <c r="H971" s="6" t="s">
        <v>2390</v>
      </c>
      <c r="I971" s="60">
        <v>1</v>
      </c>
      <c r="J971" s="81" t="b" cm="1">
        <f t="array" aca="1" ref="J971" ca="1">INDIRECT(H971)=I971</f>
        <v>0</v>
      </c>
      <c r="K971" s="6"/>
      <c r="L971" s="6"/>
      <c r="M971" s="6"/>
      <c r="N971" s="6"/>
    </row>
    <row r="972" spans="1:14" ht="15.75" thickBot="1">
      <c r="D972" s="156"/>
      <c r="E972" s="156"/>
      <c r="F972" s="156"/>
      <c r="G972" s="156"/>
      <c r="I972"/>
    </row>
    <row r="973" spans="1:14" ht="15.75" thickBot="1">
      <c r="A973" s="20" t="s">
        <v>1191</v>
      </c>
      <c r="B973" s="152" t="s">
        <v>136</v>
      </c>
      <c r="C973" s="152" t="s">
        <v>137</v>
      </c>
      <c r="D973" s="231" t="s">
        <v>125</v>
      </c>
      <c r="E973" s="232" t="s">
        <v>142</v>
      </c>
      <c r="F973" s="231" t="s">
        <v>123</v>
      </c>
      <c r="G973" s="231" t="s">
        <v>124</v>
      </c>
      <c r="H973" s="153" t="s">
        <v>245</v>
      </c>
      <c r="I973" s="148" t="s">
        <v>205</v>
      </c>
      <c r="J973" s="143">
        <f ca="1">IFERROR(IF(AND(J974:J980),0,1),0)</f>
        <v>1</v>
      </c>
      <c r="K973" s="219" t="s">
        <v>2353</v>
      </c>
      <c r="L973" s="50" t="s">
        <v>2377</v>
      </c>
      <c r="M973" s="154">
        <f>IFERROR(VLOOKUP($A973,$P$6:$S$1048576,3,0),0)</f>
        <v>0</v>
      </c>
      <c r="N973" s="154">
        <f>IFERROR(VLOOKUP($A973,$P$6:$S$1048576,4,0),0)</f>
        <v>0</v>
      </c>
    </row>
    <row r="974" spans="1:14">
      <c r="B974" s="6">
        <v>0</v>
      </c>
      <c r="C974" s="6"/>
      <c r="D974" s="227"/>
      <c r="E974" s="227" t="s">
        <v>864</v>
      </c>
      <c r="F974" s="90" t="s">
        <v>2378</v>
      </c>
      <c r="G974" s="90"/>
      <c r="H974" s="6" t="s">
        <v>146</v>
      </c>
      <c r="I974" s="60" t="s">
        <v>201</v>
      </c>
      <c r="J974" s="79" t="b" cm="1">
        <f t="array" aca="1" ref="J974" ca="1">RIGHT("00"&amp;INDIRECT("R_"&amp;H974),2)=RIGHT("00"&amp;I974,2)</f>
        <v>0</v>
      </c>
      <c r="K974" s="6"/>
      <c r="L974" s="6"/>
      <c r="M974" s="6"/>
      <c r="N974" s="6"/>
    </row>
    <row r="975" spans="1:14">
      <c r="B975" s="6">
        <v>1</v>
      </c>
      <c r="C975" s="6"/>
      <c r="D975" s="227"/>
      <c r="E975" s="227" t="s">
        <v>2294</v>
      </c>
      <c r="F975" s="90"/>
      <c r="G975" s="90"/>
      <c r="H975" s="6" t="s">
        <v>114</v>
      </c>
      <c r="I975" s="60" t="s">
        <v>140</v>
      </c>
      <c r="J975" s="81" t="b" cm="1">
        <f t="array" aca="1" ref="J975" ca="1">INDIRECT(H975)=I975</f>
        <v>0</v>
      </c>
      <c r="K975" s="6"/>
      <c r="L975" s="6"/>
      <c r="M975" s="6"/>
      <c r="N975" s="6"/>
    </row>
    <row r="976" spans="1:14">
      <c r="B976" s="6">
        <v>2</v>
      </c>
      <c r="C976" s="6"/>
      <c r="D976" s="227"/>
      <c r="E976" s="227" t="s">
        <v>864</v>
      </c>
      <c r="F976" s="90" t="s">
        <v>2379</v>
      </c>
      <c r="G976" s="90"/>
      <c r="H976" s="6"/>
      <c r="I976" s="60"/>
      <c r="J976" s="6"/>
      <c r="K976" s="6"/>
      <c r="L976" s="6"/>
      <c r="M976" s="6"/>
      <c r="N976" s="6"/>
    </row>
    <row r="977" spans="1:14">
      <c r="B977" s="6">
        <v>3</v>
      </c>
      <c r="C977" s="6"/>
      <c r="D977" s="227"/>
      <c r="E977" s="227" t="s">
        <v>2294</v>
      </c>
      <c r="F977" s="90"/>
      <c r="G977" s="90"/>
      <c r="H977" s="6"/>
      <c r="I977" s="60"/>
      <c r="J977" s="6"/>
      <c r="K977" s="6"/>
      <c r="L977" s="6"/>
      <c r="M977" s="6"/>
      <c r="N977" s="6"/>
    </row>
    <row r="978" spans="1:14">
      <c r="B978" s="6">
        <v>4</v>
      </c>
      <c r="C978" s="6"/>
      <c r="D978" s="227"/>
      <c r="E978" s="227" t="s">
        <v>2298</v>
      </c>
      <c r="F978" s="90"/>
      <c r="G978" s="90"/>
      <c r="H978" s="6"/>
      <c r="I978" s="60"/>
      <c r="J978" s="6"/>
      <c r="K978" s="6"/>
      <c r="L978" s="6"/>
      <c r="M978" s="6"/>
      <c r="N978" s="6"/>
    </row>
    <row r="979" spans="1:14">
      <c r="B979" s="6">
        <v>5</v>
      </c>
      <c r="C979" s="6"/>
      <c r="D979" s="227"/>
      <c r="E979" s="227" t="s">
        <v>2298</v>
      </c>
      <c r="F979" s="90"/>
      <c r="G979" s="90"/>
      <c r="H979" s="6"/>
      <c r="I979" s="60"/>
      <c r="J979" s="6"/>
      <c r="K979" s="6"/>
      <c r="L979" s="6"/>
      <c r="M979" s="6"/>
      <c r="N979" s="6"/>
    </row>
    <row r="980" spans="1:14">
      <c r="B980" s="6">
        <v>6</v>
      </c>
      <c r="C980" s="6"/>
      <c r="D980" s="227"/>
      <c r="E980" s="227" t="s">
        <v>184</v>
      </c>
      <c r="F980" s="90"/>
      <c r="G980" s="90"/>
      <c r="H980" s="6"/>
      <c r="I980" s="60"/>
      <c r="J980" s="6"/>
      <c r="K980" s="6"/>
      <c r="L980" s="6"/>
      <c r="M980" s="6"/>
      <c r="N980" s="6"/>
    </row>
    <row r="981" spans="1:14" ht="15.75" thickBot="1">
      <c r="D981" s="156"/>
      <c r="E981" s="156"/>
      <c r="F981" s="156"/>
      <c r="G981" s="156"/>
    </row>
    <row r="982" spans="1:14" ht="15.75" thickBot="1">
      <c r="A982" s="20" t="s">
        <v>1192</v>
      </c>
      <c r="B982" s="152" t="s">
        <v>136</v>
      </c>
      <c r="C982" s="152" t="s">
        <v>137</v>
      </c>
      <c r="D982" s="231" t="s">
        <v>125</v>
      </c>
      <c r="E982" s="232" t="s">
        <v>142</v>
      </c>
      <c r="F982" s="231" t="s">
        <v>123</v>
      </c>
      <c r="G982" s="231" t="s">
        <v>124</v>
      </c>
      <c r="H982" s="153" t="s">
        <v>245</v>
      </c>
      <c r="I982" s="148" t="s">
        <v>205</v>
      </c>
      <c r="J982" s="143">
        <f ca="1">IFERROR(IF(AND(J983:J987),0,1),0)</f>
        <v>1</v>
      </c>
      <c r="K982" s="219" t="s">
        <v>2353</v>
      </c>
      <c r="L982" s="50" t="s">
        <v>2380</v>
      </c>
      <c r="M982" s="154">
        <f>IFERROR(VLOOKUP($A982,$P$6:$S$1048576,3,0),0)</f>
        <v>0</v>
      </c>
      <c r="N982" s="154">
        <f>IFERROR(VLOOKUP($A982,$P$6:$S$1048576,4,0),0)</f>
        <v>0</v>
      </c>
    </row>
    <row r="983" spans="1:14">
      <c r="B983" s="6">
        <v>0</v>
      </c>
      <c r="C983" s="6"/>
      <c r="D983" s="227"/>
      <c r="E983" s="227" t="s">
        <v>864</v>
      </c>
      <c r="F983" s="90" t="s">
        <v>2345</v>
      </c>
      <c r="G983" s="90"/>
      <c r="H983" s="6" t="s">
        <v>146</v>
      </c>
      <c r="I983" s="60" t="s">
        <v>482</v>
      </c>
      <c r="J983" s="79" t="b" cm="1">
        <f t="array" aca="1" ref="J983" ca="1">RIGHT("00"&amp;INDIRECT("R_"&amp;H983),2)=RIGHT("00"&amp;I983,2)</f>
        <v>0</v>
      </c>
      <c r="K983" s="6"/>
      <c r="L983" s="6"/>
      <c r="M983" s="6"/>
      <c r="N983" s="6"/>
    </row>
    <row r="984" spans="1:14">
      <c r="B984" s="6">
        <v>1</v>
      </c>
      <c r="C984" s="6"/>
      <c r="D984" s="227"/>
      <c r="E984" s="227" t="s">
        <v>2281</v>
      </c>
      <c r="F984" s="90" t="s">
        <v>2381</v>
      </c>
      <c r="G984" s="90"/>
      <c r="H984" s="6"/>
      <c r="I984" s="60"/>
      <c r="J984" s="6"/>
      <c r="K984" s="6"/>
      <c r="L984" s="6"/>
      <c r="M984" s="6"/>
      <c r="N984" s="6"/>
    </row>
    <row r="985" spans="1:14">
      <c r="B985" s="6">
        <v>4</v>
      </c>
      <c r="C985" s="6"/>
      <c r="D985" s="227"/>
      <c r="E985" s="227" t="s">
        <v>184</v>
      </c>
      <c r="F985" s="90"/>
      <c r="G985" s="90"/>
      <c r="H985" s="6"/>
      <c r="I985" s="60"/>
      <c r="J985" s="6"/>
      <c r="K985" s="6"/>
      <c r="L985" s="6"/>
      <c r="M985" s="6"/>
      <c r="N985" s="6"/>
    </row>
    <row r="986" spans="1:14">
      <c r="B986" s="6">
        <v>5</v>
      </c>
      <c r="C986" s="6"/>
      <c r="D986" s="227" t="s">
        <v>2381</v>
      </c>
      <c r="E986" s="227" t="s">
        <v>864</v>
      </c>
      <c r="F986" s="90" t="s">
        <v>2357</v>
      </c>
      <c r="G986" s="90"/>
      <c r="H986" s="6"/>
      <c r="I986" s="60"/>
      <c r="J986" s="6"/>
      <c r="K986" s="6"/>
      <c r="L986" s="6"/>
      <c r="M986" s="6"/>
      <c r="N986" s="6"/>
    </row>
    <row r="987" spans="1:14">
      <c r="B987" s="6">
        <v>6</v>
      </c>
      <c r="C987" s="6"/>
      <c r="D987" s="227"/>
      <c r="E987" s="227" t="s">
        <v>2308</v>
      </c>
      <c r="F987" s="90"/>
      <c r="G987" s="90"/>
      <c r="H987" s="6"/>
      <c r="I987" s="60"/>
      <c r="J987" s="6"/>
      <c r="K987" s="6"/>
      <c r="L987" s="6"/>
      <c r="M987" s="6"/>
      <c r="N987" s="6"/>
    </row>
    <row r="988" spans="1:14" ht="15.75" thickBot="1">
      <c r="D988" s="156"/>
      <c r="E988" s="156"/>
      <c r="F988" s="156"/>
      <c r="G988" s="156"/>
      <c r="I988"/>
    </row>
    <row r="989" spans="1:14" ht="15.75" thickBot="1">
      <c r="A989" s="20" t="s">
        <v>1193</v>
      </c>
      <c r="B989" s="152" t="s">
        <v>136</v>
      </c>
      <c r="C989" s="152" t="s">
        <v>137</v>
      </c>
      <c r="D989" s="231" t="s">
        <v>125</v>
      </c>
      <c r="E989" s="232" t="s">
        <v>142</v>
      </c>
      <c r="F989" s="231" t="s">
        <v>123</v>
      </c>
      <c r="G989" s="231" t="s">
        <v>124</v>
      </c>
      <c r="H989" s="153" t="s">
        <v>245</v>
      </c>
      <c r="I989" s="148" t="s">
        <v>205</v>
      </c>
      <c r="J989" s="143">
        <f ca="1">IFERROR(IF(AND(J990:J998),0,1),0)</f>
        <v>1</v>
      </c>
      <c r="K989" s="219" t="s">
        <v>2353</v>
      </c>
      <c r="L989" s="50" t="s">
        <v>2382</v>
      </c>
      <c r="M989" s="154">
        <f>IFERROR(VLOOKUP($A989,$P$6:$S$1048576,3,0),0)</f>
        <v>0</v>
      </c>
      <c r="N989" s="154">
        <f>IFERROR(VLOOKUP($A989,$P$6:$S$1048576,4,0),0)</f>
        <v>0</v>
      </c>
    </row>
    <row r="990" spans="1:14">
      <c r="B990" s="6">
        <v>0</v>
      </c>
      <c r="C990" s="6"/>
      <c r="D990" s="227"/>
      <c r="E990" s="227" t="s">
        <v>864</v>
      </c>
      <c r="F990" s="90" t="s">
        <v>2345</v>
      </c>
      <c r="G990" s="90"/>
      <c r="H990" s="6" t="s">
        <v>146</v>
      </c>
      <c r="I990" s="60" t="s">
        <v>295</v>
      </c>
      <c r="J990" s="79" t="b" cm="1">
        <f t="array" aca="1" ref="J990" ca="1">RIGHT("00"&amp;INDIRECT("R_"&amp;H990),2)=RIGHT("00"&amp;I990,2)</f>
        <v>0</v>
      </c>
      <c r="K990" s="6"/>
      <c r="L990" s="6"/>
      <c r="M990" s="6"/>
      <c r="N990" s="6"/>
    </row>
    <row r="991" spans="1:14">
      <c r="B991" s="6">
        <v>1</v>
      </c>
      <c r="C991" s="6"/>
      <c r="D991" s="227"/>
      <c r="E991" s="227" t="s">
        <v>2239</v>
      </c>
      <c r="F991" s="90" t="s">
        <v>2383</v>
      </c>
      <c r="G991" s="90"/>
      <c r="H991" s="6" t="s">
        <v>2346</v>
      </c>
      <c r="I991" s="60" t="s">
        <v>295</v>
      </c>
      <c r="J991" s="79" t="b" cm="1">
        <f t="array" aca="1" ref="J991" ca="1">RIGHT("00"&amp;INDIRECT("R_"&amp;H991),2)=RIGHT("00"&amp;I991,2)</f>
        <v>0</v>
      </c>
      <c r="K991" s="6"/>
      <c r="L991" s="6"/>
      <c r="M991" s="6"/>
      <c r="N991" s="6"/>
    </row>
    <row r="992" spans="1:14">
      <c r="B992" s="6">
        <v>2</v>
      </c>
      <c r="C992" s="6"/>
      <c r="D992" s="227"/>
      <c r="E992" s="227" t="s">
        <v>864</v>
      </c>
      <c r="F992" s="90" t="s">
        <v>2364</v>
      </c>
      <c r="G992" s="90"/>
      <c r="H992" s="6" t="s">
        <v>2347</v>
      </c>
      <c r="I992" s="60" t="s">
        <v>878</v>
      </c>
      <c r="J992" s="79" t="b" cm="1">
        <f t="array" aca="1" ref="J992" ca="1">RIGHT("00"&amp;INDIRECT("R_"&amp;H992),2)=RIGHT("00"&amp;I992,2)</f>
        <v>0</v>
      </c>
      <c r="K992" s="6"/>
      <c r="L992" s="6"/>
      <c r="M992" s="6"/>
      <c r="N992" s="6"/>
    </row>
    <row r="993" spans="1:14">
      <c r="B993" s="6">
        <v>3</v>
      </c>
      <c r="C993" s="6"/>
      <c r="D993" s="227" t="s">
        <v>2383</v>
      </c>
      <c r="E993" s="227" t="s">
        <v>2284</v>
      </c>
      <c r="F993" s="90" t="s">
        <v>2335</v>
      </c>
      <c r="G993" s="90"/>
      <c r="H993" s="6"/>
      <c r="I993" s="60"/>
      <c r="J993" s="6"/>
      <c r="K993" s="6"/>
      <c r="L993" s="6"/>
      <c r="M993" s="6"/>
      <c r="N993" s="6"/>
    </row>
    <row r="994" spans="1:14">
      <c r="B994" s="6">
        <v>4</v>
      </c>
      <c r="C994" s="6"/>
      <c r="D994" s="227"/>
      <c r="E994" s="227" t="s">
        <v>864</v>
      </c>
      <c r="F994" s="90" t="s">
        <v>2335</v>
      </c>
      <c r="G994" s="90"/>
      <c r="H994" s="6"/>
      <c r="I994" s="60"/>
      <c r="J994" s="6"/>
      <c r="K994" s="6"/>
      <c r="L994" s="6"/>
      <c r="M994" s="6"/>
      <c r="N994" s="6"/>
    </row>
    <row r="995" spans="1:14">
      <c r="B995" s="6">
        <v>5</v>
      </c>
      <c r="C995" s="6"/>
      <c r="D995" s="227"/>
      <c r="E995" s="227" t="s">
        <v>2243</v>
      </c>
      <c r="F995" s="90" t="s">
        <v>2384</v>
      </c>
      <c r="G995" s="90"/>
      <c r="H995" s="6"/>
      <c r="I995" s="60"/>
      <c r="J995" s="6"/>
      <c r="K995" s="6"/>
      <c r="L995" s="6"/>
      <c r="M995" s="6"/>
      <c r="N995" s="6"/>
    </row>
    <row r="996" spans="1:14">
      <c r="B996" s="6">
        <v>6</v>
      </c>
      <c r="C996" s="6"/>
      <c r="D996" s="227"/>
      <c r="E996" s="227" t="s">
        <v>864</v>
      </c>
      <c r="F996" s="90" t="s">
        <v>2364</v>
      </c>
      <c r="G996" s="90"/>
      <c r="H996" s="6"/>
      <c r="I996" s="60"/>
      <c r="J996" s="6"/>
      <c r="K996" s="6"/>
      <c r="L996" s="6"/>
      <c r="M996" s="6"/>
      <c r="N996" s="6"/>
    </row>
    <row r="997" spans="1:14">
      <c r="B997" s="6">
        <v>7</v>
      </c>
      <c r="C997" s="6"/>
      <c r="D997" s="227" t="s">
        <v>2384</v>
      </c>
      <c r="E997" s="227" t="s">
        <v>2288</v>
      </c>
      <c r="F997" s="90" t="s">
        <v>2385</v>
      </c>
      <c r="G997" s="90"/>
      <c r="H997" s="6"/>
      <c r="I997" s="60"/>
      <c r="J997" s="6"/>
      <c r="K997" s="6"/>
      <c r="L997" s="6"/>
      <c r="M997" s="6"/>
      <c r="N997" s="6"/>
    </row>
    <row r="998" spans="1:14">
      <c r="B998" s="6">
        <v>8</v>
      </c>
      <c r="C998" s="6"/>
      <c r="D998" s="227"/>
      <c r="E998" s="227" t="s">
        <v>184</v>
      </c>
      <c r="F998" s="90"/>
      <c r="G998" s="90"/>
      <c r="H998" s="6"/>
      <c r="I998" s="60"/>
      <c r="J998" s="6"/>
      <c r="K998" s="6"/>
      <c r="L998" s="6"/>
      <c r="M998" s="6"/>
      <c r="N998" s="6"/>
    </row>
    <row r="999" spans="1:14" ht="15.75" thickBot="1">
      <c r="D999" s="156"/>
      <c r="E999" s="156"/>
      <c r="F999" s="156"/>
      <c r="G999" s="156"/>
    </row>
    <row r="1000" spans="1:14" ht="15.75" thickBot="1">
      <c r="A1000" s="20" t="s">
        <v>1194</v>
      </c>
      <c r="B1000" s="152" t="s">
        <v>136</v>
      </c>
      <c r="C1000" s="152" t="s">
        <v>137</v>
      </c>
      <c r="D1000" s="231" t="s">
        <v>125</v>
      </c>
      <c r="E1000" s="232" t="s">
        <v>142</v>
      </c>
      <c r="F1000" s="231" t="s">
        <v>123</v>
      </c>
      <c r="G1000" s="231" t="s">
        <v>124</v>
      </c>
      <c r="H1000" s="153" t="s">
        <v>245</v>
      </c>
      <c r="I1000" s="148" t="s">
        <v>205</v>
      </c>
      <c r="J1000" s="143">
        <f ca="1">IFERROR(IF(AND(J1001:J1009),0,1),0)</f>
        <v>1</v>
      </c>
      <c r="K1000" s="219" t="s">
        <v>2353</v>
      </c>
      <c r="L1000" s="50" t="s">
        <v>2386</v>
      </c>
      <c r="M1000" s="154">
        <f>IFERROR(VLOOKUP($A1000,$P$6:$S$1048576,3,0),0)</f>
        <v>0</v>
      </c>
      <c r="N1000" s="154">
        <f>IFERROR(VLOOKUP($A1000,$P$6:$S$1048576,4,0),0)</f>
        <v>0</v>
      </c>
    </row>
    <row r="1001" spans="1:14">
      <c r="B1001" s="6">
        <v>0</v>
      </c>
      <c r="C1001" s="6"/>
      <c r="D1001" s="227"/>
      <c r="E1001" s="227" t="s">
        <v>2256</v>
      </c>
      <c r="F1001" s="90"/>
      <c r="G1001" s="90"/>
      <c r="H1001" s="6" t="s">
        <v>2346</v>
      </c>
      <c r="I1001" s="60" t="s">
        <v>180</v>
      </c>
      <c r="J1001" s="79" t="b" cm="1">
        <f t="array" aca="1" ref="J1001" ca="1">RIGHT("00"&amp;INDIRECT("R_"&amp;H1001),2)=RIGHT("00"&amp;I1001,2)</f>
        <v>0</v>
      </c>
      <c r="K1001" s="6"/>
      <c r="L1001" s="6"/>
      <c r="M1001" s="6"/>
      <c r="N1001" s="6"/>
    </row>
    <row r="1002" spans="1:14">
      <c r="B1002" s="6">
        <v>1</v>
      </c>
      <c r="C1002" s="6"/>
      <c r="D1002" s="227"/>
      <c r="E1002" s="227" t="s">
        <v>2234</v>
      </c>
      <c r="F1002" s="90" t="s">
        <v>2387</v>
      </c>
      <c r="G1002" s="90"/>
      <c r="H1002" s="6" t="s">
        <v>2347</v>
      </c>
      <c r="I1002" s="60" t="s">
        <v>744</v>
      </c>
      <c r="J1002" s="79" t="b" cm="1">
        <f t="array" aca="1" ref="J1002" ca="1">RIGHT("00"&amp;INDIRECT("R_"&amp;H1002),2)=RIGHT("00"&amp;I1002,2)</f>
        <v>0</v>
      </c>
      <c r="K1002" s="6"/>
      <c r="L1002" s="6"/>
      <c r="M1002" s="6"/>
      <c r="N1002" s="6"/>
    </row>
    <row r="1003" spans="1:14">
      <c r="B1003" s="6">
        <v>2</v>
      </c>
      <c r="C1003" s="6"/>
      <c r="D1003" s="227"/>
      <c r="E1003" s="227" t="s">
        <v>864</v>
      </c>
      <c r="F1003" s="90" t="s">
        <v>2364</v>
      </c>
      <c r="G1003" s="90"/>
      <c r="H1003" s="6" t="s">
        <v>146</v>
      </c>
      <c r="I1003" s="60" t="s">
        <v>215</v>
      </c>
      <c r="J1003" s="79" t="b" cm="1">
        <f t="array" aca="1" ref="J1003" ca="1">RIGHT("00"&amp;INDIRECT("R_"&amp;H1003),2)=RIGHT("00"&amp;I1003,2)</f>
        <v>0</v>
      </c>
      <c r="K1003" s="6"/>
      <c r="L1003" s="6"/>
      <c r="M1003" s="6"/>
      <c r="N1003" s="6"/>
    </row>
    <row r="1004" spans="1:14">
      <c r="B1004" s="6">
        <v>3</v>
      </c>
      <c r="C1004" s="6"/>
      <c r="D1004" s="227" t="s">
        <v>2387</v>
      </c>
      <c r="E1004" s="227" t="s">
        <v>2284</v>
      </c>
      <c r="F1004" s="90" t="s">
        <v>2334</v>
      </c>
      <c r="G1004" s="90"/>
      <c r="H1004" s="6"/>
      <c r="I1004" s="60"/>
      <c r="J1004" s="6"/>
      <c r="K1004" s="6"/>
      <c r="L1004" s="6"/>
      <c r="M1004" s="6"/>
      <c r="N1004" s="6"/>
    </row>
    <row r="1005" spans="1:14">
      <c r="B1005" s="6">
        <v>4</v>
      </c>
      <c r="C1005" s="6"/>
      <c r="D1005" s="227"/>
      <c r="E1005" s="227" t="s">
        <v>2311</v>
      </c>
      <c r="F1005" s="90"/>
      <c r="G1005" s="90"/>
      <c r="H1005" s="6"/>
      <c r="I1005" s="60"/>
      <c r="J1005" s="6"/>
      <c r="K1005" s="6"/>
      <c r="L1005" s="6"/>
      <c r="M1005" s="6"/>
      <c r="N1005" s="6"/>
    </row>
    <row r="1006" spans="1:14">
      <c r="B1006" s="6">
        <v>5</v>
      </c>
      <c r="C1006" s="6"/>
      <c r="D1006" s="227"/>
      <c r="E1006" s="227" t="s">
        <v>2237</v>
      </c>
      <c r="F1006" s="90" t="s">
        <v>2388</v>
      </c>
      <c r="G1006" s="90"/>
      <c r="H1006" s="6"/>
      <c r="I1006" s="60"/>
      <c r="J1006" s="6"/>
      <c r="K1006" s="6"/>
      <c r="L1006" s="6"/>
      <c r="M1006" s="6"/>
      <c r="N1006" s="6"/>
    </row>
    <row r="1007" spans="1:14">
      <c r="B1007" s="6">
        <v>6</v>
      </c>
      <c r="C1007" s="6"/>
      <c r="D1007" s="227"/>
      <c r="E1007" s="227" t="s">
        <v>864</v>
      </c>
      <c r="F1007" s="90" t="s">
        <v>2364</v>
      </c>
      <c r="G1007" s="90"/>
      <c r="H1007" s="6"/>
      <c r="I1007" s="60"/>
      <c r="J1007" s="6"/>
      <c r="K1007" s="6"/>
      <c r="L1007" s="6"/>
      <c r="M1007" s="6"/>
      <c r="N1007" s="6"/>
    </row>
    <row r="1008" spans="1:14">
      <c r="B1008" s="6">
        <v>7</v>
      </c>
      <c r="C1008" s="6"/>
      <c r="D1008" s="227" t="s">
        <v>2388</v>
      </c>
      <c r="E1008" s="227" t="s">
        <v>2288</v>
      </c>
      <c r="F1008" s="90" t="s">
        <v>2389</v>
      </c>
      <c r="G1008" s="90"/>
      <c r="H1008" s="6"/>
      <c r="I1008" s="60"/>
      <c r="J1008" s="6"/>
      <c r="K1008" s="6"/>
      <c r="L1008" s="6"/>
      <c r="M1008" s="6"/>
      <c r="N1008" s="6"/>
    </row>
    <row r="1009" spans="1:14">
      <c r="B1009" s="6">
        <v>8</v>
      </c>
      <c r="C1009" s="6"/>
      <c r="D1009" s="227"/>
      <c r="E1009" s="227" t="s">
        <v>184</v>
      </c>
      <c r="F1009" s="90"/>
      <c r="G1009" s="90"/>
      <c r="H1009" s="6"/>
      <c r="I1009" s="60"/>
      <c r="J1009" s="6"/>
      <c r="K1009" s="6"/>
      <c r="L1009" s="6"/>
      <c r="M1009" s="6"/>
      <c r="N1009" s="6"/>
    </row>
    <row r="1010" spans="1:14" ht="15.75" thickBot="1">
      <c r="D1010" s="156"/>
      <c r="E1010" s="156"/>
      <c r="F1010" s="156"/>
      <c r="G1010" s="156"/>
    </row>
    <row r="1011" spans="1:14" ht="15.75" thickBot="1">
      <c r="A1011" s="20" t="s">
        <v>2435</v>
      </c>
      <c r="B1011" s="152" t="s">
        <v>136</v>
      </c>
      <c r="C1011" s="152" t="s">
        <v>137</v>
      </c>
      <c r="D1011" s="231" t="s">
        <v>125</v>
      </c>
      <c r="E1011" s="232" t="s">
        <v>142</v>
      </c>
      <c r="F1011" s="231" t="s">
        <v>123</v>
      </c>
      <c r="G1011" s="231" t="s">
        <v>124</v>
      </c>
      <c r="H1011" s="153" t="s">
        <v>245</v>
      </c>
      <c r="I1011" s="148" t="s">
        <v>205</v>
      </c>
      <c r="J1011" s="143">
        <f ca="1">IFERROR(IF(AND(J1012:J1023),0,1),0)</f>
        <v>1</v>
      </c>
      <c r="K1011" s="219" t="s">
        <v>2353</v>
      </c>
      <c r="L1011" s="50" t="s">
        <v>2436</v>
      </c>
      <c r="M1011" s="154">
        <f>IFERROR(VLOOKUP($A1011,$P$6:$S$1048576,3,0),0)</f>
        <v>0</v>
      </c>
      <c r="N1011" s="154">
        <f>IFERROR(VLOOKUP($A1011,$P$6:$S$1048576,4,0),0)</f>
        <v>0</v>
      </c>
    </row>
    <row r="1012" spans="1:14">
      <c r="B1012" s="6">
        <v>0</v>
      </c>
      <c r="C1012" s="6"/>
      <c r="D1012" s="227"/>
      <c r="E1012" s="223" t="s">
        <v>1015</v>
      </c>
      <c r="F1012" s="89" t="s">
        <v>2428</v>
      </c>
      <c r="G1012" s="90"/>
      <c r="H1012" s="6" t="s">
        <v>146</v>
      </c>
      <c r="I1012" s="60" t="s">
        <v>482</v>
      </c>
      <c r="J1012" s="79" t="b" cm="1">
        <f t="array" aca="1" ref="J1012" ca="1">RIGHT("00"&amp;INDIRECT("R_"&amp;H1012),2)=RIGHT("00"&amp;I1012,2)</f>
        <v>0</v>
      </c>
      <c r="K1012" s="6"/>
      <c r="L1012" s="6"/>
      <c r="M1012" s="6"/>
      <c r="N1012" s="6"/>
    </row>
    <row r="1013" spans="1:14">
      <c r="B1013" s="6">
        <v>1</v>
      </c>
      <c r="C1013" s="6"/>
      <c r="D1013" s="227"/>
      <c r="E1013" s="223" t="s">
        <v>864</v>
      </c>
      <c r="F1013" s="89" t="s">
        <v>2431</v>
      </c>
      <c r="G1013" s="90"/>
      <c r="H1013" s="6" t="s">
        <v>2346</v>
      </c>
      <c r="I1013" s="60" t="s">
        <v>908</v>
      </c>
      <c r="J1013" s="79" t="b" cm="1">
        <f t="array" aca="1" ref="J1013" ca="1">RIGHT("00"&amp;INDIRECT("R_"&amp;H1013),2)=RIGHT("00"&amp;I1013,2)</f>
        <v>0</v>
      </c>
      <c r="K1013" s="6"/>
      <c r="L1013" s="6"/>
      <c r="M1013" s="6"/>
      <c r="N1013" s="6"/>
    </row>
    <row r="1014" spans="1:14">
      <c r="B1014" s="6">
        <v>2</v>
      </c>
      <c r="C1014" s="6"/>
      <c r="D1014" s="227"/>
      <c r="E1014" s="223" t="s">
        <v>863</v>
      </c>
      <c r="F1014" s="89" t="s">
        <v>2434</v>
      </c>
      <c r="G1014" s="90"/>
      <c r="H1014" s="6"/>
      <c r="I1014" s="60"/>
      <c r="J1014" s="6"/>
      <c r="K1014" s="6"/>
      <c r="L1014" s="6"/>
      <c r="M1014" s="6"/>
      <c r="N1014" s="6"/>
    </row>
    <row r="1015" spans="1:14">
      <c r="B1015" s="6">
        <v>3</v>
      </c>
      <c r="C1015" s="6"/>
      <c r="D1015" s="227"/>
      <c r="E1015" s="223" t="s">
        <v>864</v>
      </c>
      <c r="F1015" s="89" t="s">
        <v>2357</v>
      </c>
      <c r="G1015" s="90"/>
      <c r="H1015" s="6"/>
      <c r="I1015" s="60"/>
      <c r="J1015" s="6"/>
      <c r="K1015" s="6"/>
      <c r="L1015" s="6"/>
      <c r="M1015" s="6"/>
      <c r="N1015" s="6"/>
    </row>
    <row r="1016" spans="1:14">
      <c r="B1016" s="6">
        <v>4</v>
      </c>
      <c r="C1016" s="6"/>
      <c r="D1016" s="227"/>
      <c r="E1016" s="223" t="s">
        <v>863</v>
      </c>
      <c r="F1016" s="89" t="s">
        <v>2432</v>
      </c>
      <c r="G1016" s="90"/>
      <c r="H1016" s="6"/>
      <c r="I1016" s="60"/>
      <c r="J1016" s="6"/>
      <c r="K1016" s="6"/>
      <c r="L1016" s="6"/>
      <c r="M1016" s="6"/>
      <c r="N1016" s="6"/>
    </row>
    <row r="1017" spans="1:14">
      <c r="B1017" s="6">
        <v>5</v>
      </c>
      <c r="C1017" s="6"/>
      <c r="D1017" s="227"/>
      <c r="E1017" s="223" t="s">
        <v>864</v>
      </c>
      <c r="F1017" s="89" t="s">
        <v>2434</v>
      </c>
      <c r="G1017" s="90"/>
      <c r="H1017" s="6"/>
      <c r="I1017" s="60"/>
      <c r="J1017" s="6"/>
      <c r="K1017" s="6"/>
      <c r="L1017" s="6"/>
      <c r="M1017" s="6"/>
      <c r="N1017" s="6"/>
    </row>
    <row r="1018" spans="1:14">
      <c r="B1018" s="6">
        <v>6</v>
      </c>
      <c r="C1018" s="6"/>
      <c r="D1018" s="227"/>
      <c r="E1018" s="223" t="s">
        <v>2284</v>
      </c>
      <c r="F1018" s="89" t="s">
        <v>2432</v>
      </c>
      <c r="G1018" s="90"/>
      <c r="H1018" s="6"/>
      <c r="I1018" s="60"/>
      <c r="J1018" s="6"/>
      <c r="K1018" s="6"/>
      <c r="L1018" s="6"/>
      <c r="M1018" s="6"/>
      <c r="N1018" s="6"/>
    </row>
    <row r="1019" spans="1:14">
      <c r="B1019" s="6">
        <v>7</v>
      </c>
      <c r="C1019" s="6"/>
      <c r="D1019" s="227"/>
      <c r="E1019" s="223" t="s">
        <v>863</v>
      </c>
      <c r="F1019" s="89" t="s">
        <v>2432</v>
      </c>
      <c r="G1019" s="90"/>
      <c r="H1019" s="6"/>
      <c r="I1019" s="60"/>
      <c r="J1019" s="6"/>
      <c r="K1019" s="6"/>
      <c r="L1019" s="6"/>
      <c r="M1019" s="6"/>
      <c r="N1019" s="6"/>
    </row>
    <row r="1020" spans="1:14">
      <c r="B1020" s="6">
        <v>8</v>
      </c>
      <c r="C1020" s="6"/>
      <c r="D1020" s="227"/>
      <c r="E1020" s="223" t="s">
        <v>2318</v>
      </c>
      <c r="F1020" s="89" t="s">
        <v>2434</v>
      </c>
      <c r="G1020" s="90"/>
      <c r="H1020" s="6"/>
      <c r="I1020" s="60"/>
      <c r="J1020" s="6"/>
      <c r="K1020" s="6"/>
      <c r="L1020" s="6"/>
      <c r="M1020" s="6"/>
      <c r="N1020" s="6"/>
    </row>
    <row r="1021" spans="1:14">
      <c r="B1021" s="6">
        <v>9</v>
      </c>
      <c r="C1021" s="6"/>
      <c r="D1021" s="227"/>
      <c r="E1021" s="223" t="s">
        <v>864</v>
      </c>
      <c r="F1021" s="89" t="s">
        <v>2434</v>
      </c>
      <c r="G1021" s="90"/>
      <c r="H1021" s="6"/>
      <c r="I1021" s="60"/>
      <c r="J1021" s="6"/>
      <c r="K1021" s="6"/>
      <c r="L1021" s="6"/>
      <c r="M1021" s="6"/>
      <c r="N1021" s="6"/>
    </row>
    <row r="1022" spans="1:14">
      <c r="B1022" s="6">
        <v>10</v>
      </c>
      <c r="C1022" s="6"/>
      <c r="D1022" s="227"/>
      <c r="E1022" s="223" t="s">
        <v>2284</v>
      </c>
      <c r="F1022" s="89" t="s">
        <v>2432</v>
      </c>
      <c r="G1022" s="90"/>
      <c r="H1022" s="6"/>
      <c r="I1022" s="60"/>
      <c r="J1022" s="6"/>
      <c r="K1022" s="6"/>
      <c r="L1022" s="6"/>
      <c r="M1022" s="6"/>
      <c r="N1022" s="6"/>
    </row>
    <row r="1023" spans="1:14">
      <c r="B1023" s="6">
        <v>11</v>
      </c>
      <c r="C1023" s="6"/>
      <c r="D1023" s="227"/>
      <c r="E1023" s="223" t="s">
        <v>2252</v>
      </c>
      <c r="F1023" s="224"/>
      <c r="G1023" s="90"/>
      <c r="H1023" s="6"/>
      <c r="I1023" s="60"/>
      <c r="J1023" s="6"/>
      <c r="K1023" s="6"/>
      <c r="L1023" s="6"/>
      <c r="M1023" s="6"/>
      <c r="N1023" s="6"/>
    </row>
    <row r="1024" spans="1:14" ht="15.75" thickBot="1"/>
    <row r="1025" spans="1:14" ht="15.75" thickBot="1">
      <c r="A1025" s="20" t="s">
        <v>2437</v>
      </c>
      <c r="B1025" s="152" t="s">
        <v>136</v>
      </c>
      <c r="C1025" s="152" t="s">
        <v>137</v>
      </c>
      <c r="D1025" s="231" t="s">
        <v>125</v>
      </c>
      <c r="E1025" s="232" t="s">
        <v>142</v>
      </c>
      <c r="F1025" s="231" t="s">
        <v>123</v>
      </c>
      <c r="G1025" s="231" t="s">
        <v>124</v>
      </c>
      <c r="H1025" s="153" t="s">
        <v>245</v>
      </c>
      <c r="I1025" s="148" t="s">
        <v>205</v>
      </c>
      <c r="J1025" s="143">
        <f ca="1">IFERROR(IF(AND(J1026:J1049),0,1),0)</f>
        <v>0</v>
      </c>
      <c r="K1025" s="219" t="s">
        <v>2353</v>
      </c>
      <c r="L1025" s="50" t="s">
        <v>2465</v>
      </c>
      <c r="M1025" s="154">
        <f>IFERROR(VLOOKUP($A1025,$P$6:$S$1048576,3,0),0)</f>
        <v>0</v>
      </c>
      <c r="N1025" s="154">
        <f>IFERROR(VLOOKUP($A1025,$P$6:$S$1048576,4,0),0)</f>
        <v>0</v>
      </c>
    </row>
    <row r="1026" spans="1:14">
      <c r="B1026" s="6">
        <v>0</v>
      </c>
      <c r="C1026" s="6"/>
      <c r="D1026" s="227"/>
      <c r="E1026" s="223" t="s">
        <v>1015</v>
      </c>
      <c r="F1026" s="224" t="s">
        <v>2445</v>
      </c>
      <c r="G1026" s="90"/>
      <c r="H1026" s="6" t="s">
        <v>146</v>
      </c>
      <c r="I1026" s="60">
        <v>41</v>
      </c>
      <c r="J1026" s="79" t="b" cm="1">
        <f t="array" aca="1" ref="J1026" ca="1">RIGHT("00"&amp;INDIRECT("R_"&amp;H1026),2)=RIGHT("00"&amp;I1026,2)</f>
        <v>1</v>
      </c>
      <c r="K1026" s="6"/>
      <c r="L1026" s="6"/>
      <c r="M1026" s="6"/>
      <c r="N1026" s="6"/>
    </row>
    <row r="1027" spans="1:14">
      <c r="B1027" s="6">
        <v>1</v>
      </c>
      <c r="C1027" s="6"/>
      <c r="D1027" s="227"/>
      <c r="E1027" s="223" t="s">
        <v>864</v>
      </c>
      <c r="F1027" s="224" t="s">
        <v>2459</v>
      </c>
      <c r="G1027" s="90"/>
      <c r="H1027" s="6" t="s">
        <v>2346</v>
      </c>
      <c r="I1027" s="60">
        <v>42</v>
      </c>
      <c r="J1027" s="79" t="b" cm="1">
        <f t="array" aca="1" ref="J1027" ca="1">RIGHT("00"&amp;INDIRECT("R_"&amp;H1027),2)=RIGHT("00"&amp;I1027,2)</f>
        <v>1</v>
      </c>
      <c r="K1027" s="6"/>
      <c r="L1027" s="6"/>
      <c r="M1027" s="6"/>
      <c r="N1027" s="6"/>
    </row>
    <row r="1028" spans="1:14">
      <c r="B1028" s="6">
        <v>2</v>
      </c>
      <c r="C1028" s="6"/>
      <c r="D1028" s="227"/>
      <c r="E1028" s="223" t="s">
        <v>863</v>
      </c>
      <c r="F1028" s="224" t="s">
        <v>2446</v>
      </c>
      <c r="G1028" s="90"/>
      <c r="H1028" s="6" t="s">
        <v>2347</v>
      </c>
      <c r="I1028" s="60">
        <v>43</v>
      </c>
      <c r="J1028" s="79" t="b" cm="1">
        <f t="array" aca="1" ref="J1028" ca="1">RIGHT("00"&amp;INDIRECT("R_"&amp;H1028),2)=RIGHT("00"&amp;I1028,2)</f>
        <v>1</v>
      </c>
      <c r="K1028" s="6"/>
      <c r="L1028" s="6"/>
      <c r="M1028" s="6"/>
      <c r="N1028" s="6"/>
    </row>
    <row r="1029" spans="1:14">
      <c r="B1029" s="6">
        <v>3</v>
      </c>
      <c r="C1029" s="6"/>
      <c r="D1029" s="227"/>
      <c r="E1029" s="223" t="s">
        <v>864</v>
      </c>
      <c r="F1029" s="224" t="s">
        <v>2460</v>
      </c>
      <c r="G1029" s="90"/>
      <c r="H1029" s="6"/>
      <c r="I1029" s="60"/>
      <c r="J1029" s="6"/>
      <c r="K1029" s="6"/>
      <c r="L1029" s="6"/>
      <c r="M1029" s="6"/>
      <c r="N1029" s="6"/>
    </row>
    <row r="1030" spans="1:14">
      <c r="B1030" s="6">
        <v>4</v>
      </c>
      <c r="C1030" s="6"/>
      <c r="D1030" s="227"/>
      <c r="E1030" s="223" t="s">
        <v>863</v>
      </c>
      <c r="F1030" s="224" t="s">
        <v>2447</v>
      </c>
      <c r="G1030" s="90"/>
      <c r="H1030" s="6"/>
      <c r="I1030" s="60"/>
      <c r="J1030" s="6"/>
      <c r="K1030" s="6"/>
      <c r="L1030" s="6"/>
      <c r="M1030" s="6"/>
      <c r="N1030" s="6"/>
    </row>
    <row r="1031" spans="1:14">
      <c r="B1031" s="6">
        <v>5</v>
      </c>
      <c r="C1031" s="6"/>
      <c r="D1031" s="227"/>
      <c r="E1031" s="223" t="s">
        <v>864</v>
      </c>
      <c r="F1031" s="224" t="s">
        <v>2461</v>
      </c>
      <c r="G1031" s="90"/>
      <c r="H1031" s="6"/>
      <c r="I1031" s="60"/>
      <c r="J1031" s="6"/>
      <c r="K1031" s="6"/>
      <c r="L1031" s="6"/>
      <c r="M1031" s="6"/>
      <c r="N1031" s="6"/>
    </row>
    <row r="1032" spans="1:14">
      <c r="B1032" s="6">
        <v>6</v>
      </c>
      <c r="C1032" s="6"/>
      <c r="D1032" s="227"/>
      <c r="E1032" s="223" t="s">
        <v>863</v>
      </c>
      <c r="F1032" s="224" t="s">
        <v>2454</v>
      </c>
      <c r="G1032" s="90"/>
      <c r="H1032" s="6"/>
      <c r="I1032" s="60"/>
      <c r="J1032" s="6"/>
      <c r="K1032" s="6"/>
      <c r="L1032" s="6"/>
      <c r="M1032" s="6"/>
      <c r="N1032" s="6"/>
    </row>
    <row r="1033" spans="1:14">
      <c r="B1033" s="6">
        <v>7</v>
      </c>
      <c r="C1033" s="6"/>
      <c r="D1033" s="227"/>
      <c r="E1033" s="223" t="s">
        <v>864</v>
      </c>
      <c r="F1033" s="224" t="s">
        <v>2462</v>
      </c>
      <c r="G1033" s="90"/>
      <c r="H1033" s="6"/>
      <c r="I1033" s="60"/>
      <c r="J1033" s="6"/>
      <c r="K1033" s="6"/>
      <c r="L1033" s="6"/>
      <c r="M1033" s="6"/>
      <c r="N1033" s="6"/>
    </row>
    <row r="1034" spans="1:14">
      <c r="B1034" s="6">
        <v>8</v>
      </c>
      <c r="C1034" s="6"/>
      <c r="D1034" s="227"/>
      <c r="E1034" s="223" t="s">
        <v>863</v>
      </c>
      <c r="F1034" s="224" t="s">
        <v>2450</v>
      </c>
      <c r="G1034" s="90"/>
      <c r="H1034" s="6"/>
      <c r="I1034" s="60"/>
      <c r="J1034" s="6"/>
      <c r="K1034" s="6"/>
      <c r="L1034" s="6"/>
      <c r="M1034" s="6"/>
      <c r="N1034" s="6"/>
    </row>
    <row r="1035" spans="1:14">
      <c r="B1035" s="6">
        <v>9</v>
      </c>
      <c r="C1035" s="6"/>
      <c r="D1035" s="227"/>
      <c r="E1035" s="223" t="s">
        <v>864</v>
      </c>
      <c r="F1035" s="224" t="s">
        <v>2463</v>
      </c>
      <c r="G1035" s="90"/>
      <c r="H1035" s="6"/>
      <c r="I1035" s="60"/>
      <c r="J1035" s="6"/>
      <c r="K1035" s="6"/>
      <c r="L1035" s="6"/>
      <c r="M1035" s="6"/>
      <c r="N1035" s="6"/>
    </row>
    <row r="1036" spans="1:14">
      <c r="B1036" s="6">
        <v>10</v>
      </c>
      <c r="C1036" s="6"/>
      <c r="D1036" s="227"/>
      <c r="E1036" s="223" t="s">
        <v>863</v>
      </c>
      <c r="F1036" s="224" t="s">
        <v>2453</v>
      </c>
      <c r="G1036" s="90"/>
      <c r="H1036" s="6"/>
      <c r="I1036" s="60"/>
      <c r="J1036" s="6"/>
      <c r="K1036" s="6"/>
      <c r="L1036" s="6"/>
      <c r="M1036" s="6"/>
      <c r="N1036" s="6"/>
    </row>
    <row r="1037" spans="1:14">
      <c r="B1037" s="6">
        <v>11</v>
      </c>
      <c r="C1037" s="6"/>
      <c r="D1037" s="227"/>
      <c r="E1037" s="223" t="s">
        <v>864</v>
      </c>
      <c r="F1037" s="224" t="s">
        <v>2446</v>
      </c>
      <c r="G1037" s="90"/>
      <c r="H1037" s="6"/>
      <c r="I1037" s="60"/>
      <c r="J1037" s="6"/>
      <c r="K1037" s="6"/>
      <c r="L1037" s="6"/>
      <c r="M1037" s="6"/>
      <c r="N1037" s="6"/>
    </row>
    <row r="1038" spans="1:14">
      <c r="B1038" s="6">
        <v>12</v>
      </c>
      <c r="C1038" s="6"/>
      <c r="D1038" s="227"/>
      <c r="E1038" s="223" t="s">
        <v>863</v>
      </c>
      <c r="F1038" s="224" t="s">
        <v>2456</v>
      </c>
      <c r="G1038" s="90"/>
      <c r="H1038" s="6"/>
      <c r="I1038" s="60"/>
      <c r="J1038" s="6"/>
      <c r="K1038" s="6"/>
      <c r="L1038" s="6"/>
      <c r="M1038" s="6"/>
      <c r="N1038" s="6"/>
    </row>
    <row r="1039" spans="1:14">
      <c r="B1039" s="6">
        <v>13</v>
      </c>
      <c r="C1039" s="6"/>
      <c r="D1039" s="227"/>
      <c r="E1039" s="223" t="s">
        <v>2284</v>
      </c>
      <c r="F1039" s="224" t="s">
        <v>2458</v>
      </c>
      <c r="G1039" s="90"/>
      <c r="H1039" s="6"/>
      <c r="I1039" s="60"/>
      <c r="J1039" s="6"/>
      <c r="K1039" s="6"/>
      <c r="L1039" s="6"/>
      <c r="M1039" s="6"/>
      <c r="N1039" s="6"/>
    </row>
    <row r="1040" spans="1:14">
      <c r="B1040" s="6">
        <v>14</v>
      </c>
      <c r="C1040" s="6"/>
      <c r="D1040" s="227" t="s">
        <v>1017</v>
      </c>
      <c r="E1040" s="223" t="s">
        <v>864</v>
      </c>
      <c r="F1040" s="224" t="s">
        <v>2447</v>
      </c>
      <c r="G1040" s="90" t="s">
        <v>2346</v>
      </c>
      <c r="H1040" s="6"/>
      <c r="I1040" s="60"/>
      <c r="J1040" s="6"/>
      <c r="K1040" s="6"/>
      <c r="L1040" s="6"/>
      <c r="M1040" s="6"/>
      <c r="N1040" s="6"/>
    </row>
    <row r="1041" spans="2:14">
      <c r="B1041" s="6">
        <v>15</v>
      </c>
      <c r="C1041" s="6"/>
      <c r="D1041" s="227"/>
      <c r="E1041" s="223" t="s">
        <v>863</v>
      </c>
      <c r="F1041" s="224" t="s">
        <v>2446</v>
      </c>
      <c r="G1041" s="90" t="s">
        <v>2346</v>
      </c>
      <c r="H1041" s="6"/>
      <c r="I1041" s="60"/>
      <c r="J1041" s="6"/>
      <c r="K1041" s="6"/>
      <c r="L1041" s="6"/>
      <c r="M1041" s="6"/>
      <c r="N1041" s="6"/>
    </row>
    <row r="1042" spans="2:14">
      <c r="B1042" s="6">
        <v>16</v>
      </c>
      <c r="C1042" s="6"/>
      <c r="D1042" s="227"/>
      <c r="E1042" s="223" t="s">
        <v>461</v>
      </c>
      <c r="F1042" s="224"/>
      <c r="G1042" s="90"/>
      <c r="H1042" s="6"/>
      <c r="I1042" s="60"/>
      <c r="J1042" s="6"/>
      <c r="K1042" s="6"/>
      <c r="L1042" s="6"/>
      <c r="M1042" s="6"/>
      <c r="N1042" s="6"/>
    </row>
    <row r="1043" spans="2:14">
      <c r="B1043" s="6">
        <v>17</v>
      </c>
      <c r="C1043" s="6"/>
      <c r="D1043" s="227"/>
      <c r="E1043" s="223" t="s">
        <v>2265</v>
      </c>
      <c r="F1043" s="224" t="s">
        <v>2457</v>
      </c>
      <c r="G1043" s="90"/>
      <c r="H1043" s="6"/>
      <c r="I1043" s="60"/>
      <c r="J1043" s="6"/>
      <c r="K1043" s="6"/>
      <c r="L1043" s="6"/>
      <c r="M1043" s="6"/>
      <c r="N1043" s="6"/>
    </row>
    <row r="1044" spans="2:14">
      <c r="B1044" s="6">
        <v>18</v>
      </c>
      <c r="C1044" s="6"/>
      <c r="D1044" s="227"/>
      <c r="E1044" s="223" t="s">
        <v>2243</v>
      </c>
      <c r="F1044" s="224" t="s">
        <v>1017</v>
      </c>
      <c r="G1044" s="90"/>
      <c r="H1044" s="6"/>
      <c r="I1044" s="60"/>
      <c r="J1044" s="6"/>
      <c r="K1044" s="6"/>
      <c r="L1044" s="6"/>
      <c r="M1044" s="6"/>
      <c r="N1044" s="6"/>
    </row>
    <row r="1045" spans="2:14">
      <c r="B1045" s="6">
        <v>19</v>
      </c>
      <c r="C1045" s="6"/>
      <c r="D1045" s="227"/>
      <c r="E1045" s="223" t="s">
        <v>864</v>
      </c>
      <c r="F1045" s="224" t="s">
        <v>2456</v>
      </c>
      <c r="G1045" s="90"/>
      <c r="H1045" s="6"/>
      <c r="I1045" s="60"/>
      <c r="J1045" s="6"/>
      <c r="K1045" s="6"/>
      <c r="L1045" s="6"/>
      <c r="M1045" s="6"/>
      <c r="N1045" s="6"/>
    </row>
    <row r="1046" spans="2:14">
      <c r="B1046" s="6">
        <v>20</v>
      </c>
      <c r="C1046" s="6"/>
      <c r="D1046" s="227"/>
      <c r="E1046" s="223" t="s">
        <v>863</v>
      </c>
      <c r="F1046" s="224" t="s">
        <v>2453</v>
      </c>
      <c r="G1046" s="90"/>
      <c r="H1046" s="6"/>
      <c r="I1046" s="60"/>
      <c r="J1046" s="6"/>
      <c r="K1046" s="6"/>
      <c r="L1046" s="6"/>
      <c r="M1046" s="6"/>
      <c r="N1046" s="6"/>
    </row>
    <row r="1047" spans="2:14">
      <c r="B1047" s="6">
        <v>21</v>
      </c>
      <c r="C1047" s="6"/>
      <c r="D1047" s="227"/>
      <c r="E1047" s="223" t="s">
        <v>2284</v>
      </c>
      <c r="F1047" s="224" t="s">
        <v>2446</v>
      </c>
      <c r="G1047" s="90"/>
      <c r="H1047" s="6"/>
      <c r="I1047" s="60"/>
      <c r="J1047" s="6"/>
      <c r="K1047" s="6"/>
      <c r="L1047" s="6"/>
      <c r="M1047" s="6"/>
      <c r="N1047" s="6"/>
    </row>
    <row r="1048" spans="2:14">
      <c r="B1048" s="6">
        <v>22</v>
      </c>
      <c r="C1048" s="6"/>
      <c r="D1048" s="227"/>
      <c r="E1048" s="223" t="s">
        <v>2288</v>
      </c>
      <c r="F1048" s="224" t="s">
        <v>2447</v>
      </c>
      <c r="G1048" s="90"/>
      <c r="H1048" s="6"/>
      <c r="I1048" s="60"/>
      <c r="J1048" s="6"/>
      <c r="K1048" s="6"/>
      <c r="L1048" s="6"/>
      <c r="M1048" s="6"/>
      <c r="N1048" s="6"/>
    </row>
    <row r="1049" spans="2:14">
      <c r="B1049" s="6">
        <v>23</v>
      </c>
      <c r="C1049" s="6"/>
      <c r="D1049" s="227"/>
      <c r="E1049" s="223" t="s">
        <v>2252</v>
      </c>
      <c r="F1049" s="224"/>
      <c r="G1049" s="90"/>
      <c r="H1049" s="6"/>
      <c r="I1049" s="60"/>
      <c r="J1049" s="6"/>
      <c r="K1049" s="6"/>
      <c r="L1049" s="6"/>
      <c r="M1049" s="6"/>
      <c r="N1049" s="6"/>
    </row>
  </sheetData>
  <autoFilter ref="P5:T116" xr:uid="{686D4D84-1298-46F9-A9B8-5E037CA8448E}"/>
  <mergeCells count="2">
    <mergeCell ref="V5:AC5"/>
    <mergeCell ref="V6:AC35"/>
  </mergeCells>
  <phoneticPr fontId="16" type="noConversion"/>
  <conditionalFormatting sqref="J4:K4">
    <cfRule type="cellIs" dxfId="685" priority="1041" operator="equal">
      <formula>0</formula>
    </cfRule>
    <cfRule type="cellIs" dxfId="684" priority="1042" operator="equal">
      <formula>1</formula>
    </cfRule>
  </conditionalFormatting>
  <conditionalFormatting sqref="J11:K11">
    <cfRule type="cellIs" dxfId="683" priority="1039" operator="equal">
      <formula>0</formula>
    </cfRule>
    <cfRule type="cellIs" dxfId="682" priority="1040" operator="equal">
      <formula>1</formula>
    </cfRule>
  </conditionalFormatting>
  <conditionalFormatting sqref="J16:K16">
    <cfRule type="cellIs" dxfId="681" priority="1037" operator="equal">
      <formula>0</formula>
    </cfRule>
    <cfRule type="cellIs" dxfId="680" priority="1038" operator="equal">
      <formula>1</formula>
    </cfRule>
  </conditionalFormatting>
  <conditionalFormatting sqref="J29:K29">
    <cfRule type="cellIs" dxfId="679" priority="1033" operator="equal">
      <formula>0</formula>
    </cfRule>
    <cfRule type="cellIs" dxfId="678" priority="1034" operator="equal">
      <formula>1</formula>
    </cfRule>
  </conditionalFormatting>
  <conditionalFormatting sqref="M4:N4">
    <cfRule type="cellIs" dxfId="677" priority="1031" operator="equal">
      <formula>0</formula>
    </cfRule>
    <cfRule type="cellIs" dxfId="676" priority="1032" operator="equal">
      <formula>1</formula>
    </cfRule>
  </conditionalFormatting>
  <conditionalFormatting sqref="J38:K38">
    <cfRule type="cellIs" dxfId="675" priority="1021" operator="equal">
      <formula>0</formula>
    </cfRule>
    <cfRule type="cellIs" dxfId="674" priority="1022" operator="equal">
      <formula>1</formula>
    </cfRule>
  </conditionalFormatting>
  <conditionalFormatting sqref="K49">
    <cfRule type="cellIs" dxfId="673" priority="1017" operator="equal">
      <formula>0</formula>
    </cfRule>
    <cfRule type="cellIs" dxfId="672" priority="1018" operator="equal">
      <formula>1</formula>
    </cfRule>
  </conditionalFormatting>
  <conditionalFormatting sqref="K66">
    <cfRule type="cellIs" dxfId="671" priority="1009" operator="equal">
      <formula>0</formula>
    </cfRule>
    <cfRule type="cellIs" dxfId="670" priority="1010" operator="equal">
      <formula>1</formula>
    </cfRule>
  </conditionalFormatting>
  <conditionalFormatting sqref="K57">
    <cfRule type="cellIs" dxfId="669" priority="1005" operator="equal">
      <formula>0</formula>
    </cfRule>
    <cfRule type="cellIs" dxfId="668" priority="1006" operator="equal">
      <formula>1</formula>
    </cfRule>
  </conditionalFormatting>
  <conditionalFormatting sqref="J49">
    <cfRule type="cellIs" dxfId="667" priority="1001" operator="equal">
      <formula>0</formula>
    </cfRule>
    <cfRule type="cellIs" dxfId="666" priority="1002" operator="equal">
      <formula>1</formula>
    </cfRule>
  </conditionalFormatting>
  <conditionalFormatting sqref="J57">
    <cfRule type="cellIs" dxfId="665" priority="999" operator="equal">
      <formula>0</formula>
    </cfRule>
    <cfRule type="cellIs" dxfId="664" priority="1000" operator="equal">
      <formula>1</formula>
    </cfRule>
  </conditionalFormatting>
  <conditionalFormatting sqref="J66">
    <cfRule type="cellIs" dxfId="663" priority="997" operator="equal">
      <formula>0</formula>
    </cfRule>
    <cfRule type="cellIs" dxfId="662" priority="998" operator="equal">
      <formula>1</formula>
    </cfRule>
  </conditionalFormatting>
  <conditionalFormatting sqref="K74">
    <cfRule type="cellIs" dxfId="661" priority="995" operator="equal">
      <formula>0</formula>
    </cfRule>
    <cfRule type="cellIs" dxfId="660" priority="996" operator="equal">
      <formula>1</formula>
    </cfRule>
  </conditionalFormatting>
  <conditionalFormatting sqref="J74">
    <cfRule type="cellIs" dxfId="659" priority="991" operator="equal">
      <formula>0</formula>
    </cfRule>
    <cfRule type="cellIs" dxfId="658" priority="992" operator="equal">
      <formula>1</formula>
    </cfRule>
  </conditionalFormatting>
  <conditionalFormatting sqref="R6:R125">
    <cfRule type="cellIs" dxfId="657" priority="989" operator="equal">
      <formula>0</formula>
    </cfRule>
    <cfRule type="cellIs" dxfId="656" priority="990" operator="equal">
      <formula>1</formula>
    </cfRule>
  </conditionalFormatting>
  <conditionalFormatting sqref="K83">
    <cfRule type="cellIs" dxfId="655" priority="971" operator="equal">
      <formula>0</formula>
    </cfRule>
    <cfRule type="cellIs" dxfId="654" priority="972" operator="equal">
      <formula>1</formula>
    </cfRule>
  </conditionalFormatting>
  <conditionalFormatting sqref="J83">
    <cfRule type="cellIs" dxfId="653" priority="969" operator="equal">
      <formula>0</formula>
    </cfRule>
    <cfRule type="cellIs" dxfId="652" priority="970" operator="equal">
      <formula>1</formula>
    </cfRule>
  </conditionalFormatting>
  <conditionalFormatting sqref="K97">
    <cfRule type="cellIs" dxfId="651" priority="965" operator="equal">
      <formula>0</formula>
    </cfRule>
    <cfRule type="cellIs" dxfId="650" priority="966" operator="equal">
      <formula>1</formula>
    </cfRule>
  </conditionalFormatting>
  <conditionalFormatting sqref="J97">
    <cfRule type="cellIs" dxfId="649" priority="963" operator="equal">
      <formula>0</formula>
    </cfRule>
    <cfRule type="cellIs" dxfId="648" priority="964" operator="equal">
      <formula>1</formula>
    </cfRule>
  </conditionalFormatting>
  <conditionalFormatting sqref="K105">
    <cfRule type="cellIs" dxfId="647" priority="953" operator="equal">
      <formula>0</formula>
    </cfRule>
    <cfRule type="cellIs" dxfId="646" priority="954" operator="equal">
      <formula>1</formula>
    </cfRule>
  </conditionalFormatting>
  <conditionalFormatting sqref="J105">
    <cfRule type="cellIs" dxfId="645" priority="951" operator="equal">
      <formula>0</formula>
    </cfRule>
    <cfRule type="cellIs" dxfId="644" priority="952" operator="equal">
      <formula>1</formula>
    </cfRule>
  </conditionalFormatting>
  <conditionalFormatting sqref="K113">
    <cfRule type="cellIs" dxfId="643" priority="947" operator="equal">
      <formula>0</formula>
    </cfRule>
    <cfRule type="cellIs" dxfId="642" priority="948" operator="equal">
      <formula>1</formula>
    </cfRule>
  </conditionalFormatting>
  <conditionalFormatting sqref="K125">
    <cfRule type="cellIs" dxfId="641" priority="909" operator="equal">
      <formula>0</formula>
    </cfRule>
    <cfRule type="cellIs" dxfId="640" priority="910" operator="equal">
      <formula>1</formula>
    </cfRule>
  </conditionalFormatting>
  <conditionalFormatting sqref="K135">
    <cfRule type="cellIs" dxfId="639" priority="895" operator="equal">
      <formula>0</formula>
    </cfRule>
    <cfRule type="cellIs" dxfId="638" priority="896" operator="equal">
      <formula>1</formula>
    </cfRule>
  </conditionalFormatting>
  <conditionalFormatting sqref="J125">
    <cfRule type="cellIs" dxfId="637" priority="889" operator="equal">
      <formula>0</formula>
    </cfRule>
    <cfRule type="cellIs" dxfId="636" priority="890" operator="equal">
      <formula>1</formula>
    </cfRule>
  </conditionalFormatting>
  <conditionalFormatting sqref="J135">
    <cfRule type="cellIs" dxfId="635" priority="887" operator="equal">
      <formula>0</formula>
    </cfRule>
    <cfRule type="cellIs" dxfId="634" priority="888" operator="equal">
      <formula>1</formula>
    </cfRule>
  </conditionalFormatting>
  <conditionalFormatting sqref="J113">
    <cfRule type="cellIs" dxfId="633" priority="885" operator="equal">
      <formula>0</formula>
    </cfRule>
    <cfRule type="cellIs" dxfId="632" priority="886" operator="equal">
      <formula>1</formula>
    </cfRule>
  </conditionalFormatting>
  <conditionalFormatting sqref="K148">
    <cfRule type="cellIs" dxfId="631" priority="883" operator="equal">
      <formula>0</formula>
    </cfRule>
    <cfRule type="cellIs" dxfId="630" priority="884" operator="equal">
      <formula>1</formula>
    </cfRule>
  </conditionalFormatting>
  <conditionalFormatting sqref="J148">
    <cfRule type="cellIs" dxfId="629" priority="877" operator="equal">
      <formula>0</formula>
    </cfRule>
    <cfRule type="cellIs" dxfId="628" priority="878" operator="equal">
      <formula>1</formula>
    </cfRule>
  </conditionalFormatting>
  <conditionalFormatting sqref="K163">
    <cfRule type="cellIs" dxfId="627" priority="873" operator="equal">
      <formula>0</formula>
    </cfRule>
    <cfRule type="cellIs" dxfId="626" priority="874" operator="equal">
      <formula>1</formula>
    </cfRule>
  </conditionalFormatting>
  <conditionalFormatting sqref="J163">
    <cfRule type="cellIs" dxfId="625" priority="871" operator="equal">
      <formula>0</formula>
    </cfRule>
    <cfRule type="cellIs" dxfId="624" priority="872" operator="equal">
      <formula>1</formula>
    </cfRule>
  </conditionalFormatting>
  <conditionalFormatting sqref="K174">
    <cfRule type="cellIs" dxfId="623" priority="867" operator="equal">
      <formula>0</formula>
    </cfRule>
    <cfRule type="cellIs" dxfId="622" priority="868" operator="equal">
      <formula>1</formula>
    </cfRule>
  </conditionalFormatting>
  <conditionalFormatting sqref="J174">
    <cfRule type="cellIs" dxfId="621" priority="865" operator="equal">
      <formula>0</formula>
    </cfRule>
    <cfRule type="cellIs" dxfId="620" priority="866" operator="equal">
      <formula>1</formula>
    </cfRule>
  </conditionalFormatting>
  <conditionalFormatting sqref="K184">
    <cfRule type="cellIs" dxfId="619" priority="855" operator="equal">
      <formula>0</formula>
    </cfRule>
    <cfRule type="cellIs" dxfId="618" priority="856" operator="equal">
      <formula>1</formula>
    </cfRule>
  </conditionalFormatting>
  <conditionalFormatting sqref="J184">
    <cfRule type="cellIs" dxfId="617" priority="853" operator="equal">
      <formula>0</formula>
    </cfRule>
    <cfRule type="cellIs" dxfId="616" priority="854" operator="equal">
      <formula>1</formula>
    </cfRule>
  </conditionalFormatting>
  <conditionalFormatting sqref="K194">
    <cfRule type="cellIs" dxfId="615" priority="849" operator="equal">
      <formula>0</formula>
    </cfRule>
    <cfRule type="cellIs" dxfId="614" priority="850" operator="equal">
      <formula>1</formula>
    </cfRule>
  </conditionalFormatting>
  <conditionalFormatting sqref="J194">
    <cfRule type="cellIs" dxfId="613" priority="847" operator="equal">
      <formula>0</formula>
    </cfRule>
    <cfRule type="cellIs" dxfId="612" priority="848" operator="equal">
      <formula>1</formula>
    </cfRule>
  </conditionalFormatting>
  <conditionalFormatting sqref="K204">
    <cfRule type="cellIs" dxfId="611" priority="843" operator="equal">
      <formula>0</formula>
    </cfRule>
    <cfRule type="cellIs" dxfId="610" priority="844" operator="equal">
      <formula>1</formula>
    </cfRule>
  </conditionalFormatting>
  <conditionalFormatting sqref="J204">
    <cfRule type="cellIs" dxfId="609" priority="841" operator="equal">
      <formula>0</formula>
    </cfRule>
    <cfRule type="cellIs" dxfId="608" priority="842" operator="equal">
      <formula>1</formula>
    </cfRule>
  </conditionalFormatting>
  <conditionalFormatting sqref="K211">
    <cfRule type="cellIs" dxfId="607" priority="837" operator="equal">
      <formula>0</formula>
    </cfRule>
    <cfRule type="cellIs" dxfId="606" priority="838" operator="equal">
      <formula>1</formula>
    </cfRule>
  </conditionalFormatting>
  <conditionalFormatting sqref="J211">
    <cfRule type="cellIs" dxfId="605" priority="835" operator="equal">
      <formula>0</formula>
    </cfRule>
    <cfRule type="cellIs" dxfId="604" priority="836" operator="equal">
      <formula>1</formula>
    </cfRule>
  </conditionalFormatting>
  <conditionalFormatting sqref="K224">
    <cfRule type="cellIs" dxfId="603" priority="831" operator="equal">
      <formula>0</formula>
    </cfRule>
    <cfRule type="cellIs" dxfId="602" priority="832" operator="equal">
      <formula>1</formula>
    </cfRule>
  </conditionalFormatting>
  <conditionalFormatting sqref="J224">
    <cfRule type="cellIs" dxfId="601" priority="829" operator="equal">
      <formula>0</formula>
    </cfRule>
    <cfRule type="cellIs" dxfId="600" priority="830" operator="equal">
      <formula>1</formula>
    </cfRule>
  </conditionalFormatting>
  <conditionalFormatting sqref="K240">
    <cfRule type="cellIs" dxfId="599" priority="825" operator="equal">
      <formula>0</formula>
    </cfRule>
    <cfRule type="cellIs" dxfId="598" priority="826" operator="equal">
      <formula>1</formula>
    </cfRule>
  </conditionalFormatting>
  <conditionalFormatting sqref="J240">
    <cfRule type="cellIs" dxfId="597" priority="823" operator="equal">
      <formula>0</formula>
    </cfRule>
    <cfRule type="cellIs" dxfId="596" priority="824" operator="equal">
      <formula>1</formula>
    </cfRule>
  </conditionalFormatting>
  <conditionalFormatting sqref="K253">
    <cfRule type="cellIs" dxfId="595" priority="819" operator="equal">
      <formula>0</formula>
    </cfRule>
    <cfRule type="cellIs" dxfId="594" priority="820" operator="equal">
      <formula>1</formula>
    </cfRule>
  </conditionalFormatting>
  <conditionalFormatting sqref="J253">
    <cfRule type="cellIs" dxfId="593" priority="817" operator="equal">
      <formula>0</formula>
    </cfRule>
    <cfRule type="cellIs" dxfId="592" priority="818" operator="equal">
      <formula>1</formula>
    </cfRule>
  </conditionalFormatting>
  <conditionalFormatting sqref="K259">
    <cfRule type="cellIs" dxfId="591" priority="801" operator="equal">
      <formula>0</formula>
    </cfRule>
    <cfRule type="cellIs" dxfId="590" priority="802" operator="equal">
      <formula>1</formula>
    </cfRule>
  </conditionalFormatting>
  <conditionalFormatting sqref="J259">
    <cfRule type="cellIs" dxfId="589" priority="799" operator="equal">
      <formula>0</formula>
    </cfRule>
    <cfRule type="cellIs" dxfId="588" priority="800" operator="equal">
      <formula>1</formula>
    </cfRule>
  </conditionalFormatting>
  <conditionalFormatting sqref="K265">
    <cfRule type="cellIs" dxfId="587" priority="795" operator="equal">
      <formula>0</formula>
    </cfRule>
    <cfRule type="cellIs" dxfId="586" priority="796" operator="equal">
      <formula>1</formula>
    </cfRule>
  </conditionalFormatting>
  <conditionalFormatting sqref="J265">
    <cfRule type="cellIs" dxfId="585" priority="793" operator="equal">
      <formula>0</formula>
    </cfRule>
    <cfRule type="cellIs" dxfId="584" priority="794" operator="equal">
      <formula>1</formula>
    </cfRule>
  </conditionalFormatting>
  <conditionalFormatting sqref="K273">
    <cfRule type="cellIs" dxfId="583" priority="789" operator="equal">
      <formula>0</formula>
    </cfRule>
    <cfRule type="cellIs" dxfId="582" priority="790" operator="equal">
      <formula>1</formula>
    </cfRule>
  </conditionalFormatting>
  <conditionalFormatting sqref="J273">
    <cfRule type="cellIs" dxfId="581" priority="787" operator="equal">
      <formula>0</formula>
    </cfRule>
    <cfRule type="cellIs" dxfId="580" priority="788" operator="equal">
      <formula>1</formula>
    </cfRule>
  </conditionalFormatting>
  <conditionalFormatting sqref="K281">
    <cfRule type="cellIs" dxfId="579" priority="783" operator="equal">
      <formula>0</formula>
    </cfRule>
    <cfRule type="cellIs" dxfId="578" priority="784" operator="equal">
      <formula>1</formula>
    </cfRule>
  </conditionalFormatting>
  <conditionalFormatting sqref="J281">
    <cfRule type="cellIs" dxfId="577" priority="781" operator="equal">
      <formula>0</formula>
    </cfRule>
    <cfRule type="cellIs" dxfId="576" priority="782" operator="equal">
      <formula>1</formula>
    </cfRule>
  </conditionalFormatting>
  <conditionalFormatting sqref="K290">
    <cfRule type="cellIs" dxfId="575" priority="777" operator="equal">
      <formula>0</formula>
    </cfRule>
    <cfRule type="cellIs" dxfId="574" priority="778" operator="equal">
      <formula>1</formula>
    </cfRule>
  </conditionalFormatting>
  <conditionalFormatting sqref="J290">
    <cfRule type="cellIs" dxfId="573" priority="775" operator="equal">
      <formula>0</formula>
    </cfRule>
    <cfRule type="cellIs" dxfId="572" priority="776" operator="equal">
      <formula>1</formula>
    </cfRule>
  </conditionalFormatting>
  <conditionalFormatting sqref="K299">
    <cfRule type="cellIs" dxfId="571" priority="771" operator="equal">
      <formula>0</formula>
    </cfRule>
    <cfRule type="cellIs" dxfId="570" priority="772" operator="equal">
      <formula>1</formula>
    </cfRule>
  </conditionalFormatting>
  <conditionalFormatting sqref="J299">
    <cfRule type="cellIs" dxfId="569" priority="769" operator="equal">
      <formula>0</formula>
    </cfRule>
    <cfRule type="cellIs" dxfId="568" priority="770" operator="equal">
      <formula>1</formula>
    </cfRule>
  </conditionalFormatting>
  <conditionalFormatting sqref="K308">
    <cfRule type="cellIs" dxfId="567" priority="765" operator="equal">
      <formula>0</formula>
    </cfRule>
    <cfRule type="cellIs" dxfId="566" priority="766" operator="equal">
      <formula>1</formula>
    </cfRule>
  </conditionalFormatting>
  <conditionalFormatting sqref="J308">
    <cfRule type="cellIs" dxfId="565" priority="763" operator="equal">
      <formula>0</formula>
    </cfRule>
    <cfRule type="cellIs" dxfId="564" priority="764" operator="equal">
      <formula>1</formula>
    </cfRule>
  </conditionalFormatting>
  <conditionalFormatting sqref="K317">
    <cfRule type="cellIs" dxfId="563" priority="759" operator="equal">
      <formula>0</formula>
    </cfRule>
    <cfRule type="cellIs" dxfId="562" priority="760" operator="equal">
      <formula>1</formula>
    </cfRule>
  </conditionalFormatting>
  <conditionalFormatting sqref="K326">
    <cfRule type="cellIs" dxfId="561" priority="753" operator="equal">
      <formula>0</formula>
    </cfRule>
    <cfRule type="cellIs" dxfId="560" priority="754" operator="equal">
      <formula>1</formula>
    </cfRule>
  </conditionalFormatting>
  <conditionalFormatting sqref="K335">
    <cfRule type="cellIs" dxfId="559" priority="747" operator="equal">
      <formula>0</formula>
    </cfRule>
    <cfRule type="cellIs" dxfId="558" priority="748" operator="equal">
      <formula>1</formula>
    </cfRule>
  </conditionalFormatting>
  <conditionalFormatting sqref="K344">
    <cfRule type="cellIs" dxfId="557" priority="741" operator="equal">
      <formula>0</formula>
    </cfRule>
    <cfRule type="cellIs" dxfId="556" priority="742" operator="equal">
      <formula>1</formula>
    </cfRule>
  </conditionalFormatting>
  <conditionalFormatting sqref="K353">
    <cfRule type="cellIs" dxfId="555" priority="735" operator="equal">
      <formula>0</formula>
    </cfRule>
    <cfRule type="cellIs" dxfId="554" priority="736" operator="equal">
      <formula>1</formula>
    </cfRule>
  </conditionalFormatting>
  <conditionalFormatting sqref="K362">
    <cfRule type="cellIs" dxfId="553" priority="729" operator="equal">
      <formula>0</formula>
    </cfRule>
    <cfRule type="cellIs" dxfId="552" priority="730" operator="equal">
      <formula>1</formula>
    </cfRule>
  </conditionalFormatting>
  <conditionalFormatting sqref="K371">
    <cfRule type="cellIs" dxfId="551" priority="723" operator="equal">
      <formula>0</formula>
    </cfRule>
    <cfRule type="cellIs" dxfId="550" priority="724" operator="equal">
      <formula>1</formula>
    </cfRule>
  </conditionalFormatting>
  <conditionalFormatting sqref="J371">
    <cfRule type="cellIs" dxfId="549" priority="721" operator="equal">
      <formula>0</formula>
    </cfRule>
    <cfRule type="cellIs" dxfId="548" priority="722" operator="equal">
      <formula>1</formula>
    </cfRule>
  </conditionalFormatting>
  <conditionalFormatting sqref="K380">
    <cfRule type="cellIs" dxfId="547" priority="717" operator="equal">
      <formula>0</formula>
    </cfRule>
    <cfRule type="cellIs" dxfId="546" priority="718" operator="equal">
      <formula>1</formula>
    </cfRule>
  </conditionalFormatting>
  <conditionalFormatting sqref="J380">
    <cfRule type="cellIs" dxfId="545" priority="715" operator="equal">
      <formula>0</formula>
    </cfRule>
    <cfRule type="cellIs" dxfId="544" priority="716" operator="equal">
      <formula>1</formula>
    </cfRule>
  </conditionalFormatting>
  <conditionalFormatting sqref="K389">
    <cfRule type="cellIs" dxfId="543" priority="711" operator="equal">
      <formula>0</formula>
    </cfRule>
    <cfRule type="cellIs" dxfId="542" priority="712" operator="equal">
      <formula>1</formula>
    </cfRule>
  </conditionalFormatting>
  <conditionalFormatting sqref="K398">
    <cfRule type="cellIs" dxfId="541" priority="705" operator="equal">
      <formula>0</formula>
    </cfRule>
    <cfRule type="cellIs" dxfId="540" priority="706" operator="equal">
      <formula>1</formula>
    </cfRule>
  </conditionalFormatting>
  <conditionalFormatting sqref="K407">
    <cfRule type="cellIs" dxfId="539" priority="699" operator="equal">
      <formula>0</formula>
    </cfRule>
    <cfRule type="cellIs" dxfId="538" priority="700" operator="equal">
      <formula>1</formula>
    </cfRule>
  </conditionalFormatting>
  <conditionalFormatting sqref="K416">
    <cfRule type="cellIs" dxfId="537" priority="693" operator="equal">
      <formula>0</formula>
    </cfRule>
    <cfRule type="cellIs" dxfId="536" priority="694" operator="equal">
      <formula>1</formula>
    </cfRule>
  </conditionalFormatting>
  <conditionalFormatting sqref="J416">
    <cfRule type="cellIs" dxfId="535" priority="691" operator="equal">
      <formula>0</formula>
    </cfRule>
    <cfRule type="cellIs" dxfId="534" priority="692" operator="equal">
      <formula>1</formula>
    </cfRule>
  </conditionalFormatting>
  <conditionalFormatting sqref="K427">
    <cfRule type="cellIs" dxfId="533" priority="687" operator="equal">
      <formula>0</formula>
    </cfRule>
    <cfRule type="cellIs" dxfId="532" priority="688" operator="equal">
      <formula>1</formula>
    </cfRule>
  </conditionalFormatting>
  <conditionalFormatting sqref="K436">
    <cfRule type="cellIs" dxfId="531" priority="681" operator="equal">
      <formula>0</formula>
    </cfRule>
    <cfRule type="cellIs" dxfId="530" priority="682" operator="equal">
      <formula>1</formula>
    </cfRule>
  </conditionalFormatting>
  <conditionalFormatting sqref="K445">
    <cfRule type="cellIs" dxfId="529" priority="675" operator="equal">
      <formula>0</formula>
    </cfRule>
    <cfRule type="cellIs" dxfId="528" priority="676" operator="equal">
      <formula>1</formula>
    </cfRule>
  </conditionalFormatting>
  <conditionalFormatting sqref="J445">
    <cfRule type="cellIs" dxfId="527" priority="673" operator="equal">
      <formula>0</formula>
    </cfRule>
    <cfRule type="cellIs" dxfId="526" priority="674" operator="equal">
      <formula>1</formula>
    </cfRule>
  </conditionalFormatting>
  <conditionalFormatting sqref="K460">
    <cfRule type="cellIs" dxfId="525" priority="669" operator="equal">
      <formula>0</formula>
    </cfRule>
    <cfRule type="cellIs" dxfId="524" priority="670" operator="equal">
      <formula>1</formula>
    </cfRule>
  </conditionalFormatting>
  <conditionalFormatting sqref="J460">
    <cfRule type="cellIs" dxfId="523" priority="667" operator="equal">
      <formula>0</formula>
    </cfRule>
    <cfRule type="cellIs" dxfId="522" priority="668" operator="equal">
      <formula>1</formula>
    </cfRule>
  </conditionalFormatting>
  <conditionalFormatting sqref="K467">
    <cfRule type="cellIs" dxfId="521" priority="663" operator="equal">
      <formula>0</formula>
    </cfRule>
    <cfRule type="cellIs" dxfId="520" priority="664" operator="equal">
      <formula>1</formula>
    </cfRule>
  </conditionalFormatting>
  <conditionalFormatting sqref="J467">
    <cfRule type="cellIs" dxfId="519" priority="661" operator="equal">
      <formula>0</formula>
    </cfRule>
    <cfRule type="cellIs" dxfId="518" priority="662" operator="equal">
      <formula>1</formula>
    </cfRule>
  </conditionalFormatting>
  <conditionalFormatting sqref="K478">
    <cfRule type="cellIs" dxfId="517" priority="657" operator="equal">
      <formula>0</formula>
    </cfRule>
    <cfRule type="cellIs" dxfId="516" priority="658" operator="equal">
      <formula>1</formula>
    </cfRule>
  </conditionalFormatting>
  <conditionalFormatting sqref="J478">
    <cfRule type="cellIs" dxfId="515" priority="655" operator="equal">
      <formula>0</formula>
    </cfRule>
    <cfRule type="cellIs" dxfId="514" priority="656" operator="equal">
      <formula>1</formula>
    </cfRule>
  </conditionalFormatting>
  <conditionalFormatting sqref="K483">
    <cfRule type="cellIs" dxfId="513" priority="651" operator="equal">
      <formula>0</formula>
    </cfRule>
    <cfRule type="cellIs" dxfId="512" priority="652" operator="equal">
      <formula>1</formula>
    </cfRule>
  </conditionalFormatting>
  <conditionalFormatting sqref="J483">
    <cfRule type="cellIs" dxfId="511" priority="649" operator="equal">
      <formula>0</formula>
    </cfRule>
    <cfRule type="cellIs" dxfId="510" priority="650" operator="equal">
      <formula>1</formula>
    </cfRule>
  </conditionalFormatting>
  <conditionalFormatting sqref="K490">
    <cfRule type="cellIs" dxfId="509" priority="645" operator="equal">
      <formula>0</formula>
    </cfRule>
    <cfRule type="cellIs" dxfId="508" priority="646" operator="equal">
      <formula>1</formula>
    </cfRule>
  </conditionalFormatting>
  <conditionalFormatting sqref="J490">
    <cfRule type="cellIs" dxfId="507" priority="643" operator="equal">
      <formula>0</formula>
    </cfRule>
    <cfRule type="cellIs" dxfId="506" priority="644" operator="equal">
      <formula>1</formula>
    </cfRule>
  </conditionalFormatting>
  <conditionalFormatting sqref="K500">
    <cfRule type="cellIs" dxfId="505" priority="639" operator="equal">
      <formula>0</formula>
    </cfRule>
    <cfRule type="cellIs" dxfId="504" priority="640" operator="equal">
      <formula>1</formula>
    </cfRule>
  </conditionalFormatting>
  <conditionalFormatting sqref="J500">
    <cfRule type="cellIs" dxfId="503" priority="637" operator="equal">
      <formula>0</formula>
    </cfRule>
    <cfRule type="cellIs" dxfId="502" priority="638" operator="equal">
      <formula>1</formula>
    </cfRule>
  </conditionalFormatting>
  <conditionalFormatting sqref="E518:G528">
    <cfRule type="expression" dxfId="501" priority="634">
      <formula>$N518=$E$13</formula>
    </cfRule>
  </conditionalFormatting>
  <conditionalFormatting sqref="D518:G528">
    <cfRule type="containsText" dxfId="500" priority="633" operator="containsText" text=" ">
      <formula>NOT(ISERROR(SEARCH(" ",D518)))</formula>
    </cfRule>
  </conditionalFormatting>
  <conditionalFormatting sqref="D518:G528">
    <cfRule type="expression" dxfId="499" priority="632">
      <formula>$E$13=$N518</formula>
    </cfRule>
  </conditionalFormatting>
  <conditionalFormatting sqref="K530">
    <cfRule type="cellIs" dxfId="498" priority="630" operator="equal">
      <formula>0</formula>
    </cfRule>
    <cfRule type="cellIs" dxfId="497" priority="631" operator="equal">
      <formula>1</formula>
    </cfRule>
  </conditionalFormatting>
  <conditionalFormatting sqref="J530">
    <cfRule type="cellIs" dxfId="496" priority="628" operator="equal">
      <formula>0</formula>
    </cfRule>
    <cfRule type="cellIs" dxfId="495" priority="629" operator="equal">
      <formula>1</formula>
    </cfRule>
  </conditionalFormatting>
  <conditionalFormatting sqref="S6:S125">
    <cfRule type="cellIs" dxfId="494" priority="624" operator="equal">
      <formula>0</formula>
    </cfRule>
    <cfRule type="cellIs" dxfId="493" priority="625" operator="equal">
      <formula>1</formula>
    </cfRule>
  </conditionalFormatting>
  <conditionalFormatting sqref="M11:N11">
    <cfRule type="cellIs" dxfId="492" priority="620" operator="equal">
      <formula>0</formula>
    </cfRule>
    <cfRule type="cellIs" dxfId="491" priority="621" operator="equal">
      <formula>1</formula>
    </cfRule>
  </conditionalFormatting>
  <conditionalFormatting sqref="M16:N16">
    <cfRule type="cellIs" dxfId="490" priority="618" operator="equal">
      <formula>0</formula>
    </cfRule>
    <cfRule type="cellIs" dxfId="489" priority="619" operator="equal">
      <formula>1</formula>
    </cfRule>
  </conditionalFormatting>
  <conditionalFormatting sqref="M29:N29">
    <cfRule type="cellIs" dxfId="488" priority="616" operator="equal">
      <formula>0</formula>
    </cfRule>
    <cfRule type="cellIs" dxfId="487" priority="617" operator="equal">
      <formula>1</formula>
    </cfRule>
  </conditionalFormatting>
  <conditionalFormatting sqref="M38:N38">
    <cfRule type="cellIs" dxfId="486" priority="614" operator="equal">
      <formula>0</formula>
    </cfRule>
    <cfRule type="cellIs" dxfId="485" priority="615" operator="equal">
      <formula>1</formula>
    </cfRule>
  </conditionalFormatting>
  <conditionalFormatting sqref="M49:N49">
    <cfRule type="cellIs" dxfId="484" priority="612" operator="equal">
      <formula>0</formula>
    </cfRule>
    <cfRule type="cellIs" dxfId="483" priority="613" operator="equal">
      <formula>1</formula>
    </cfRule>
  </conditionalFormatting>
  <conditionalFormatting sqref="M57:N57">
    <cfRule type="cellIs" dxfId="482" priority="610" operator="equal">
      <formula>0</formula>
    </cfRule>
    <cfRule type="cellIs" dxfId="481" priority="611" operator="equal">
      <formula>1</formula>
    </cfRule>
  </conditionalFormatting>
  <conditionalFormatting sqref="M66:N66">
    <cfRule type="cellIs" dxfId="480" priority="608" operator="equal">
      <formula>0</formula>
    </cfRule>
    <cfRule type="cellIs" dxfId="479" priority="609" operator="equal">
      <formula>1</formula>
    </cfRule>
  </conditionalFormatting>
  <conditionalFormatting sqref="M74:N74">
    <cfRule type="cellIs" dxfId="478" priority="606" operator="equal">
      <formula>0</formula>
    </cfRule>
    <cfRule type="cellIs" dxfId="477" priority="607" operator="equal">
      <formula>1</formula>
    </cfRule>
  </conditionalFormatting>
  <conditionalFormatting sqref="M83:N83">
    <cfRule type="cellIs" dxfId="476" priority="604" operator="equal">
      <formula>0</formula>
    </cfRule>
    <cfRule type="cellIs" dxfId="475" priority="605" operator="equal">
      <formula>1</formula>
    </cfRule>
  </conditionalFormatting>
  <conditionalFormatting sqref="M97:N97">
    <cfRule type="cellIs" dxfId="474" priority="602" operator="equal">
      <formula>0</formula>
    </cfRule>
    <cfRule type="cellIs" dxfId="473" priority="603" operator="equal">
      <formula>1</formula>
    </cfRule>
  </conditionalFormatting>
  <conditionalFormatting sqref="M105:N105">
    <cfRule type="cellIs" dxfId="472" priority="600" operator="equal">
      <formula>0</formula>
    </cfRule>
    <cfRule type="cellIs" dxfId="471" priority="601" operator="equal">
      <formula>1</formula>
    </cfRule>
  </conditionalFormatting>
  <conditionalFormatting sqref="M113:N113">
    <cfRule type="cellIs" dxfId="470" priority="598" operator="equal">
      <formula>0</formula>
    </cfRule>
    <cfRule type="cellIs" dxfId="469" priority="599" operator="equal">
      <formula>1</formula>
    </cfRule>
  </conditionalFormatting>
  <conditionalFormatting sqref="M125:N125">
    <cfRule type="cellIs" dxfId="468" priority="596" operator="equal">
      <formula>0</formula>
    </cfRule>
    <cfRule type="cellIs" dxfId="467" priority="597" operator="equal">
      <formula>1</formula>
    </cfRule>
  </conditionalFormatting>
  <conditionalFormatting sqref="M135:N135">
    <cfRule type="cellIs" dxfId="466" priority="594" operator="equal">
      <formula>0</formula>
    </cfRule>
    <cfRule type="cellIs" dxfId="465" priority="595" operator="equal">
      <formula>1</formula>
    </cfRule>
  </conditionalFormatting>
  <conditionalFormatting sqref="M148:N148">
    <cfRule type="cellIs" dxfId="464" priority="592" operator="equal">
      <formula>0</formula>
    </cfRule>
    <cfRule type="cellIs" dxfId="463" priority="593" operator="equal">
      <formula>1</formula>
    </cfRule>
  </conditionalFormatting>
  <conditionalFormatting sqref="M163:N163">
    <cfRule type="cellIs" dxfId="462" priority="590" operator="equal">
      <formula>0</formula>
    </cfRule>
    <cfRule type="cellIs" dxfId="461" priority="591" operator="equal">
      <formula>1</formula>
    </cfRule>
  </conditionalFormatting>
  <conditionalFormatting sqref="M174:N174">
    <cfRule type="cellIs" dxfId="460" priority="588" operator="equal">
      <formula>0</formula>
    </cfRule>
    <cfRule type="cellIs" dxfId="459" priority="589" operator="equal">
      <formula>1</formula>
    </cfRule>
  </conditionalFormatting>
  <conditionalFormatting sqref="M184:N184">
    <cfRule type="cellIs" dxfId="458" priority="586" operator="equal">
      <formula>0</formula>
    </cfRule>
    <cfRule type="cellIs" dxfId="457" priority="587" operator="equal">
      <formula>1</formula>
    </cfRule>
  </conditionalFormatting>
  <conditionalFormatting sqref="M194:N194">
    <cfRule type="cellIs" dxfId="456" priority="584" operator="equal">
      <formula>0</formula>
    </cfRule>
    <cfRule type="cellIs" dxfId="455" priority="585" operator="equal">
      <formula>1</formula>
    </cfRule>
  </conditionalFormatting>
  <conditionalFormatting sqref="M204:N204">
    <cfRule type="cellIs" dxfId="454" priority="582" operator="equal">
      <formula>0</formula>
    </cfRule>
    <cfRule type="cellIs" dxfId="453" priority="583" operator="equal">
      <formula>1</formula>
    </cfRule>
  </conditionalFormatting>
  <conditionalFormatting sqref="M211:N211">
    <cfRule type="cellIs" dxfId="452" priority="580" operator="equal">
      <formula>0</formula>
    </cfRule>
    <cfRule type="cellIs" dxfId="451" priority="581" operator="equal">
      <formula>1</formula>
    </cfRule>
  </conditionalFormatting>
  <conditionalFormatting sqref="M224:N224">
    <cfRule type="cellIs" dxfId="450" priority="578" operator="equal">
      <formula>0</formula>
    </cfRule>
    <cfRule type="cellIs" dxfId="449" priority="579" operator="equal">
      <formula>1</formula>
    </cfRule>
  </conditionalFormatting>
  <conditionalFormatting sqref="M240:N240">
    <cfRule type="cellIs" dxfId="448" priority="576" operator="equal">
      <formula>0</formula>
    </cfRule>
    <cfRule type="cellIs" dxfId="447" priority="577" operator="equal">
      <formula>1</formula>
    </cfRule>
  </conditionalFormatting>
  <conditionalFormatting sqref="M253:N253">
    <cfRule type="cellIs" dxfId="446" priority="574" operator="equal">
      <formula>0</formula>
    </cfRule>
    <cfRule type="cellIs" dxfId="445" priority="575" operator="equal">
      <formula>1</formula>
    </cfRule>
  </conditionalFormatting>
  <conditionalFormatting sqref="M259:N259">
    <cfRule type="cellIs" dxfId="444" priority="572" operator="equal">
      <formula>0</formula>
    </cfRule>
    <cfRule type="cellIs" dxfId="443" priority="573" operator="equal">
      <formula>1</formula>
    </cfRule>
  </conditionalFormatting>
  <conditionalFormatting sqref="M265:N265">
    <cfRule type="cellIs" dxfId="442" priority="570" operator="equal">
      <formula>0</formula>
    </cfRule>
    <cfRule type="cellIs" dxfId="441" priority="571" operator="equal">
      <formula>1</formula>
    </cfRule>
  </conditionalFormatting>
  <conditionalFormatting sqref="M273:N273">
    <cfRule type="cellIs" dxfId="440" priority="568" operator="equal">
      <formula>0</formula>
    </cfRule>
    <cfRule type="cellIs" dxfId="439" priority="569" operator="equal">
      <formula>1</formula>
    </cfRule>
  </conditionalFormatting>
  <conditionalFormatting sqref="M281:N281">
    <cfRule type="cellIs" dxfId="438" priority="566" operator="equal">
      <formula>0</formula>
    </cfRule>
    <cfRule type="cellIs" dxfId="437" priority="567" operator="equal">
      <formula>1</formula>
    </cfRule>
  </conditionalFormatting>
  <conditionalFormatting sqref="M290:N290">
    <cfRule type="cellIs" dxfId="436" priority="564" operator="equal">
      <formula>0</formula>
    </cfRule>
    <cfRule type="cellIs" dxfId="435" priority="565" operator="equal">
      <formula>1</formula>
    </cfRule>
  </conditionalFormatting>
  <conditionalFormatting sqref="M299:N299">
    <cfRule type="cellIs" dxfId="434" priority="562" operator="equal">
      <formula>0</formula>
    </cfRule>
    <cfRule type="cellIs" dxfId="433" priority="563" operator="equal">
      <formula>1</formula>
    </cfRule>
  </conditionalFormatting>
  <conditionalFormatting sqref="M308:N308">
    <cfRule type="cellIs" dxfId="432" priority="560" operator="equal">
      <formula>0</formula>
    </cfRule>
    <cfRule type="cellIs" dxfId="431" priority="561" operator="equal">
      <formula>1</formula>
    </cfRule>
  </conditionalFormatting>
  <conditionalFormatting sqref="M317:N317">
    <cfRule type="cellIs" dxfId="430" priority="558" operator="equal">
      <formula>0</formula>
    </cfRule>
    <cfRule type="cellIs" dxfId="429" priority="559" operator="equal">
      <formula>1</formula>
    </cfRule>
  </conditionalFormatting>
  <conditionalFormatting sqref="M326:N326">
    <cfRule type="cellIs" dxfId="428" priority="556" operator="equal">
      <formula>0</formula>
    </cfRule>
    <cfRule type="cellIs" dxfId="427" priority="557" operator="equal">
      <formula>1</formula>
    </cfRule>
  </conditionalFormatting>
  <conditionalFormatting sqref="M335:N335">
    <cfRule type="cellIs" dxfId="426" priority="554" operator="equal">
      <formula>0</formula>
    </cfRule>
    <cfRule type="cellIs" dxfId="425" priority="555" operator="equal">
      <formula>1</formula>
    </cfRule>
  </conditionalFormatting>
  <conditionalFormatting sqref="M344:N344">
    <cfRule type="cellIs" dxfId="424" priority="552" operator="equal">
      <formula>0</formula>
    </cfRule>
    <cfRule type="cellIs" dxfId="423" priority="553" operator="equal">
      <formula>1</formula>
    </cfRule>
  </conditionalFormatting>
  <conditionalFormatting sqref="M353:N353">
    <cfRule type="cellIs" dxfId="422" priority="550" operator="equal">
      <formula>0</formula>
    </cfRule>
    <cfRule type="cellIs" dxfId="421" priority="551" operator="equal">
      <formula>1</formula>
    </cfRule>
  </conditionalFormatting>
  <conditionalFormatting sqref="M362:N362">
    <cfRule type="cellIs" dxfId="420" priority="548" operator="equal">
      <formula>0</formula>
    </cfRule>
    <cfRule type="cellIs" dxfId="419" priority="549" operator="equal">
      <formula>1</formula>
    </cfRule>
  </conditionalFormatting>
  <conditionalFormatting sqref="M371:N371">
    <cfRule type="cellIs" dxfId="418" priority="546" operator="equal">
      <formula>0</formula>
    </cfRule>
    <cfRule type="cellIs" dxfId="417" priority="547" operator="equal">
      <formula>1</formula>
    </cfRule>
  </conditionalFormatting>
  <conditionalFormatting sqref="M380:N380">
    <cfRule type="cellIs" dxfId="416" priority="544" operator="equal">
      <formula>0</formula>
    </cfRule>
    <cfRule type="cellIs" dxfId="415" priority="545" operator="equal">
      <formula>1</formula>
    </cfRule>
  </conditionalFormatting>
  <conditionalFormatting sqref="M389:N389">
    <cfRule type="cellIs" dxfId="414" priority="542" operator="equal">
      <formula>0</formula>
    </cfRule>
    <cfRule type="cellIs" dxfId="413" priority="543" operator="equal">
      <formula>1</formula>
    </cfRule>
  </conditionalFormatting>
  <conditionalFormatting sqref="M398:N398">
    <cfRule type="cellIs" dxfId="412" priority="540" operator="equal">
      <formula>0</formula>
    </cfRule>
    <cfRule type="cellIs" dxfId="411" priority="541" operator="equal">
      <formula>1</formula>
    </cfRule>
  </conditionalFormatting>
  <conditionalFormatting sqref="M407:N407">
    <cfRule type="cellIs" dxfId="410" priority="538" operator="equal">
      <formula>0</formula>
    </cfRule>
    <cfRule type="cellIs" dxfId="409" priority="539" operator="equal">
      <formula>1</formula>
    </cfRule>
  </conditionalFormatting>
  <conditionalFormatting sqref="M416:N416">
    <cfRule type="cellIs" dxfId="408" priority="536" operator="equal">
      <formula>0</formula>
    </cfRule>
    <cfRule type="cellIs" dxfId="407" priority="537" operator="equal">
      <formula>1</formula>
    </cfRule>
  </conditionalFormatting>
  <conditionalFormatting sqref="M427:N427">
    <cfRule type="cellIs" dxfId="406" priority="534" operator="equal">
      <formula>0</formula>
    </cfRule>
    <cfRule type="cellIs" dxfId="405" priority="535" operator="equal">
      <formula>1</formula>
    </cfRule>
  </conditionalFormatting>
  <conditionalFormatting sqref="M436:N436">
    <cfRule type="cellIs" dxfId="404" priority="532" operator="equal">
      <formula>0</formula>
    </cfRule>
    <cfRule type="cellIs" dxfId="403" priority="533" operator="equal">
      <formula>1</formula>
    </cfRule>
  </conditionalFormatting>
  <conditionalFormatting sqref="M445:N445">
    <cfRule type="cellIs" dxfId="402" priority="530" operator="equal">
      <formula>0</formula>
    </cfRule>
    <cfRule type="cellIs" dxfId="401" priority="531" operator="equal">
      <formula>1</formula>
    </cfRule>
  </conditionalFormatting>
  <conditionalFormatting sqref="M460:N460">
    <cfRule type="cellIs" dxfId="400" priority="528" operator="equal">
      <formula>0</formula>
    </cfRule>
    <cfRule type="cellIs" dxfId="399" priority="529" operator="equal">
      <formula>1</formula>
    </cfRule>
  </conditionalFormatting>
  <conditionalFormatting sqref="M467:N467">
    <cfRule type="cellIs" dxfId="398" priority="526" operator="equal">
      <formula>0</formula>
    </cfRule>
    <cfRule type="cellIs" dxfId="397" priority="527" operator="equal">
      <formula>1</formula>
    </cfRule>
  </conditionalFormatting>
  <conditionalFormatting sqref="M478:N478">
    <cfRule type="cellIs" dxfId="396" priority="524" operator="equal">
      <formula>0</formula>
    </cfRule>
    <cfRule type="cellIs" dxfId="395" priority="525" operator="equal">
      <formula>1</formula>
    </cfRule>
  </conditionalFormatting>
  <conditionalFormatting sqref="M483:N483">
    <cfRule type="cellIs" dxfId="394" priority="522" operator="equal">
      <formula>0</formula>
    </cfRule>
    <cfRule type="cellIs" dxfId="393" priority="523" operator="equal">
      <formula>1</formula>
    </cfRule>
  </conditionalFormatting>
  <conditionalFormatting sqref="M490:N490">
    <cfRule type="cellIs" dxfId="392" priority="520" operator="equal">
      <formula>0</formula>
    </cfRule>
    <cfRule type="cellIs" dxfId="391" priority="521" operator="equal">
      <formula>1</formula>
    </cfRule>
  </conditionalFormatting>
  <conditionalFormatting sqref="M500:N500">
    <cfRule type="cellIs" dxfId="390" priority="518" operator="equal">
      <formula>0</formula>
    </cfRule>
    <cfRule type="cellIs" dxfId="389" priority="519" operator="equal">
      <formula>1</formula>
    </cfRule>
  </conditionalFormatting>
  <conditionalFormatting sqref="M530:N530">
    <cfRule type="cellIs" dxfId="388" priority="516" operator="equal">
      <formula>0</formula>
    </cfRule>
    <cfRule type="cellIs" dxfId="387" priority="517" operator="equal">
      <formula>1</formula>
    </cfRule>
  </conditionalFormatting>
  <conditionalFormatting sqref="Z1:AG3">
    <cfRule type="cellIs" dxfId="386" priority="512" operator="equal">
      <formula>0</formula>
    </cfRule>
    <cfRule type="cellIs" dxfId="385" priority="513" operator="equal">
      <formula>1</formula>
    </cfRule>
  </conditionalFormatting>
  <conditionalFormatting sqref="K545">
    <cfRule type="cellIs" dxfId="384" priority="510" operator="equal">
      <formula>0</formula>
    </cfRule>
    <cfRule type="cellIs" dxfId="383" priority="511" operator="equal">
      <formula>1</formula>
    </cfRule>
  </conditionalFormatting>
  <conditionalFormatting sqref="J545">
    <cfRule type="cellIs" dxfId="382" priority="508" operator="equal">
      <formula>0</formula>
    </cfRule>
    <cfRule type="cellIs" dxfId="381" priority="509" operator="equal">
      <formula>1</formula>
    </cfRule>
  </conditionalFormatting>
  <conditionalFormatting sqref="M545:N545">
    <cfRule type="cellIs" dxfId="380" priority="506" operator="equal">
      <formula>0</formula>
    </cfRule>
    <cfRule type="cellIs" dxfId="379" priority="507" operator="equal">
      <formula>1</formula>
    </cfRule>
  </conditionalFormatting>
  <conditionalFormatting sqref="K564">
    <cfRule type="cellIs" dxfId="378" priority="495" operator="equal">
      <formula>0</formula>
    </cfRule>
    <cfRule type="cellIs" dxfId="377" priority="496" operator="equal">
      <formula>1</formula>
    </cfRule>
  </conditionalFormatting>
  <conditionalFormatting sqref="J564">
    <cfRule type="cellIs" dxfId="376" priority="493" operator="equal">
      <formula>0</formula>
    </cfRule>
    <cfRule type="cellIs" dxfId="375" priority="494" operator="equal">
      <formula>1</formula>
    </cfRule>
  </conditionalFormatting>
  <conditionalFormatting sqref="M564:N564">
    <cfRule type="cellIs" dxfId="374" priority="491" operator="equal">
      <formula>0</formula>
    </cfRule>
    <cfRule type="cellIs" dxfId="373" priority="492" operator="equal">
      <formula>1</formula>
    </cfRule>
  </conditionalFormatting>
  <conditionalFormatting sqref="K575">
    <cfRule type="cellIs" dxfId="372" priority="489" operator="equal">
      <formula>0</formula>
    </cfRule>
    <cfRule type="cellIs" dxfId="371" priority="490" operator="equal">
      <formula>1</formula>
    </cfRule>
  </conditionalFormatting>
  <conditionalFormatting sqref="J575">
    <cfRule type="cellIs" dxfId="370" priority="487" operator="equal">
      <formula>0</formula>
    </cfRule>
    <cfRule type="cellIs" dxfId="369" priority="488" operator="equal">
      <formula>1</formula>
    </cfRule>
  </conditionalFormatting>
  <conditionalFormatting sqref="M575:N575">
    <cfRule type="cellIs" dxfId="368" priority="485" operator="equal">
      <formula>0</formula>
    </cfRule>
    <cfRule type="cellIs" dxfId="367" priority="486" operator="equal">
      <formula>1</formula>
    </cfRule>
  </conditionalFormatting>
  <conditionalFormatting sqref="K586">
    <cfRule type="cellIs" dxfId="366" priority="483" operator="equal">
      <formula>0</formula>
    </cfRule>
    <cfRule type="cellIs" dxfId="365" priority="484" operator="equal">
      <formula>1</formula>
    </cfRule>
  </conditionalFormatting>
  <conditionalFormatting sqref="J586">
    <cfRule type="cellIs" dxfId="364" priority="481" operator="equal">
      <formula>0</formula>
    </cfRule>
    <cfRule type="cellIs" dxfId="363" priority="482" operator="equal">
      <formula>1</formula>
    </cfRule>
  </conditionalFormatting>
  <conditionalFormatting sqref="M586:N586">
    <cfRule type="cellIs" dxfId="362" priority="479" operator="equal">
      <formula>0</formula>
    </cfRule>
    <cfRule type="cellIs" dxfId="361" priority="480" operator="equal">
      <formula>1</formula>
    </cfRule>
  </conditionalFormatting>
  <conditionalFormatting sqref="J317">
    <cfRule type="cellIs" dxfId="360" priority="477" operator="equal">
      <formula>0</formula>
    </cfRule>
    <cfRule type="cellIs" dxfId="359" priority="478" operator="equal">
      <formula>1</formula>
    </cfRule>
  </conditionalFormatting>
  <conditionalFormatting sqref="J326">
    <cfRule type="cellIs" dxfId="358" priority="475" operator="equal">
      <formula>0</formula>
    </cfRule>
    <cfRule type="cellIs" dxfId="357" priority="476" operator="equal">
      <formula>1</formula>
    </cfRule>
  </conditionalFormatting>
  <conditionalFormatting sqref="J335">
    <cfRule type="cellIs" dxfId="356" priority="473" operator="equal">
      <formula>0</formula>
    </cfRule>
    <cfRule type="cellIs" dxfId="355" priority="474" operator="equal">
      <formula>1</formula>
    </cfRule>
  </conditionalFormatting>
  <conditionalFormatting sqref="J344">
    <cfRule type="cellIs" dxfId="354" priority="471" operator="equal">
      <formula>0</formula>
    </cfRule>
    <cfRule type="cellIs" dxfId="353" priority="472" operator="equal">
      <formula>1</formula>
    </cfRule>
  </conditionalFormatting>
  <conditionalFormatting sqref="J353">
    <cfRule type="cellIs" dxfId="352" priority="469" operator="equal">
      <formula>0</formula>
    </cfRule>
    <cfRule type="cellIs" dxfId="351" priority="470" operator="equal">
      <formula>1</formula>
    </cfRule>
  </conditionalFormatting>
  <conditionalFormatting sqref="J362">
    <cfRule type="cellIs" dxfId="350" priority="467" operator="equal">
      <formula>0</formula>
    </cfRule>
    <cfRule type="cellIs" dxfId="349" priority="468" operator="equal">
      <formula>1</formula>
    </cfRule>
  </conditionalFormatting>
  <conditionalFormatting sqref="J389">
    <cfRule type="cellIs" dxfId="348" priority="465" operator="equal">
      <formula>0</formula>
    </cfRule>
    <cfRule type="cellIs" dxfId="347" priority="466" operator="equal">
      <formula>1</formula>
    </cfRule>
  </conditionalFormatting>
  <conditionalFormatting sqref="J398">
    <cfRule type="cellIs" dxfId="346" priority="463" operator="equal">
      <formula>0</formula>
    </cfRule>
    <cfRule type="cellIs" dxfId="345" priority="464" operator="equal">
      <formula>1</formula>
    </cfRule>
  </conditionalFormatting>
  <conditionalFormatting sqref="J407">
    <cfRule type="cellIs" dxfId="344" priority="461" operator="equal">
      <formula>0</formula>
    </cfRule>
    <cfRule type="cellIs" dxfId="343" priority="462" operator="equal">
      <formula>1</formula>
    </cfRule>
  </conditionalFormatting>
  <conditionalFormatting sqref="J427">
    <cfRule type="cellIs" dxfId="342" priority="459" operator="equal">
      <formula>0</formula>
    </cfRule>
    <cfRule type="cellIs" dxfId="341" priority="460" operator="equal">
      <formula>1</formula>
    </cfRule>
  </conditionalFormatting>
  <conditionalFormatting sqref="J436">
    <cfRule type="cellIs" dxfId="340" priority="457" operator="equal">
      <formula>0</formula>
    </cfRule>
    <cfRule type="cellIs" dxfId="339" priority="458" operator="equal">
      <formula>1</formula>
    </cfRule>
  </conditionalFormatting>
  <conditionalFormatting sqref="K593">
    <cfRule type="cellIs" dxfId="338" priority="455" operator="equal">
      <formula>0</formula>
    </cfRule>
    <cfRule type="cellIs" dxfId="337" priority="456" operator="equal">
      <formula>1</formula>
    </cfRule>
  </conditionalFormatting>
  <conditionalFormatting sqref="J593">
    <cfRule type="cellIs" dxfId="336" priority="453" operator="equal">
      <formula>0</formula>
    </cfRule>
    <cfRule type="cellIs" dxfId="335" priority="454" operator="equal">
      <formula>1</formula>
    </cfRule>
  </conditionalFormatting>
  <conditionalFormatting sqref="M593:N593">
    <cfRule type="cellIs" dxfId="334" priority="451" operator="equal">
      <formula>0</formula>
    </cfRule>
    <cfRule type="cellIs" dxfId="333" priority="452" operator="equal">
      <formula>1</formula>
    </cfRule>
  </conditionalFormatting>
  <conditionalFormatting sqref="K600">
    <cfRule type="cellIs" dxfId="332" priority="449" operator="equal">
      <formula>0</formula>
    </cfRule>
    <cfRule type="cellIs" dxfId="331" priority="450" operator="equal">
      <formula>1</formula>
    </cfRule>
  </conditionalFormatting>
  <conditionalFormatting sqref="J600">
    <cfRule type="cellIs" dxfId="330" priority="447" operator="equal">
      <formula>0</formula>
    </cfRule>
    <cfRule type="cellIs" dxfId="329" priority="448" operator="equal">
      <formula>1</formula>
    </cfRule>
  </conditionalFormatting>
  <conditionalFormatting sqref="M600:N600">
    <cfRule type="cellIs" dxfId="328" priority="445" operator="equal">
      <formula>0</formula>
    </cfRule>
    <cfRule type="cellIs" dxfId="327" priority="446" operator="equal">
      <formula>1</formula>
    </cfRule>
  </conditionalFormatting>
  <conditionalFormatting sqref="K607">
    <cfRule type="cellIs" dxfId="326" priority="443" operator="equal">
      <formula>0</formula>
    </cfRule>
    <cfRule type="cellIs" dxfId="325" priority="444" operator="equal">
      <formula>1</formula>
    </cfRule>
  </conditionalFormatting>
  <conditionalFormatting sqref="J607">
    <cfRule type="cellIs" dxfId="324" priority="437" operator="equal">
      <formula>0</formula>
    </cfRule>
    <cfRule type="cellIs" dxfId="323" priority="438" operator="equal">
      <formula>1</formula>
    </cfRule>
  </conditionalFormatting>
  <conditionalFormatting sqref="M607:N607">
    <cfRule type="cellIs" dxfId="322" priority="435" operator="equal">
      <formula>0</formula>
    </cfRule>
    <cfRule type="cellIs" dxfId="321" priority="436" operator="equal">
      <formula>1</formula>
    </cfRule>
  </conditionalFormatting>
  <conditionalFormatting sqref="K614">
    <cfRule type="cellIs" dxfId="320" priority="433" operator="equal">
      <formula>0</formula>
    </cfRule>
    <cfRule type="cellIs" dxfId="319" priority="434" operator="equal">
      <formula>1</formula>
    </cfRule>
  </conditionalFormatting>
  <conditionalFormatting sqref="J614">
    <cfRule type="cellIs" dxfId="318" priority="427" operator="equal">
      <formula>0</formula>
    </cfRule>
    <cfRule type="cellIs" dxfId="317" priority="428" operator="equal">
      <formula>1</formula>
    </cfRule>
  </conditionalFormatting>
  <conditionalFormatting sqref="M614:N614">
    <cfRule type="cellIs" dxfId="316" priority="425" operator="equal">
      <formula>0</formula>
    </cfRule>
    <cfRule type="cellIs" dxfId="315" priority="426" operator="equal">
      <formula>1</formula>
    </cfRule>
  </conditionalFormatting>
  <conditionalFormatting sqref="K621">
    <cfRule type="cellIs" dxfId="314" priority="423" operator="equal">
      <formula>0</formula>
    </cfRule>
    <cfRule type="cellIs" dxfId="313" priority="424" operator="equal">
      <formula>1</formula>
    </cfRule>
  </conditionalFormatting>
  <conditionalFormatting sqref="J621">
    <cfRule type="cellIs" dxfId="312" priority="417" operator="equal">
      <formula>0</formula>
    </cfRule>
    <cfRule type="cellIs" dxfId="311" priority="418" operator="equal">
      <formula>1</formula>
    </cfRule>
  </conditionalFormatting>
  <conditionalFormatting sqref="M621:N621">
    <cfRule type="cellIs" dxfId="310" priority="415" operator="equal">
      <formula>0</formula>
    </cfRule>
    <cfRule type="cellIs" dxfId="309" priority="416" operator="equal">
      <formula>1</formula>
    </cfRule>
  </conditionalFormatting>
  <conditionalFormatting sqref="K629">
    <cfRule type="cellIs" dxfId="308" priority="407" operator="equal">
      <formula>0</formula>
    </cfRule>
    <cfRule type="cellIs" dxfId="307" priority="408" operator="equal">
      <formula>1</formula>
    </cfRule>
  </conditionalFormatting>
  <conditionalFormatting sqref="K647">
    <cfRule type="cellIs" dxfId="306" priority="401" operator="equal">
      <formula>0</formula>
    </cfRule>
    <cfRule type="cellIs" dxfId="305" priority="402" operator="equal">
      <formula>1</formula>
    </cfRule>
  </conditionalFormatting>
  <conditionalFormatting sqref="K655">
    <cfRule type="cellIs" dxfId="304" priority="395" operator="equal">
      <formula>0</formula>
    </cfRule>
    <cfRule type="cellIs" dxfId="303" priority="396" operator="equal">
      <formula>1</formula>
    </cfRule>
  </conditionalFormatting>
  <conditionalFormatting sqref="K663">
    <cfRule type="cellIs" dxfId="302" priority="389" operator="equal">
      <formula>0</formula>
    </cfRule>
    <cfRule type="cellIs" dxfId="301" priority="390" operator="equal">
      <formula>1</formula>
    </cfRule>
  </conditionalFormatting>
  <conditionalFormatting sqref="K672">
    <cfRule type="cellIs" dxfId="300" priority="383" operator="equal">
      <formula>0</formula>
    </cfRule>
    <cfRule type="cellIs" dxfId="299" priority="384" operator="equal">
      <formula>1</formula>
    </cfRule>
  </conditionalFormatting>
  <conditionalFormatting sqref="K681">
    <cfRule type="cellIs" dxfId="298" priority="377" operator="equal">
      <formula>0</formula>
    </cfRule>
    <cfRule type="cellIs" dxfId="297" priority="378" operator="equal">
      <formula>1</formula>
    </cfRule>
  </conditionalFormatting>
  <conditionalFormatting sqref="K690">
    <cfRule type="cellIs" dxfId="296" priority="371" operator="equal">
      <formula>0</formula>
    </cfRule>
    <cfRule type="cellIs" dxfId="295" priority="372" operator="equal">
      <formula>1</formula>
    </cfRule>
  </conditionalFormatting>
  <conditionalFormatting sqref="K699">
    <cfRule type="cellIs" dxfId="294" priority="365" operator="equal">
      <formula>0</formula>
    </cfRule>
    <cfRule type="cellIs" dxfId="293" priority="366" operator="equal">
      <formula>1</formula>
    </cfRule>
  </conditionalFormatting>
  <conditionalFormatting sqref="K708">
    <cfRule type="cellIs" dxfId="292" priority="359" operator="equal">
      <formula>0</formula>
    </cfRule>
    <cfRule type="cellIs" dxfId="291" priority="360" operator="equal">
      <formula>1</formula>
    </cfRule>
  </conditionalFormatting>
  <conditionalFormatting sqref="K717">
    <cfRule type="cellIs" dxfId="290" priority="353" operator="equal">
      <formula>0</formula>
    </cfRule>
    <cfRule type="cellIs" dxfId="289" priority="354" operator="equal">
      <formula>1</formula>
    </cfRule>
  </conditionalFormatting>
  <conditionalFormatting sqref="K726">
    <cfRule type="cellIs" dxfId="288" priority="347" operator="equal">
      <formula>0</formula>
    </cfRule>
    <cfRule type="cellIs" dxfId="287" priority="348" operator="equal">
      <formula>1</formula>
    </cfRule>
  </conditionalFormatting>
  <conditionalFormatting sqref="K735">
    <cfRule type="cellIs" dxfId="286" priority="341" operator="equal">
      <formula>0</formula>
    </cfRule>
    <cfRule type="cellIs" dxfId="285" priority="342" operator="equal">
      <formula>1</formula>
    </cfRule>
  </conditionalFormatting>
  <conditionalFormatting sqref="K744">
    <cfRule type="cellIs" dxfId="284" priority="335" operator="equal">
      <formula>0</formula>
    </cfRule>
    <cfRule type="cellIs" dxfId="283" priority="336" operator="equal">
      <formula>1</formula>
    </cfRule>
  </conditionalFormatting>
  <conditionalFormatting sqref="K753">
    <cfRule type="cellIs" dxfId="282" priority="329" operator="equal">
      <formula>0</formula>
    </cfRule>
    <cfRule type="cellIs" dxfId="281" priority="330" operator="equal">
      <formula>1</formula>
    </cfRule>
  </conditionalFormatting>
  <conditionalFormatting sqref="K762">
    <cfRule type="cellIs" dxfId="280" priority="323" operator="equal">
      <formula>0</formula>
    </cfRule>
    <cfRule type="cellIs" dxfId="279" priority="324" operator="equal">
      <formula>1</formula>
    </cfRule>
  </conditionalFormatting>
  <conditionalFormatting sqref="K770">
    <cfRule type="cellIs" dxfId="278" priority="317" operator="equal">
      <formula>0</formula>
    </cfRule>
    <cfRule type="cellIs" dxfId="277" priority="318" operator="equal">
      <formula>1</formula>
    </cfRule>
  </conditionalFormatting>
  <conditionalFormatting sqref="K782">
    <cfRule type="cellIs" dxfId="276" priority="311" operator="equal">
      <formula>0</formula>
    </cfRule>
    <cfRule type="cellIs" dxfId="275" priority="312" operator="equal">
      <formula>1</formula>
    </cfRule>
  </conditionalFormatting>
  <conditionalFormatting sqref="K793">
    <cfRule type="cellIs" dxfId="274" priority="305" operator="equal">
      <formula>0</formula>
    </cfRule>
    <cfRule type="cellIs" dxfId="273" priority="306" operator="equal">
      <formula>1</formula>
    </cfRule>
  </conditionalFormatting>
  <conditionalFormatting sqref="K637">
    <cfRule type="cellIs" dxfId="272" priority="299" operator="equal">
      <formula>0</formula>
    </cfRule>
    <cfRule type="cellIs" dxfId="271" priority="300" operator="equal">
      <formula>1</formula>
    </cfRule>
  </conditionalFormatting>
  <conditionalFormatting sqref="J629">
    <cfRule type="cellIs" dxfId="270" priority="293" operator="equal">
      <formula>0</formula>
    </cfRule>
    <cfRule type="cellIs" dxfId="269" priority="294" operator="equal">
      <formula>1</formula>
    </cfRule>
  </conditionalFormatting>
  <conditionalFormatting sqref="M629:N629">
    <cfRule type="cellIs" dxfId="268" priority="291" operator="equal">
      <formula>0</formula>
    </cfRule>
    <cfRule type="cellIs" dxfId="267" priority="292" operator="equal">
      <formula>1</formula>
    </cfRule>
  </conditionalFormatting>
  <conditionalFormatting sqref="M637:N637">
    <cfRule type="cellIs" dxfId="266" priority="289" operator="equal">
      <formula>0</formula>
    </cfRule>
    <cfRule type="cellIs" dxfId="265" priority="290" operator="equal">
      <formula>1</formula>
    </cfRule>
  </conditionalFormatting>
  <conditionalFormatting sqref="M647:N647">
    <cfRule type="cellIs" dxfId="264" priority="287" operator="equal">
      <formula>0</formula>
    </cfRule>
    <cfRule type="cellIs" dxfId="263" priority="288" operator="equal">
      <formula>1</formula>
    </cfRule>
  </conditionalFormatting>
  <conditionalFormatting sqref="M655:N655">
    <cfRule type="cellIs" dxfId="262" priority="285" operator="equal">
      <formula>0</formula>
    </cfRule>
    <cfRule type="cellIs" dxfId="261" priority="286" operator="equal">
      <formula>1</formula>
    </cfRule>
  </conditionalFormatting>
  <conditionalFormatting sqref="M663:N663">
    <cfRule type="cellIs" dxfId="260" priority="283" operator="equal">
      <formula>0</formula>
    </cfRule>
    <cfRule type="cellIs" dxfId="259" priority="284" operator="equal">
      <formula>1</formula>
    </cfRule>
  </conditionalFormatting>
  <conditionalFormatting sqref="M672:N672">
    <cfRule type="cellIs" dxfId="258" priority="281" operator="equal">
      <formula>0</formula>
    </cfRule>
    <cfRule type="cellIs" dxfId="257" priority="282" operator="equal">
      <formula>1</formula>
    </cfRule>
  </conditionalFormatting>
  <conditionalFormatting sqref="M681:N681">
    <cfRule type="cellIs" dxfId="256" priority="279" operator="equal">
      <formula>0</formula>
    </cfRule>
    <cfRule type="cellIs" dxfId="255" priority="280" operator="equal">
      <formula>1</formula>
    </cfRule>
  </conditionalFormatting>
  <conditionalFormatting sqref="M690:N690">
    <cfRule type="cellIs" dxfId="254" priority="277" operator="equal">
      <formula>0</formula>
    </cfRule>
    <cfRule type="cellIs" dxfId="253" priority="278" operator="equal">
      <formula>1</formula>
    </cfRule>
  </conditionalFormatting>
  <conditionalFormatting sqref="M699:N699">
    <cfRule type="cellIs" dxfId="252" priority="275" operator="equal">
      <formula>0</formula>
    </cfRule>
    <cfRule type="cellIs" dxfId="251" priority="276" operator="equal">
      <formula>1</formula>
    </cfRule>
  </conditionalFormatting>
  <conditionalFormatting sqref="M708:N708">
    <cfRule type="cellIs" dxfId="250" priority="273" operator="equal">
      <formula>0</formula>
    </cfRule>
    <cfRule type="cellIs" dxfId="249" priority="274" operator="equal">
      <formula>1</formula>
    </cfRule>
  </conditionalFormatting>
  <conditionalFormatting sqref="M717:N717">
    <cfRule type="cellIs" dxfId="248" priority="271" operator="equal">
      <formula>0</formula>
    </cfRule>
    <cfRule type="cellIs" dxfId="247" priority="272" operator="equal">
      <formula>1</formula>
    </cfRule>
  </conditionalFormatting>
  <conditionalFormatting sqref="M726:N726">
    <cfRule type="cellIs" dxfId="246" priority="269" operator="equal">
      <formula>0</formula>
    </cfRule>
    <cfRule type="cellIs" dxfId="245" priority="270" operator="equal">
      <formula>1</formula>
    </cfRule>
  </conditionalFormatting>
  <conditionalFormatting sqref="M735:N735">
    <cfRule type="cellIs" dxfId="244" priority="267" operator="equal">
      <formula>0</formula>
    </cfRule>
    <cfRule type="cellIs" dxfId="243" priority="268" operator="equal">
      <formula>1</formula>
    </cfRule>
  </conditionalFormatting>
  <conditionalFormatting sqref="M744:N744">
    <cfRule type="cellIs" dxfId="242" priority="265" operator="equal">
      <formula>0</formula>
    </cfRule>
    <cfRule type="cellIs" dxfId="241" priority="266" operator="equal">
      <formula>1</formula>
    </cfRule>
  </conditionalFormatting>
  <conditionalFormatting sqref="M753:N753">
    <cfRule type="cellIs" dxfId="240" priority="263" operator="equal">
      <formula>0</formula>
    </cfRule>
    <cfRule type="cellIs" dxfId="239" priority="264" operator="equal">
      <formula>1</formula>
    </cfRule>
  </conditionalFormatting>
  <conditionalFormatting sqref="M762:N762">
    <cfRule type="cellIs" dxfId="238" priority="261" operator="equal">
      <formula>0</formula>
    </cfRule>
    <cfRule type="cellIs" dxfId="237" priority="262" operator="equal">
      <formula>1</formula>
    </cfRule>
  </conditionalFormatting>
  <conditionalFormatting sqref="M770:N770">
    <cfRule type="cellIs" dxfId="236" priority="259" operator="equal">
      <formula>0</formula>
    </cfRule>
    <cfRule type="cellIs" dxfId="235" priority="260" operator="equal">
      <formula>1</formula>
    </cfRule>
  </conditionalFormatting>
  <conditionalFormatting sqref="M782:N782">
    <cfRule type="cellIs" dxfId="234" priority="257" operator="equal">
      <formula>0</formula>
    </cfRule>
    <cfRule type="cellIs" dxfId="233" priority="258" operator="equal">
      <formula>1</formula>
    </cfRule>
  </conditionalFormatting>
  <conditionalFormatting sqref="M793:N793">
    <cfRule type="cellIs" dxfId="232" priority="255" operator="equal">
      <formula>0</formula>
    </cfRule>
    <cfRule type="cellIs" dxfId="231" priority="256" operator="equal">
      <formula>1</formula>
    </cfRule>
  </conditionalFormatting>
  <conditionalFormatting sqref="J637">
    <cfRule type="cellIs" dxfId="230" priority="253" operator="equal">
      <formula>0</formula>
    </cfRule>
    <cfRule type="cellIs" dxfId="229" priority="254" operator="equal">
      <formula>1</formula>
    </cfRule>
  </conditionalFormatting>
  <conditionalFormatting sqref="J647">
    <cfRule type="cellIs" dxfId="228" priority="251" operator="equal">
      <formula>0</formula>
    </cfRule>
    <cfRule type="cellIs" dxfId="227" priority="252" operator="equal">
      <formula>1</formula>
    </cfRule>
  </conditionalFormatting>
  <conditionalFormatting sqref="J655">
    <cfRule type="cellIs" dxfId="226" priority="249" operator="equal">
      <formula>0</formula>
    </cfRule>
    <cfRule type="cellIs" dxfId="225" priority="250" operator="equal">
      <formula>1</formula>
    </cfRule>
  </conditionalFormatting>
  <conditionalFormatting sqref="J663">
    <cfRule type="cellIs" dxfId="224" priority="245" operator="equal">
      <formula>0</formula>
    </cfRule>
    <cfRule type="cellIs" dxfId="223" priority="246" operator="equal">
      <formula>1</formula>
    </cfRule>
  </conditionalFormatting>
  <conditionalFormatting sqref="J672">
    <cfRule type="cellIs" dxfId="222" priority="243" operator="equal">
      <formula>0</formula>
    </cfRule>
    <cfRule type="cellIs" dxfId="221" priority="244" operator="equal">
      <formula>1</formula>
    </cfRule>
  </conditionalFormatting>
  <conditionalFormatting sqref="J681">
    <cfRule type="cellIs" dxfId="220" priority="241" operator="equal">
      <formula>0</formula>
    </cfRule>
    <cfRule type="cellIs" dxfId="219" priority="242" operator="equal">
      <formula>1</formula>
    </cfRule>
  </conditionalFormatting>
  <conditionalFormatting sqref="J690">
    <cfRule type="cellIs" dxfId="218" priority="239" operator="equal">
      <formula>0</formula>
    </cfRule>
    <cfRule type="cellIs" dxfId="217" priority="240" operator="equal">
      <formula>1</formula>
    </cfRule>
  </conditionalFormatting>
  <conditionalFormatting sqref="J699">
    <cfRule type="cellIs" dxfId="216" priority="237" operator="equal">
      <formula>0</formula>
    </cfRule>
    <cfRule type="cellIs" dxfId="215" priority="238" operator="equal">
      <formula>1</formula>
    </cfRule>
  </conditionalFormatting>
  <conditionalFormatting sqref="J708">
    <cfRule type="cellIs" dxfId="214" priority="235" operator="equal">
      <formula>0</formula>
    </cfRule>
    <cfRule type="cellIs" dxfId="213" priority="236" operator="equal">
      <formula>1</formula>
    </cfRule>
  </conditionalFormatting>
  <conditionalFormatting sqref="J717">
    <cfRule type="cellIs" dxfId="212" priority="233" operator="equal">
      <formula>0</formula>
    </cfRule>
    <cfRule type="cellIs" dxfId="211" priority="234" operator="equal">
      <formula>1</formula>
    </cfRule>
  </conditionalFormatting>
  <conditionalFormatting sqref="J726">
    <cfRule type="cellIs" dxfId="210" priority="231" operator="equal">
      <formula>0</formula>
    </cfRule>
    <cfRule type="cellIs" dxfId="209" priority="232" operator="equal">
      <formula>1</formula>
    </cfRule>
  </conditionalFormatting>
  <conditionalFormatting sqref="J735">
    <cfRule type="cellIs" dxfId="208" priority="229" operator="equal">
      <formula>0</formula>
    </cfRule>
    <cfRule type="cellIs" dxfId="207" priority="230" operator="equal">
      <formula>1</formula>
    </cfRule>
  </conditionalFormatting>
  <conditionalFormatting sqref="J744">
    <cfRule type="cellIs" dxfId="206" priority="227" operator="equal">
      <formula>0</formula>
    </cfRule>
    <cfRule type="cellIs" dxfId="205" priority="228" operator="equal">
      <formula>1</formula>
    </cfRule>
  </conditionalFormatting>
  <conditionalFormatting sqref="J753">
    <cfRule type="cellIs" dxfId="204" priority="225" operator="equal">
      <formula>0</formula>
    </cfRule>
    <cfRule type="cellIs" dxfId="203" priority="226" operator="equal">
      <formula>1</formula>
    </cfRule>
  </conditionalFormatting>
  <conditionalFormatting sqref="J793">
    <cfRule type="cellIs" dxfId="202" priority="223" operator="equal">
      <formula>0</formula>
    </cfRule>
    <cfRule type="cellIs" dxfId="201" priority="224" operator="equal">
      <formula>1</formula>
    </cfRule>
  </conditionalFormatting>
  <conditionalFormatting sqref="J762">
    <cfRule type="cellIs" dxfId="200" priority="221" operator="equal">
      <formula>0</formula>
    </cfRule>
    <cfRule type="cellIs" dxfId="199" priority="222" operator="equal">
      <formula>1</formula>
    </cfRule>
  </conditionalFormatting>
  <conditionalFormatting sqref="J770">
    <cfRule type="cellIs" dxfId="198" priority="219" operator="equal">
      <formula>0</formula>
    </cfRule>
    <cfRule type="cellIs" dxfId="197" priority="220" operator="equal">
      <formula>1</formula>
    </cfRule>
  </conditionalFormatting>
  <conditionalFormatting sqref="J782">
    <cfRule type="cellIs" dxfId="196" priority="217" operator="equal">
      <formula>0</formula>
    </cfRule>
    <cfRule type="cellIs" dxfId="195" priority="218" operator="equal">
      <formula>1</formula>
    </cfRule>
  </conditionalFormatting>
  <conditionalFormatting sqref="K801">
    <cfRule type="cellIs" dxfId="194" priority="215" operator="equal">
      <formula>0</formula>
    </cfRule>
    <cfRule type="cellIs" dxfId="193" priority="216" operator="equal">
      <formula>1</formula>
    </cfRule>
  </conditionalFormatting>
  <conditionalFormatting sqref="M801:N801">
    <cfRule type="cellIs" dxfId="192" priority="213" operator="equal">
      <formula>0</formula>
    </cfRule>
    <cfRule type="cellIs" dxfId="191" priority="214" operator="equal">
      <formula>1</formula>
    </cfRule>
  </conditionalFormatting>
  <conditionalFormatting sqref="J801">
    <cfRule type="cellIs" dxfId="190" priority="211" operator="equal">
      <formula>0</formula>
    </cfRule>
    <cfRule type="cellIs" dxfId="189" priority="212" operator="equal">
      <formula>1</formula>
    </cfRule>
  </conditionalFormatting>
  <conditionalFormatting sqref="K810">
    <cfRule type="cellIs" dxfId="188" priority="209" operator="equal">
      <formula>0</formula>
    </cfRule>
    <cfRule type="cellIs" dxfId="187" priority="210" operator="equal">
      <formula>1</formula>
    </cfRule>
  </conditionalFormatting>
  <conditionalFormatting sqref="M810:N810">
    <cfRule type="cellIs" dxfId="186" priority="207" operator="equal">
      <formula>0</formula>
    </cfRule>
    <cfRule type="cellIs" dxfId="185" priority="208" operator="equal">
      <formula>1</formula>
    </cfRule>
  </conditionalFormatting>
  <conditionalFormatting sqref="J810">
    <cfRule type="cellIs" dxfId="184" priority="205" operator="equal">
      <formula>0</formula>
    </cfRule>
    <cfRule type="cellIs" dxfId="183" priority="206" operator="equal">
      <formula>1</formula>
    </cfRule>
  </conditionalFormatting>
  <conditionalFormatting sqref="K815">
    <cfRule type="cellIs" dxfId="182" priority="203" operator="equal">
      <formula>0</formula>
    </cfRule>
    <cfRule type="cellIs" dxfId="181" priority="204" operator="equal">
      <formula>1</formula>
    </cfRule>
  </conditionalFormatting>
  <conditionalFormatting sqref="M815:N815">
    <cfRule type="cellIs" dxfId="180" priority="201" operator="equal">
      <formula>0</formula>
    </cfRule>
    <cfRule type="cellIs" dxfId="179" priority="202" operator="equal">
      <formula>1</formula>
    </cfRule>
  </conditionalFormatting>
  <conditionalFormatting sqref="J815">
    <cfRule type="cellIs" dxfId="178" priority="199" operator="equal">
      <formula>0</formula>
    </cfRule>
    <cfRule type="cellIs" dxfId="177" priority="200" operator="equal">
      <formula>1</formula>
    </cfRule>
  </conditionalFormatting>
  <conditionalFormatting sqref="K821">
    <cfRule type="cellIs" dxfId="176" priority="197" operator="equal">
      <formula>0</formula>
    </cfRule>
    <cfRule type="cellIs" dxfId="175" priority="198" operator="equal">
      <formula>1</formula>
    </cfRule>
  </conditionalFormatting>
  <conditionalFormatting sqref="M821:N821">
    <cfRule type="cellIs" dxfId="174" priority="195" operator="equal">
      <formula>0</formula>
    </cfRule>
    <cfRule type="cellIs" dxfId="173" priority="196" operator="equal">
      <formula>1</formula>
    </cfRule>
  </conditionalFormatting>
  <conditionalFormatting sqref="J821">
    <cfRule type="cellIs" dxfId="172" priority="193" operator="equal">
      <formula>0</formula>
    </cfRule>
    <cfRule type="cellIs" dxfId="171" priority="194" operator="equal">
      <formula>1</formula>
    </cfRule>
  </conditionalFormatting>
  <conditionalFormatting sqref="K827">
    <cfRule type="cellIs" dxfId="170" priority="191" operator="equal">
      <formula>0</formula>
    </cfRule>
    <cfRule type="cellIs" dxfId="169" priority="192" operator="equal">
      <formula>1</formula>
    </cfRule>
  </conditionalFormatting>
  <conditionalFormatting sqref="M827:N827">
    <cfRule type="cellIs" dxfId="168" priority="189" operator="equal">
      <formula>0</formula>
    </cfRule>
    <cfRule type="cellIs" dxfId="167" priority="190" operator="equal">
      <formula>1</formula>
    </cfRule>
  </conditionalFormatting>
  <conditionalFormatting sqref="J827">
    <cfRule type="cellIs" dxfId="166" priority="187" operator="equal">
      <formula>0</formula>
    </cfRule>
    <cfRule type="cellIs" dxfId="165" priority="188" operator="equal">
      <formula>1</formula>
    </cfRule>
  </conditionalFormatting>
  <conditionalFormatting sqref="K833">
    <cfRule type="cellIs" dxfId="164" priority="185" operator="equal">
      <formula>0</formula>
    </cfRule>
    <cfRule type="cellIs" dxfId="163" priority="186" operator="equal">
      <formula>1</formula>
    </cfRule>
  </conditionalFormatting>
  <conditionalFormatting sqref="M833:N833">
    <cfRule type="cellIs" dxfId="162" priority="183" operator="equal">
      <formula>0</formula>
    </cfRule>
    <cfRule type="cellIs" dxfId="161" priority="184" operator="equal">
      <formula>1</formula>
    </cfRule>
  </conditionalFormatting>
  <conditionalFormatting sqref="J833">
    <cfRule type="cellIs" dxfId="160" priority="181" operator="equal">
      <formula>0</formula>
    </cfRule>
    <cfRule type="cellIs" dxfId="159" priority="182" operator="equal">
      <formula>1</formula>
    </cfRule>
  </conditionalFormatting>
  <conditionalFormatting sqref="K843">
    <cfRule type="cellIs" dxfId="158" priority="179" operator="equal">
      <formula>0</formula>
    </cfRule>
    <cfRule type="cellIs" dxfId="157" priority="180" operator="equal">
      <formula>1</formula>
    </cfRule>
  </conditionalFormatting>
  <conditionalFormatting sqref="M843:N843">
    <cfRule type="cellIs" dxfId="156" priority="177" operator="equal">
      <formula>0</formula>
    </cfRule>
    <cfRule type="cellIs" dxfId="155" priority="178" operator="equal">
      <formula>1</formula>
    </cfRule>
  </conditionalFormatting>
  <conditionalFormatting sqref="J843">
    <cfRule type="cellIs" dxfId="154" priority="175" operator="equal">
      <formula>0</formula>
    </cfRule>
    <cfRule type="cellIs" dxfId="153" priority="176" operator="equal">
      <formula>1</formula>
    </cfRule>
  </conditionalFormatting>
  <conditionalFormatting sqref="K849">
    <cfRule type="cellIs" dxfId="152" priority="173" operator="equal">
      <formula>0</formula>
    </cfRule>
    <cfRule type="cellIs" dxfId="151" priority="174" operator="equal">
      <formula>1</formula>
    </cfRule>
  </conditionalFormatting>
  <conditionalFormatting sqref="M849:N849">
    <cfRule type="cellIs" dxfId="150" priority="171" operator="equal">
      <formula>0</formula>
    </cfRule>
    <cfRule type="cellIs" dxfId="149" priority="172" operator="equal">
      <formula>1</formula>
    </cfRule>
  </conditionalFormatting>
  <conditionalFormatting sqref="J849">
    <cfRule type="cellIs" dxfId="148" priority="169" operator="equal">
      <formula>0</formula>
    </cfRule>
    <cfRule type="cellIs" dxfId="147" priority="170" operator="equal">
      <formula>1</formula>
    </cfRule>
  </conditionalFormatting>
  <conditionalFormatting sqref="K855">
    <cfRule type="cellIs" dxfId="146" priority="167" operator="equal">
      <formula>0</formula>
    </cfRule>
    <cfRule type="cellIs" dxfId="145" priority="168" operator="equal">
      <formula>1</formula>
    </cfRule>
  </conditionalFormatting>
  <conditionalFormatting sqref="M855:N855">
    <cfRule type="cellIs" dxfId="144" priority="165" operator="equal">
      <formula>0</formula>
    </cfRule>
    <cfRule type="cellIs" dxfId="143" priority="166" operator="equal">
      <formula>1</formula>
    </cfRule>
  </conditionalFormatting>
  <conditionalFormatting sqref="J855">
    <cfRule type="cellIs" dxfId="142" priority="163" operator="equal">
      <formula>0</formula>
    </cfRule>
    <cfRule type="cellIs" dxfId="141" priority="164" operator="equal">
      <formula>1</formula>
    </cfRule>
  </conditionalFormatting>
  <conditionalFormatting sqref="K861">
    <cfRule type="cellIs" dxfId="140" priority="161" operator="equal">
      <formula>0</formula>
    </cfRule>
    <cfRule type="cellIs" dxfId="139" priority="162" operator="equal">
      <formula>1</formula>
    </cfRule>
  </conditionalFormatting>
  <conditionalFormatting sqref="M861:N861">
    <cfRule type="cellIs" dxfId="138" priority="159" operator="equal">
      <formula>0</formula>
    </cfRule>
    <cfRule type="cellIs" dxfId="137" priority="160" operator="equal">
      <formula>1</formula>
    </cfRule>
  </conditionalFormatting>
  <conditionalFormatting sqref="J861">
    <cfRule type="cellIs" dxfId="136" priority="157" operator="equal">
      <formula>0</formula>
    </cfRule>
    <cfRule type="cellIs" dxfId="135" priority="158" operator="equal">
      <formula>1</formula>
    </cfRule>
  </conditionalFormatting>
  <conditionalFormatting sqref="K867">
    <cfRule type="cellIs" dxfId="134" priority="155" operator="equal">
      <formula>0</formula>
    </cfRule>
    <cfRule type="cellIs" dxfId="133" priority="156" operator="equal">
      <formula>1</formula>
    </cfRule>
  </conditionalFormatting>
  <conditionalFormatting sqref="M867:N867">
    <cfRule type="cellIs" dxfId="132" priority="153" operator="equal">
      <formula>0</formula>
    </cfRule>
    <cfRule type="cellIs" dxfId="131" priority="154" operator="equal">
      <formula>1</formula>
    </cfRule>
  </conditionalFormatting>
  <conditionalFormatting sqref="J867">
    <cfRule type="cellIs" dxfId="130" priority="151" operator="equal">
      <formula>0</formula>
    </cfRule>
    <cfRule type="cellIs" dxfId="129" priority="152" operator="equal">
      <formula>1</formula>
    </cfRule>
  </conditionalFormatting>
  <conditionalFormatting sqref="K873">
    <cfRule type="cellIs" dxfId="128" priority="149" operator="equal">
      <formula>0</formula>
    </cfRule>
    <cfRule type="cellIs" dxfId="127" priority="150" operator="equal">
      <formula>1</formula>
    </cfRule>
  </conditionalFormatting>
  <conditionalFormatting sqref="M873:N873">
    <cfRule type="cellIs" dxfId="126" priority="147" operator="equal">
      <formula>0</formula>
    </cfRule>
    <cfRule type="cellIs" dxfId="125" priority="148" operator="equal">
      <formula>1</formula>
    </cfRule>
  </conditionalFormatting>
  <conditionalFormatting sqref="J873">
    <cfRule type="cellIs" dxfId="124" priority="145" operator="equal">
      <formula>0</formula>
    </cfRule>
    <cfRule type="cellIs" dxfId="123" priority="146" operator="equal">
      <formula>1</formula>
    </cfRule>
  </conditionalFormatting>
  <conditionalFormatting sqref="K879">
    <cfRule type="cellIs" dxfId="122" priority="143" operator="equal">
      <formula>0</formula>
    </cfRule>
    <cfRule type="cellIs" dxfId="121" priority="144" operator="equal">
      <formula>1</formula>
    </cfRule>
  </conditionalFormatting>
  <conditionalFormatting sqref="M879:N879">
    <cfRule type="cellIs" dxfId="120" priority="141" operator="equal">
      <formula>0</formula>
    </cfRule>
    <cfRule type="cellIs" dxfId="119" priority="142" operator="equal">
      <formula>1</formula>
    </cfRule>
  </conditionalFormatting>
  <conditionalFormatting sqref="J879">
    <cfRule type="cellIs" dxfId="118" priority="139" operator="equal">
      <formula>0</formula>
    </cfRule>
    <cfRule type="cellIs" dxfId="117" priority="140" operator="equal">
      <formula>1</formula>
    </cfRule>
  </conditionalFormatting>
  <conditionalFormatting sqref="K885">
    <cfRule type="cellIs" dxfId="116" priority="137" operator="equal">
      <formula>0</formula>
    </cfRule>
    <cfRule type="cellIs" dxfId="115" priority="138" operator="equal">
      <formula>1</formula>
    </cfRule>
  </conditionalFormatting>
  <conditionalFormatting sqref="M885:N885">
    <cfRule type="cellIs" dxfId="114" priority="135" operator="equal">
      <formula>0</formula>
    </cfRule>
    <cfRule type="cellIs" dxfId="113" priority="136" operator="equal">
      <formula>1</formula>
    </cfRule>
  </conditionalFormatting>
  <conditionalFormatting sqref="J885">
    <cfRule type="cellIs" dxfId="112" priority="133" operator="equal">
      <formula>0</formula>
    </cfRule>
    <cfRule type="cellIs" dxfId="111" priority="134" operator="equal">
      <formula>1</formula>
    </cfRule>
  </conditionalFormatting>
  <conditionalFormatting sqref="K891">
    <cfRule type="cellIs" dxfId="110" priority="131" operator="equal">
      <formula>0</formula>
    </cfRule>
    <cfRule type="cellIs" dxfId="109" priority="132" operator="equal">
      <formula>1</formula>
    </cfRule>
  </conditionalFormatting>
  <conditionalFormatting sqref="M891:N891">
    <cfRule type="cellIs" dxfId="108" priority="129" operator="equal">
      <formula>0</formula>
    </cfRule>
    <cfRule type="cellIs" dxfId="107" priority="130" operator="equal">
      <formula>1</formula>
    </cfRule>
  </conditionalFormatting>
  <conditionalFormatting sqref="J891">
    <cfRule type="cellIs" dxfId="106" priority="127" operator="equal">
      <formula>0</formula>
    </cfRule>
    <cfRule type="cellIs" dxfId="105" priority="128" operator="equal">
      <formula>1</formula>
    </cfRule>
  </conditionalFormatting>
  <conditionalFormatting sqref="K897">
    <cfRule type="cellIs" dxfId="104" priority="125" operator="equal">
      <formula>0</formula>
    </cfRule>
    <cfRule type="cellIs" dxfId="103" priority="126" operator="equal">
      <formula>1</formula>
    </cfRule>
  </conditionalFormatting>
  <conditionalFormatting sqref="J897">
    <cfRule type="cellIs" dxfId="102" priority="123" operator="equal">
      <formula>0</formula>
    </cfRule>
    <cfRule type="cellIs" dxfId="101" priority="124" operator="equal">
      <formula>1</formula>
    </cfRule>
  </conditionalFormatting>
  <conditionalFormatting sqref="M897:N897">
    <cfRule type="cellIs" dxfId="100" priority="121" operator="equal">
      <formula>0</formula>
    </cfRule>
    <cfRule type="cellIs" dxfId="99" priority="122" operator="equal">
      <formula>1</formula>
    </cfRule>
  </conditionalFormatting>
  <conditionalFormatting sqref="K899">
    <cfRule type="cellIs" dxfId="98" priority="119" operator="equal">
      <formula>0</formula>
    </cfRule>
    <cfRule type="cellIs" dxfId="97" priority="120" operator="equal">
      <formula>1</formula>
    </cfRule>
  </conditionalFormatting>
  <conditionalFormatting sqref="M899:N899">
    <cfRule type="cellIs" dxfId="96" priority="117" operator="equal">
      <formula>0</formula>
    </cfRule>
    <cfRule type="cellIs" dxfId="95" priority="118" operator="equal">
      <formula>1</formula>
    </cfRule>
  </conditionalFormatting>
  <conditionalFormatting sqref="J899">
    <cfRule type="cellIs" dxfId="94" priority="115" operator="equal">
      <formula>0</formula>
    </cfRule>
    <cfRule type="cellIs" dxfId="93" priority="116" operator="equal">
      <formula>1</formula>
    </cfRule>
  </conditionalFormatting>
  <conditionalFormatting sqref="K905">
    <cfRule type="cellIs" dxfId="92" priority="107" operator="equal">
      <formula>0</formula>
    </cfRule>
    <cfRule type="cellIs" dxfId="91" priority="108" operator="equal">
      <formula>1</formula>
    </cfRule>
  </conditionalFormatting>
  <conditionalFormatting sqref="M905:N905">
    <cfRule type="cellIs" dxfId="90" priority="105" operator="equal">
      <formula>0</formula>
    </cfRule>
    <cfRule type="cellIs" dxfId="89" priority="106" operator="equal">
      <formula>1</formula>
    </cfRule>
  </conditionalFormatting>
  <conditionalFormatting sqref="J905">
    <cfRule type="cellIs" dxfId="88" priority="103" operator="equal">
      <formula>0</formula>
    </cfRule>
    <cfRule type="cellIs" dxfId="87" priority="104" operator="equal">
      <formula>1</formula>
    </cfRule>
  </conditionalFormatting>
  <conditionalFormatting sqref="K916">
    <cfRule type="cellIs" dxfId="86" priority="101" operator="equal">
      <formula>0</formula>
    </cfRule>
    <cfRule type="cellIs" dxfId="85" priority="102" operator="equal">
      <formula>1</formula>
    </cfRule>
  </conditionalFormatting>
  <conditionalFormatting sqref="M916:N916">
    <cfRule type="cellIs" dxfId="84" priority="99" operator="equal">
      <formula>0</formula>
    </cfRule>
    <cfRule type="cellIs" dxfId="83" priority="100" operator="equal">
      <formula>1</formula>
    </cfRule>
  </conditionalFormatting>
  <conditionalFormatting sqref="K928">
    <cfRule type="cellIs" dxfId="82" priority="95" operator="equal">
      <formula>0</formula>
    </cfRule>
    <cfRule type="cellIs" dxfId="81" priority="96" operator="equal">
      <formula>1</formula>
    </cfRule>
  </conditionalFormatting>
  <conditionalFormatting sqref="M928:N928">
    <cfRule type="cellIs" dxfId="80" priority="93" operator="equal">
      <formula>0</formula>
    </cfRule>
    <cfRule type="cellIs" dxfId="79" priority="94" operator="equal">
      <formula>1</formula>
    </cfRule>
  </conditionalFormatting>
  <conditionalFormatting sqref="K937">
    <cfRule type="cellIs" dxfId="78" priority="89" operator="equal">
      <formula>0</formula>
    </cfRule>
    <cfRule type="cellIs" dxfId="77" priority="90" operator="equal">
      <formula>1</formula>
    </cfRule>
  </conditionalFormatting>
  <conditionalFormatting sqref="M937:N937">
    <cfRule type="cellIs" dxfId="76" priority="87" operator="equal">
      <formula>0</formula>
    </cfRule>
    <cfRule type="cellIs" dxfId="75" priority="88" operator="equal">
      <formula>1</formula>
    </cfRule>
  </conditionalFormatting>
  <conditionalFormatting sqref="K946">
    <cfRule type="cellIs" dxfId="74" priority="83" operator="equal">
      <formula>0</formula>
    </cfRule>
    <cfRule type="cellIs" dxfId="73" priority="84" operator="equal">
      <formula>1</formula>
    </cfRule>
  </conditionalFormatting>
  <conditionalFormatting sqref="M946:N946">
    <cfRule type="cellIs" dxfId="72" priority="81" operator="equal">
      <formula>0</formula>
    </cfRule>
    <cfRule type="cellIs" dxfId="71" priority="82" operator="equal">
      <formula>1</formula>
    </cfRule>
  </conditionalFormatting>
  <conditionalFormatting sqref="K953">
    <cfRule type="cellIs" dxfId="70" priority="77" operator="equal">
      <formula>0</formula>
    </cfRule>
    <cfRule type="cellIs" dxfId="69" priority="78" operator="equal">
      <formula>1</formula>
    </cfRule>
  </conditionalFormatting>
  <conditionalFormatting sqref="M953:N953">
    <cfRule type="cellIs" dxfId="68" priority="75" operator="equal">
      <formula>0</formula>
    </cfRule>
    <cfRule type="cellIs" dxfId="67" priority="76" operator="equal">
      <formula>1</formula>
    </cfRule>
  </conditionalFormatting>
  <conditionalFormatting sqref="K959">
    <cfRule type="cellIs" dxfId="66" priority="71" operator="equal">
      <formula>0</formula>
    </cfRule>
    <cfRule type="cellIs" dxfId="65" priority="72" operator="equal">
      <formula>1</formula>
    </cfRule>
  </conditionalFormatting>
  <conditionalFormatting sqref="M959:N959">
    <cfRule type="cellIs" dxfId="64" priority="69" operator="equal">
      <formula>0</formula>
    </cfRule>
    <cfRule type="cellIs" dxfId="63" priority="70" operator="equal">
      <formula>1</formula>
    </cfRule>
  </conditionalFormatting>
  <conditionalFormatting sqref="K967">
    <cfRule type="cellIs" dxfId="62" priority="65" operator="equal">
      <formula>0</formula>
    </cfRule>
    <cfRule type="cellIs" dxfId="61" priority="66" operator="equal">
      <formula>1</formula>
    </cfRule>
  </conditionalFormatting>
  <conditionalFormatting sqref="M967:N967">
    <cfRule type="cellIs" dxfId="60" priority="63" operator="equal">
      <formula>0</formula>
    </cfRule>
    <cfRule type="cellIs" dxfId="59" priority="64" operator="equal">
      <formula>1</formula>
    </cfRule>
  </conditionalFormatting>
  <conditionalFormatting sqref="K973">
    <cfRule type="cellIs" dxfId="58" priority="59" operator="equal">
      <formula>0</formula>
    </cfRule>
    <cfRule type="cellIs" dxfId="57" priority="60" operator="equal">
      <formula>1</formula>
    </cfRule>
  </conditionalFormatting>
  <conditionalFormatting sqref="M973:N973">
    <cfRule type="cellIs" dxfId="56" priority="57" operator="equal">
      <formula>0</formula>
    </cfRule>
    <cfRule type="cellIs" dxfId="55" priority="58" operator="equal">
      <formula>1</formula>
    </cfRule>
  </conditionalFormatting>
  <conditionalFormatting sqref="K982">
    <cfRule type="cellIs" dxfId="54" priority="53" operator="equal">
      <formula>0</formula>
    </cfRule>
    <cfRule type="cellIs" dxfId="53" priority="54" operator="equal">
      <formula>1</formula>
    </cfRule>
  </conditionalFormatting>
  <conditionalFormatting sqref="M982:N982">
    <cfRule type="cellIs" dxfId="52" priority="51" operator="equal">
      <formula>0</formula>
    </cfRule>
    <cfRule type="cellIs" dxfId="51" priority="52" operator="equal">
      <formula>1</formula>
    </cfRule>
  </conditionalFormatting>
  <conditionalFormatting sqref="K989">
    <cfRule type="cellIs" dxfId="50" priority="47" operator="equal">
      <formula>0</formula>
    </cfRule>
    <cfRule type="cellIs" dxfId="49" priority="48" operator="equal">
      <formula>1</formula>
    </cfRule>
  </conditionalFormatting>
  <conditionalFormatting sqref="M989:N989">
    <cfRule type="cellIs" dxfId="48" priority="45" operator="equal">
      <formula>0</formula>
    </cfRule>
    <cfRule type="cellIs" dxfId="47" priority="46" operator="equal">
      <formula>1</formula>
    </cfRule>
  </conditionalFormatting>
  <conditionalFormatting sqref="K1000">
    <cfRule type="cellIs" dxfId="46" priority="41" operator="equal">
      <formula>0</formula>
    </cfRule>
    <cfRule type="cellIs" dxfId="45" priority="42" operator="equal">
      <formula>1</formula>
    </cfRule>
  </conditionalFormatting>
  <conditionalFormatting sqref="M1000:N1000">
    <cfRule type="cellIs" dxfId="44" priority="39" operator="equal">
      <formula>0</formula>
    </cfRule>
    <cfRule type="cellIs" dxfId="43" priority="40" operator="equal">
      <formula>1</formula>
    </cfRule>
  </conditionalFormatting>
  <conditionalFormatting sqref="J916">
    <cfRule type="cellIs" dxfId="42" priority="35" operator="equal">
      <formula>0</formula>
    </cfRule>
    <cfRule type="cellIs" dxfId="41" priority="36" operator="equal">
      <formula>1</formula>
    </cfRule>
  </conditionalFormatting>
  <conditionalFormatting sqref="J928">
    <cfRule type="cellIs" dxfId="40" priority="33" operator="equal">
      <formula>0</formula>
    </cfRule>
    <cfRule type="cellIs" dxfId="39" priority="34" operator="equal">
      <formula>1</formula>
    </cfRule>
  </conditionalFormatting>
  <conditionalFormatting sqref="J946">
    <cfRule type="cellIs" dxfId="38" priority="29" operator="equal">
      <formula>0</formula>
    </cfRule>
    <cfRule type="cellIs" dxfId="37" priority="30" operator="equal">
      <formula>1</formula>
    </cfRule>
  </conditionalFormatting>
  <conditionalFormatting sqref="J953">
    <cfRule type="cellIs" dxfId="36" priority="27" operator="equal">
      <formula>0</formula>
    </cfRule>
    <cfRule type="cellIs" dxfId="35" priority="28" operator="equal">
      <formula>1</formula>
    </cfRule>
  </conditionalFormatting>
  <conditionalFormatting sqref="J959">
    <cfRule type="cellIs" dxfId="34" priority="25" operator="equal">
      <formula>0</formula>
    </cfRule>
    <cfRule type="cellIs" dxfId="33" priority="26" operator="equal">
      <formula>1</formula>
    </cfRule>
  </conditionalFormatting>
  <conditionalFormatting sqref="J967">
    <cfRule type="cellIs" dxfId="32" priority="23" operator="equal">
      <formula>0</formula>
    </cfRule>
    <cfRule type="cellIs" dxfId="31" priority="24" operator="equal">
      <formula>1</formula>
    </cfRule>
  </conditionalFormatting>
  <conditionalFormatting sqref="J973">
    <cfRule type="cellIs" dxfId="30" priority="21" operator="equal">
      <formula>0</formula>
    </cfRule>
    <cfRule type="cellIs" dxfId="29" priority="22" operator="equal">
      <formula>1</formula>
    </cfRule>
  </conditionalFormatting>
  <conditionalFormatting sqref="J982">
    <cfRule type="cellIs" dxfId="28" priority="19" operator="equal">
      <formula>0</formula>
    </cfRule>
    <cfRule type="cellIs" dxfId="27" priority="20" operator="equal">
      <formula>1</formula>
    </cfRule>
  </conditionalFormatting>
  <conditionalFormatting sqref="J989">
    <cfRule type="cellIs" dxfId="26" priority="17" operator="equal">
      <formula>0</formula>
    </cfRule>
    <cfRule type="cellIs" dxfId="25" priority="18" operator="equal">
      <formula>1</formula>
    </cfRule>
  </conditionalFormatting>
  <conditionalFormatting sqref="J1000">
    <cfRule type="cellIs" dxfId="24" priority="15" operator="equal">
      <formula>0</formula>
    </cfRule>
    <cfRule type="cellIs" dxfId="23" priority="16" operator="equal">
      <formula>1</formula>
    </cfRule>
  </conditionalFormatting>
  <conditionalFormatting sqref="J937">
    <cfRule type="cellIs" dxfId="22" priority="13" operator="equal">
      <formula>0</formula>
    </cfRule>
    <cfRule type="cellIs" dxfId="21" priority="14" operator="equal">
      <formula>1</formula>
    </cfRule>
  </conditionalFormatting>
  <conditionalFormatting sqref="K1011">
    <cfRule type="cellIs" dxfId="20" priority="11" operator="equal">
      <formula>0</formula>
    </cfRule>
    <cfRule type="cellIs" dxfId="19" priority="12" operator="equal">
      <formula>1</formula>
    </cfRule>
  </conditionalFormatting>
  <conditionalFormatting sqref="M1011:N1011">
    <cfRule type="cellIs" dxfId="18" priority="9" operator="equal">
      <formula>0</formula>
    </cfRule>
    <cfRule type="cellIs" dxfId="17" priority="10" operator="equal">
      <formula>1</formula>
    </cfRule>
  </conditionalFormatting>
  <conditionalFormatting sqref="J1011">
    <cfRule type="cellIs" dxfId="16" priority="7" operator="equal">
      <formula>0</formula>
    </cfRule>
    <cfRule type="cellIs" dxfId="15" priority="8" operator="equal">
      <formula>1</formula>
    </cfRule>
  </conditionalFormatting>
  <conditionalFormatting sqref="K1025">
    <cfRule type="cellIs" dxfId="14" priority="5" operator="equal">
      <formula>0</formula>
    </cfRule>
    <cfRule type="cellIs" dxfId="13" priority="6" operator="equal">
      <formula>1</formula>
    </cfRule>
  </conditionalFormatting>
  <conditionalFormatting sqref="M1025:N1025">
    <cfRule type="cellIs" dxfId="12" priority="3" operator="equal">
      <formula>0</formula>
    </cfRule>
    <cfRule type="cellIs" dxfId="11" priority="4" operator="equal">
      <formula>1</formula>
    </cfRule>
  </conditionalFormatting>
  <conditionalFormatting sqref="J1025">
    <cfRule type="cellIs" dxfId="10" priority="1" operator="equal">
      <formula>0</formula>
    </cfRule>
    <cfRule type="cellIs" dxfId="9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21</xdr:col>
                    <xdr:colOff>323850</xdr:colOff>
                    <xdr:row>0</xdr:row>
                    <xdr:rowOff>38100</xdr:rowOff>
                  </from>
                  <to>
                    <xdr:col>24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21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U116"/>
  <sheetViews>
    <sheetView workbookViewId="0">
      <selection activeCell="R3" sqref="R3:U25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21" ht="15.75" thickBot="1">
      <c r="A1" s="240" t="s">
        <v>1171</v>
      </c>
      <c r="B1" s="241"/>
      <c r="C1" s="241"/>
      <c r="D1" s="242"/>
      <c r="L1" s="240" t="s">
        <v>2455</v>
      </c>
      <c r="M1" s="241"/>
      <c r="N1" s="241"/>
      <c r="O1" s="242"/>
      <c r="R1" s="240" t="s">
        <v>2464</v>
      </c>
      <c r="S1" s="241"/>
      <c r="T1" s="241"/>
      <c r="U1" s="242"/>
    </row>
    <row r="2" spans="1:21" ht="15.75" thickBot="1">
      <c r="A2" s="149" t="s">
        <v>125</v>
      </c>
      <c r="B2" s="150" t="s">
        <v>142</v>
      </c>
      <c r="C2" s="149" t="s">
        <v>123</v>
      </c>
      <c r="D2" s="151" t="s">
        <v>124</v>
      </c>
      <c r="G2" s="47" t="s">
        <v>125</v>
      </c>
      <c r="H2" s="35" t="s">
        <v>142</v>
      </c>
      <c r="I2" s="47" t="s">
        <v>123</v>
      </c>
      <c r="J2" s="62" t="s">
        <v>124</v>
      </c>
      <c r="L2" s="149" t="s">
        <v>125</v>
      </c>
      <c r="M2" s="150" t="s">
        <v>142</v>
      </c>
      <c r="N2" s="149" t="s">
        <v>123</v>
      </c>
      <c r="O2" s="151" t="s">
        <v>124</v>
      </c>
      <c r="R2" s="149" t="s">
        <v>125</v>
      </c>
      <c r="S2" s="150" t="s">
        <v>142</v>
      </c>
      <c r="T2" s="149" t="s">
        <v>123</v>
      </c>
      <c r="U2" s="151" t="s">
        <v>124</v>
      </c>
    </row>
    <row r="3" spans="1:21">
      <c r="A3" s="86"/>
      <c r="B3" s="87" t="s">
        <v>1015</v>
      </c>
      <c r="C3" s="141" t="s">
        <v>1019</v>
      </c>
      <c r="D3" s="89"/>
      <c r="G3" s="86" t="s">
        <v>1044</v>
      </c>
      <c r="H3" s="87" t="s">
        <v>864</v>
      </c>
      <c r="I3" s="141" t="s">
        <v>2334</v>
      </c>
      <c r="J3" s="89"/>
      <c r="M3" s="87" t="s">
        <v>1015</v>
      </c>
      <c r="N3" s="141" t="s">
        <v>2445</v>
      </c>
      <c r="R3" s="86"/>
      <c r="S3" s="87" t="s">
        <v>1015</v>
      </c>
      <c r="T3" s="141" t="s">
        <v>2445</v>
      </c>
      <c r="U3" s="89"/>
    </row>
    <row r="4" spans="1:21">
      <c r="A4" s="86"/>
      <c r="B4" s="87"/>
      <c r="C4" s="88"/>
      <c r="D4" s="89"/>
      <c r="G4" s="86"/>
      <c r="H4" s="87" t="s">
        <v>2284</v>
      </c>
      <c r="I4" s="141" t="s">
        <v>2335</v>
      </c>
      <c r="J4" s="89"/>
      <c r="M4" s="87" t="s">
        <v>864</v>
      </c>
      <c r="N4" s="220" t="s">
        <v>2431</v>
      </c>
      <c r="R4" s="86"/>
      <c r="S4" s="87" t="s">
        <v>864</v>
      </c>
      <c r="T4" s="220" t="s">
        <v>2459</v>
      </c>
      <c r="U4" s="89"/>
    </row>
    <row r="5" spans="1:21">
      <c r="A5" s="86" t="s">
        <v>1016</v>
      </c>
      <c r="B5" s="87" t="s">
        <v>141</v>
      </c>
      <c r="C5" s="88" t="s">
        <v>144</v>
      </c>
      <c r="D5" s="89" t="s">
        <v>215</v>
      </c>
      <c r="G5" s="86"/>
      <c r="H5" s="87" t="s">
        <v>184</v>
      </c>
      <c r="I5" s="141"/>
      <c r="J5" s="89"/>
      <c r="M5" s="87" t="s">
        <v>863</v>
      </c>
      <c r="N5" s="220" t="s">
        <v>2446</v>
      </c>
      <c r="R5" s="86"/>
      <c r="S5" s="87" t="s">
        <v>863</v>
      </c>
      <c r="T5" s="220" t="s">
        <v>2446</v>
      </c>
      <c r="U5" s="89"/>
    </row>
    <row r="6" spans="1:21">
      <c r="A6" s="86"/>
      <c r="B6" s="87" t="s">
        <v>141</v>
      </c>
      <c r="C6" s="88" t="s">
        <v>146</v>
      </c>
      <c r="D6" s="89" t="s">
        <v>215</v>
      </c>
      <c r="M6" s="87" t="s">
        <v>864</v>
      </c>
      <c r="N6" s="220" t="s">
        <v>2357</v>
      </c>
      <c r="R6" s="86"/>
      <c r="S6" s="87" t="s">
        <v>864</v>
      </c>
      <c r="T6" s="220" t="s">
        <v>2460</v>
      </c>
      <c r="U6" s="89"/>
    </row>
    <row r="7" spans="1:21">
      <c r="A7" s="86"/>
      <c r="B7" s="87" t="s">
        <v>141</v>
      </c>
      <c r="C7" s="88" t="s">
        <v>182</v>
      </c>
      <c r="D7" s="89" t="s">
        <v>215</v>
      </c>
      <c r="M7" s="87" t="s">
        <v>863</v>
      </c>
      <c r="N7" s="220" t="s">
        <v>2447</v>
      </c>
      <c r="R7" s="86"/>
      <c r="S7" s="87" t="s">
        <v>863</v>
      </c>
      <c r="T7" s="220" t="s">
        <v>2447</v>
      </c>
      <c r="U7" s="89"/>
    </row>
    <row r="8" spans="1:21">
      <c r="A8" s="86"/>
      <c r="B8" s="87"/>
      <c r="C8" s="88"/>
      <c r="D8" s="89"/>
      <c r="G8" s="86"/>
      <c r="H8" s="221" t="s">
        <v>1015</v>
      </c>
      <c r="I8" s="220" t="s">
        <v>2418</v>
      </c>
      <c r="M8" s="87" t="s">
        <v>864</v>
      </c>
      <c r="N8" s="220" t="s">
        <v>2449</v>
      </c>
      <c r="R8" s="86"/>
      <c r="S8" s="87" t="s">
        <v>864</v>
      </c>
      <c r="T8" s="220" t="s">
        <v>2461</v>
      </c>
      <c r="U8" s="89"/>
    </row>
    <row r="9" spans="1:21">
      <c r="A9" s="86"/>
      <c r="B9" s="87"/>
      <c r="C9" s="88"/>
      <c r="D9" s="89"/>
      <c r="G9" s="86" t="s">
        <v>1044</v>
      </c>
      <c r="H9" s="87" t="s">
        <v>864</v>
      </c>
      <c r="I9" s="141" t="s">
        <v>2419</v>
      </c>
      <c r="M9" s="87" t="s">
        <v>863</v>
      </c>
      <c r="N9" s="220" t="s">
        <v>2454</v>
      </c>
      <c r="R9" s="86"/>
      <c r="S9" s="87" t="s">
        <v>863</v>
      </c>
      <c r="T9" s="220" t="s">
        <v>2454</v>
      </c>
      <c r="U9" s="89"/>
    </row>
    <row r="10" spans="1:21">
      <c r="A10" s="86" t="s">
        <v>1017</v>
      </c>
      <c r="B10" s="87" t="s">
        <v>181</v>
      </c>
      <c r="C10" s="88" t="s">
        <v>146</v>
      </c>
      <c r="D10" s="89" t="s">
        <v>182</v>
      </c>
      <c r="G10" s="86"/>
      <c r="H10" s="87" t="s">
        <v>2281</v>
      </c>
      <c r="I10" s="141" t="s">
        <v>2420</v>
      </c>
      <c r="M10" s="87" t="s">
        <v>864</v>
      </c>
      <c r="N10" s="220" t="s">
        <v>2451</v>
      </c>
      <c r="R10" s="86"/>
      <c r="S10" s="87" t="s">
        <v>864</v>
      </c>
      <c r="T10" s="220" t="s">
        <v>2462</v>
      </c>
      <c r="U10" s="89"/>
    </row>
    <row r="11" spans="1:21">
      <c r="A11" s="86"/>
      <c r="B11" s="87" t="s">
        <v>392</v>
      </c>
      <c r="C11" s="88" t="s">
        <v>144</v>
      </c>
      <c r="D11" s="89"/>
      <c r="G11" s="86"/>
      <c r="H11" s="87" t="s">
        <v>864</v>
      </c>
      <c r="I11" s="141" t="s">
        <v>2421</v>
      </c>
      <c r="M11" s="87" t="s">
        <v>863</v>
      </c>
      <c r="N11" s="220" t="s">
        <v>2450</v>
      </c>
      <c r="R11" s="86"/>
      <c r="S11" s="87" t="s">
        <v>863</v>
      </c>
      <c r="T11" s="220" t="s">
        <v>2450</v>
      </c>
      <c r="U11" s="89"/>
    </row>
    <row r="12" spans="1:21">
      <c r="A12" s="86"/>
      <c r="B12" s="87" t="s">
        <v>181</v>
      </c>
      <c r="C12" s="88" t="s">
        <v>182</v>
      </c>
      <c r="D12" s="89" t="s">
        <v>146</v>
      </c>
      <c r="G12" s="86"/>
      <c r="H12" s="87" t="s">
        <v>2281</v>
      </c>
      <c r="I12" s="141" t="s">
        <v>2420</v>
      </c>
      <c r="M12" s="87" t="s">
        <v>864</v>
      </c>
      <c r="N12" s="220" t="s">
        <v>2452</v>
      </c>
      <c r="R12" s="86"/>
      <c r="S12" s="87" t="s">
        <v>864</v>
      </c>
      <c r="T12" s="220" t="s">
        <v>2463</v>
      </c>
      <c r="U12" s="89"/>
    </row>
    <row r="13" spans="1:21">
      <c r="A13" s="86"/>
      <c r="B13" s="87" t="s">
        <v>208</v>
      </c>
      <c r="C13" s="88" t="s">
        <v>144</v>
      </c>
      <c r="D13" s="89"/>
      <c r="G13" s="86"/>
      <c r="H13" s="87" t="s">
        <v>864</v>
      </c>
      <c r="I13" s="141" t="s">
        <v>2422</v>
      </c>
      <c r="M13" s="87" t="s">
        <v>863</v>
      </c>
      <c r="N13" s="220" t="s">
        <v>2453</v>
      </c>
      <c r="R13" s="86"/>
      <c r="S13" s="87" t="s">
        <v>863</v>
      </c>
      <c r="T13" s="220" t="s">
        <v>2453</v>
      </c>
      <c r="U13" s="89"/>
    </row>
    <row r="14" spans="1:21">
      <c r="A14" s="86"/>
      <c r="B14" s="87" t="s">
        <v>181</v>
      </c>
      <c r="C14" s="88" t="s">
        <v>146</v>
      </c>
      <c r="D14" s="89" t="s">
        <v>144</v>
      </c>
      <c r="G14" s="86"/>
      <c r="H14" s="87" t="s">
        <v>2281</v>
      </c>
      <c r="I14" s="141" t="s">
        <v>2420</v>
      </c>
      <c r="M14" s="87" t="s">
        <v>864</v>
      </c>
      <c r="N14" s="220" t="s">
        <v>2446</v>
      </c>
      <c r="R14" s="86"/>
      <c r="S14" s="87" t="s">
        <v>864</v>
      </c>
      <c r="T14" s="220" t="s">
        <v>2446</v>
      </c>
      <c r="U14" s="89"/>
    </row>
    <row r="15" spans="1:21">
      <c r="A15" s="86"/>
      <c r="B15" s="87" t="s">
        <v>157</v>
      </c>
      <c r="C15" s="141" t="s">
        <v>1170</v>
      </c>
      <c r="D15" s="89"/>
      <c r="G15" s="86"/>
      <c r="H15" s="87" t="s">
        <v>2423</v>
      </c>
      <c r="I15" s="141"/>
      <c r="M15" s="87" t="s">
        <v>2284</v>
      </c>
      <c r="N15" s="220" t="s">
        <v>2447</v>
      </c>
      <c r="R15" s="86"/>
      <c r="S15" s="87" t="s">
        <v>863</v>
      </c>
      <c r="T15" s="220" t="s">
        <v>2456</v>
      </c>
      <c r="U15" s="89"/>
    </row>
    <row r="16" spans="1:21">
      <c r="A16" s="86"/>
      <c r="B16" s="87" t="s">
        <v>352</v>
      </c>
      <c r="C16" s="88" t="s">
        <v>1017</v>
      </c>
      <c r="D16" s="89"/>
      <c r="M16" s="87" t="s">
        <v>2288</v>
      </c>
      <c r="N16" s="220" t="s">
        <v>2454</v>
      </c>
      <c r="R16" s="86"/>
      <c r="S16" s="87" t="s">
        <v>2284</v>
      </c>
      <c r="T16" s="220" t="s">
        <v>2458</v>
      </c>
      <c r="U16" s="89"/>
    </row>
    <row r="17" spans="1:21">
      <c r="A17" s="86"/>
      <c r="B17" s="87"/>
      <c r="C17" s="88"/>
      <c r="D17" s="89"/>
      <c r="M17" s="87" t="s">
        <v>2318</v>
      </c>
      <c r="N17" s="220" t="s">
        <v>2446</v>
      </c>
      <c r="R17" s="86" t="s">
        <v>1017</v>
      </c>
      <c r="S17" s="87" t="s">
        <v>864</v>
      </c>
      <c r="T17" s="220" t="s">
        <v>2447</v>
      </c>
      <c r="U17" s="89" t="s">
        <v>2346</v>
      </c>
    </row>
    <row r="18" spans="1:21">
      <c r="A18" s="86" t="s">
        <v>1018</v>
      </c>
      <c r="B18" s="87" t="s">
        <v>181</v>
      </c>
      <c r="C18" s="88" t="s">
        <v>146</v>
      </c>
      <c r="D18" s="89" t="s">
        <v>182</v>
      </c>
      <c r="M18" s="87" t="s">
        <v>2320</v>
      </c>
      <c r="N18" s="220" t="s">
        <v>2447</v>
      </c>
      <c r="R18" s="86"/>
      <c r="S18" s="87" t="s">
        <v>863</v>
      </c>
      <c r="T18" s="220" t="s">
        <v>2446</v>
      </c>
      <c r="U18" s="89" t="s">
        <v>2346</v>
      </c>
    </row>
    <row r="19" spans="1:21">
      <c r="A19" s="86"/>
      <c r="B19" s="87" t="s">
        <v>869</v>
      </c>
      <c r="C19" s="88" t="s">
        <v>140</v>
      </c>
      <c r="D19" s="89"/>
      <c r="M19" s="87" t="s">
        <v>2284</v>
      </c>
      <c r="N19" s="220" t="s">
        <v>2450</v>
      </c>
      <c r="R19" s="86"/>
      <c r="S19" s="87" t="s">
        <v>461</v>
      </c>
      <c r="T19" s="220"/>
      <c r="U19" s="89"/>
    </row>
    <row r="20" spans="1:21">
      <c r="A20" s="86"/>
      <c r="B20" s="87" t="s">
        <v>184</v>
      </c>
      <c r="C20" s="88"/>
      <c r="D20" s="89"/>
      <c r="M20" s="87" t="s">
        <v>2288</v>
      </c>
      <c r="N20" s="220" t="s">
        <v>2453</v>
      </c>
      <c r="R20" s="86"/>
      <c r="S20" s="87" t="s">
        <v>2265</v>
      </c>
      <c r="T20" s="220" t="s">
        <v>2457</v>
      </c>
      <c r="U20" s="89"/>
    </row>
    <row r="21" spans="1:21">
      <c r="A21" s="86" t="s">
        <v>1170</v>
      </c>
      <c r="B21" s="87" t="s">
        <v>158</v>
      </c>
      <c r="C21" s="88" t="s">
        <v>263</v>
      </c>
      <c r="D21" s="89"/>
      <c r="M21" s="87" t="s">
        <v>2318</v>
      </c>
      <c r="N21" s="220" t="s">
        <v>2454</v>
      </c>
      <c r="R21" s="86"/>
      <c r="S21" s="87" t="s">
        <v>2243</v>
      </c>
      <c r="T21" s="220" t="s">
        <v>1017</v>
      </c>
      <c r="U21" s="89"/>
    </row>
    <row r="22" spans="1:21">
      <c r="M22" s="87" t="s">
        <v>2320</v>
      </c>
      <c r="N22" s="220" t="s">
        <v>2450</v>
      </c>
      <c r="R22" s="86"/>
      <c r="S22" s="87" t="s">
        <v>864</v>
      </c>
      <c r="T22" s="220" t="s">
        <v>2456</v>
      </c>
      <c r="U22" s="89"/>
    </row>
    <row r="23" spans="1:21" ht="15.75" thickBot="1">
      <c r="M23" s="87" t="s">
        <v>863</v>
      </c>
      <c r="N23" s="220" t="s">
        <v>2453</v>
      </c>
      <c r="R23" s="86"/>
      <c r="S23" s="87" t="s">
        <v>863</v>
      </c>
      <c r="T23" s="220" t="s">
        <v>2453</v>
      </c>
      <c r="U23" s="89"/>
    </row>
    <row r="24" spans="1:21" ht="15.75" thickBot="1">
      <c r="A24" s="240" t="s">
        <v>1020</v>
      </c>
      <c r="B24" s="241"/>
      <c r="C24" s="241"/>
      <c r="D24" s="242"/>
      <c r="M24" s="87" t="s">
        <v>2252</v>
      </c>
      <c r="N24" s="141"/>
      <c r="R24" s="86"/>
      <c r="S24" s="87" t="s">
        <v>2284</v>
      </c>
      <c r="T24" s="220" t="s">
        <v>2446</v>
      </c>
      <c r="U24" s="89"/>
    </row>
    <row r="25" spans="1:21" ht="15.75" thickBot="1">
      <c r="A25" s="149" t="s">
        <v>125</v>
      </c>
      <c r="B25" s="150" t="s">
        <v>142</v>
      </c>
      <c r="C25" s="149" t="s">
        <v>123</v>
      </c>
      <c r="D25" s="151" t="s">
        <v>124</v>
      </c>
      <c r="R25" s="86"/>
      <c r="S25" s="87" t="s">
        <v>2252</v>
      </c>
      <c r="T25" s="220"/>
      <c r="U25" s="89"/>
    </row>
    <row r="26" spans="1:21">
      <c r="A26" s="86"/>
      <c r="B26" s="87" t="s">
        <v>1015</v>
      </c>
      <c r="C26" s="141" t="s">
        <v>1019</v>
      </c>
      <c r="D26" s="89"/>
    </row>
    <row r="27" spans="1:21">
      <c r="A27" s="86"/>
      <c r="B27" s="87"/>
      <c r="C27" s="141"/>
      <c r="D27" s="89"/>
    </row>
    <row r="28" spans="1:21">
      <c r="A28" s="86" t="s">
        <v>1016</v>
      </c>
      <c r="B28" s="87" t="s">
        <v>289</v>
      </c>
      <c r="C28" s="141" t="s">
        <v>114</v>
      </c>
      <c r="D28" s="89" t="s">
        <v>1023</v>
      </c>
    </row>
    <row r="29" spans="1:21">
      <c r="A29" s="86"/>
      <c r="B29" s="87" t="s">
        <v>141</v>
      </c>
      <c r="C29" s="141" t="s">
        <v>144</v>
      </c>
      <c r="D29" s="89" t="s">
        <v>215</v>
      </c>
    </row>
    <row r="30" spans="1:21">
      <c r="A30" s="86"/>
      <c r="B30" s="87"/>
      <c r="C30" s="141"/>
      <c r="D30" s="89"/>
    </row>
    <row r="31" spans="1:21">
      <c r="A31" s="86" t="s">
        <v>1017</v>
      </c>
      <c r="B31" s="87" t="s">
        <v>872</v>
      </c>
      <c r="C31" s="141" t="s">
        <v>1024</v>
      </c>
      <c r="D31" s="89"/>
    </row>
    <row r="32" spans="1:21">
      <c r="A32" s="86"/>
      <c r="B32" s="87" t="s">
        <v>865</v>
      </c>
      <c r="C32" s="141" t="s">
        <v>144</v>
      </c>
      <c r="D32" s="89"/>
    </row>
    <row r="33" spans="1:4">
      <c r="A33" s="86"/>
      <c r="B33" s="87" t="s">
        <v>248</v>
      </c>
      <c r="C33" s="141" t="s">
        <v>1017</v>
      </c>
      <c r="D33" s="89"/>
    </row>
    <row r="34" spans="1:4">
      <c r="A34" s="86"/>
      <c r="B34" s="87" t="s">
        <v>181</v>
      </c>
      <c r="C34" s="141" t="s">
        <v>144</v>
      </c>
      <c r="D34" s="89" t="s">
        <v>146</v>
      </c>
    </row>
    <row r="35" spans="1:4">
      <c r="A35" s="86"/>
      <c r="B35" s="87" t="s">
        <v>190</v>
      </c>
      <c r="C35" s="141" t="s">
        <v>1021</v>
      </c>
      <c r="D35" s="89"/>
    </row>
    <row r="36" spans="1:4">
      <c r="A36" s="86"/>
      <c r="B36" s="87" t="s">
        <v>68</v>
      </c>
      <c r="C36" s="141"/>
      <c r="D36" s="89"/>
    </row>
    <row r="37" spans="1:4">
      <c r="A37" s="86"/>
      <c r="B37" s="87" t="s">
        <v>869</v>
      </c>
      <c r="C37" s="141" t="s">
        <v>140</v>
      </c>
      <c r="D37" s="89"/>
    </row>
    <row r="38" spans="1:4">
      <c r="A38" s="86"/>
      <c r="B38" s="87" t="s">
        <v>869</v>
      </c>
      <c r="C38" s="141" t="s">
        <v>1025</v>
      </c>
      <c r="D38" s="89"/>
    </row>
    <row r="39" spans="1:4">
      <c r="A39" s="86"/>
      <c r="B39" s="87" t="s">
        <v>347</v>
      </c>
      <c r="C39" s="141" t="s">
        <v>1017</v>
      </c>
      <c r="D39" s="89"/>
    </row>
    <row r="40" spans="1:4">
      <c r="A40" s="86"/>
      <c r="B40" s="87"/>
      <c r="C40" s="141"/>
      <c r="D40" s="89"/>
    </row>
    <row r="41" spans="1:4">
      <c r="A41" s="86" t="s">
        <v>1021</v>
      </c>
      <c r="B41" s="87" t="s">
        <v>141</v>
      </c>
      <c r="C41" s="141" t="s">
        <v>182</v>
      </c>
      <c r="D41" s="89" t="s">
        <v>880</v>
      </c>
    </row>
    <row r="42" spans="1:4">
      <c r="A42" s="86"/>
      <c r="B42" s="87" t="s">
        <v>448</v>
      </c>
      <c r="C42" s="141" t="s">
        <v>146</v>
      </c>
      <c r="D42" s="89"/>
    </row>
    <row r="43" spans="1:4">
      <c r="A43" s="86"/>
      <c r="B43" s="87"/>
      <c r="C43" s="141"/>
      <c r="D43" s="89"/>
    </row>
    <row r="44" spans="1:4">
      <c r="A44" s="86" t="s">
        <v>1022</v>
      </c>
      <c r="B44" s="87" t="s">
        <v>392</v>
      </c>
      <c r="C44" s="141" t="s">
        <v>144</v>
      </c>
      <c r="D44" s="89"/>
    </row>
    <row r="45" spans="1:4">
      <c r="A45" s="86"/>
      <c r="B45" s="87" t="s">
        <v>232</v>
      </c>
      <c r="C45" s="141" t="s">
        <v>182</v>
      </c>
      <c r="D45" s="89"/>
    </row>
    <row r="46" spans="1:4">
      <c r="A46" s="86"/>
      <c r="B46" s="87" t="s">
        <v>352</v>
      </c>
      <c r="C46" s="141" t="s">
        <v>1022</v>
      </c>
      <c r="D46" s="89"/>
    </row>
    <row r="47" spans="1:4">
      <c r="A47" s="86"/>
      <c r="B47" s="87" t="s">
        <v>84</v>
      </c>
      <c r="C47" s="141"/>
      <c r="D47" s="89"/>
    </row>
    <row r="48" spans="1:4" ht="15.75" thickBot="1"/>
    <row r="49" spans="1:4" ht="15.75" thickBot="1">
      <c r="A49" s="240" t="s">
        <v>1029</v>
      </c>
      <c r="B49" s="241"/>
      <c r="C49" s="241"/>
      <c r="D49" s="242"/>
    </row>
    <row r="50" spans="1:4">
      <c r="A50" s="86"/>
      <c r="B50" s="87" t="s">
        <v>289</v>
      </c>
      <c r="C50" s="141" t="s">
        <v>303</v>
      </c>
      <c r="D50" s="89" t="s">
        <v>1026</v>
      </c>
    </row>
    <row r="51" spans="1:4">
      <c r="A51" s="86" t="s">
        <v>1026</v>
      </c>
      <c r="B51" s="87" t="s">
        <v>292</v>
      </c>
      <c r="C51" s="141" t="s">
        <v>1028</v>
      </c>
      <c r="D51" s="89"/>
    </row>
    <row r="52" spans="1:4">
      <c r="A52" s="86"/>
      <c r="B52" s="87" t="s">
        <v>869</v>
      </c>
      <c r="C52" s="141" t="s">
        <v>1027</v>
      </c>
      <c r="D52" s="89"/>
    </row>
    <row r="53" spans="1:4">
      <c r="A53" s="86"/>
      <c r="B53" s="87" t="s">
        <v>973</v>
      </c>
      <c r="C53" s="141"/>
      <c r="D53" s="89"/>
    </row>
    <row r="54" spans="1:4">
      <c r="A54" s="86"/>
      <c r="B54" s="87" t="s">
        <v>184</v>
      </c>
      <c r="C54" s="141"/>
      <c r="D54" s="89"/>
    </row>
    <row r="55" spans="1:4" ht="15.75" thickBot="1"/>
    <row r="56" spans="1:4" ht="15.75" thickBot="1">
      <c r="A56" s="240" t="s">
        <v>1034</v>
      </c>
      <c r="B56" s="241"/>
      <c r="C56" s="241"/>
      <c r="D56" s="242"/>
    </row>
    <row r="57" spans="1:4">
      <c r="A57" s="86"/>
      <c r="B57" s="87" t="s">
        <v>1015</v>
      </c>
      <c r="C57" s="141" t="s">
        <v>1032</v>
      </c>
      <c r="D57" s="89"/>
    </row>
    <row r="58" spans="1:4">
      <c r="A58" s="86" t="s">
        <v>1030</v>
      </c>
      <c r="B58" s="87" t="s">
        <v>158</v>
      </c>
      <c r="C58" s="141" t="s">
        <v>1033</v>
      </c>
      <c r="D58" s="89"/>
    </row>
    <row r="59" spans="1:4">
      <c r="A59" s="86"/>
      <c r="B59" s="87" t="s">
        <v>289</v>
      </c>
      <c r="C59" s="141" t="s">
        <v>303</v>
      </c>
      <c r="D59" s="89" t="s">
        <v>1026</v>
      </c>
    </row>
    <row r="60" spans="1:4">
      <c r="A60" s="86"/>
      <c r="B60" s="87" t="s">
        <v>141</v>
      </c>
      <c r="C60" s="141" t="s">
        <v>146</v>
      </c>
      <c r="D60" s="89" t="s">
        <v>215</v>
      </c>
    </row>
    <row r="61" spans="1:4">
      <c r="A61" s="86"/>
      <c r="B61" s="87" t="s">
        <v>869</v>
      </c>
      <c r="C61" s="141" t="s">
        <v>1025</v>
      </c>
      <c r="D61" s="89"/>
    </row>
    <row r="62" spans="1:4">
      <c r="A62" s="86"/>
      <c r="B62" s="87" t="s">
        <v>869</v>
      </c>
      <c r="C62" s="141" t="s">
        <v>1027</v>
      </c>
      <c r="D62" s="89"/>
    </row>
    <row r="63" spans="1:4">
      <c r="A63" s="86"/>
      <c r="B63" s="87" t="s">
        <v>973</v>
      </c>
      <c r="C63" s="141"/>
      <c r="D63" s="89"/>
    </row>
    <row r="64" spans="1:4">
      <c r="A64" s="86"/>
      <c r="B64" s="87" t="s">
        <v>141</v>
      </c>
      <c r="C64" s="141" t="s">
        <v>146</v>
      </c>
      <c r="D64" s="89" t="s">
        <v>364</v>
      </c>
    </row>
    <row r="65" spans="1:4">
      <c r="A65" s="86"/>
      <c r="B65" s="87" t="s">
        <v>961</v>
      </c>
      <c r="C65" s="141" t="s">
        <v>1030</v>
      </c>
      <c r="D65" s="89"/>
    </row>
    <row r="66" spans="1:4">
      <c r="A66" s="86"/>
      <c r="B66" s="87" t="s">
        <v>184</v>
      </c>
      <c r="C66" s="141"/>
      <c r="D66" s="89"/>
    </row>
    <row r="67" spans="1:4">
      <c r="A67" s="86"/>
      <c r="B67" s="87"/>
      <c r="C67" s="141"/>
      <c r="D67" s="89"/>
    </row>
    <row r="68" spans="1:4">
      <c r="A68" s="86" t="s">
        <v>1026</v>
      </c>
      <c r="B68" s="87" t="s">
        <v>292</v>
      </c>
      <c r="C68" s="141" t="s">
        <v>1031</v>
      </c>
      <c r="D68" s="89"/>
    </row>
    <row r="69" spans="1:4" ht="15.75" thickBot="1"/>
    <row r="70" spans="1:4" ht="15.75" thickBot="1">
      <c r="A70" s="240" t="s">
        <v>1037</v>
      </c>
      <c r="B70" s="241"/>
      <c r="C70" s="241"/>
      <c r="D70" s="242"/>
    </row>
    <row r="71" spans="1:4">
      <c r="A71" s="86"/>
      <c r="B71" s="87" t="s">
        <v>289</v>
      </c>
      <c r="C71" s="141" t="s">
        <v>303</v>
      </c>
      <c r="D71" s="89" t="s">
        <v>1035</v>
      </c>
    </row>
    <row r="72" spans="1:4">
      <c r="A72" s="86"/>
      <c r="B72" s="87" t="s">
        <v>869</v>
      </c>
      <c r="C72" s="141" t="s">
        <v>1025</v>
      </c>
      <c r="D72" s="89"/>
    </row>
    <row r="73" spans="1:4">
      <c r="A73" s="86"/>
      <c r="B73" s="87" t="s">
        <v>869</v>
      </c>
      <c r="C73" s="141" t="s">
        <v>1027</v>
      </c>
      <c r="D73" s="89"/>
    </row>
    <row r="74" spans="1:4">
      <c r="A74" s="86"/>
      <c r="B74" s="87" t="s">
        <v>872</v>
      </c>
      <c r="C74" s="141" t="s">
        <v>425</v>
      </c>
      <c r="D74" s="89"/>
    </row>
    <row r="75" spans="1:4">
      <c r="A75" s="86"/>
      <c r="B75" s="87" t="s">
        <v>141</v>
      </c>
      <c r="C75" s="141" t="s">
        <v>146</v>
      </c>
      <c r="D75" s="89" t="s">
        <v>878</v>
      </c>
    </row>
    <row r="76" spans="1:4">
      <c r="A76" s="86"/>
      <c r="B76" s="87" t="s">
        <v>973</v>
      </c>
      <c r="C76" s="141"/>
      <c r="D76" s="89"/>
    </row>
    <row r="77" spans="1:4">
      <c r="A77" s="86"/>
      <c r="B77" s="87" t="s">
        <v>289</v>
      </c>
      <c r="C77" s="141" t="s">
        <v>303</v>
      </c>
      <c r="D77" s="89" t="s">
        <v>1026</v>
      </c>
    </row>
    <row r="78" spans="1:4">
      <c r="A78" s="86"/>
      <c r="B78" s="87" t="s">
        <v>973</v>
      </c>
      <c r="C78" s="141"/>
      <c r="D78" s="89"/>
    </row>
    <row r="79" spans="1:4">
      <c r="A79" s="86"/>
      <c r="B79" s="87" t="s">
        <v>184</v>
      </c>
      <c r="C79" s="141"/>
      <c r="D79" s="89"/>
    </row>
    <row r="80" spans="1:4">
      <c r="A80" s="86" t="s">
        <v>1035</v>
      </c>
      <c r="B80" s="87" t="s">
        <v>1036</v>
      </c>
      <c r="C80" s="141">
        <v>50</v>
      </c>
      <c r="D80" s="89"/>
    </row>
    <row r="81" spans="1:4">
      <c r="A81" s="86" t="s">
        <v>1026</v>
      </c>
      <c r="B81" s="87" t="s">
        <v>292</v>
      </c>
      <c r="C81" s="141" t="s">
        <v>1038</v>
      </c>
      <c r="D81" s="89"/>
    </row>
    <row r="82" spans="1:4" ht="15.75" thickBot="1"/>
    <row r="83" spans="1:4" ht="15.75" thickBot="1">
      <c r="A83" s="240" t="s">
        <v>1049</v>
      </c>
      <c r="B83" s="241"/>
      <c r="C83" s="241"/>
      <c r="D83" s="242"/>
    </row>
    <row r="84" spans="1:4">
      <c r="A84" s="86" t="s">
        <v>1044</v>
      </c>
      <c r="B84" s="87" t="s">
        <v>869</v>
      </c>
      <c r="C84" s="141" t="s">
        <v>1025</v>
      </c>
      <c r="D84" s="89"/>
    </row>
    <row r="85" spans="1:4">
      <c r="A85" s="86"/>
      <c r="B85" s="87" t="s">
        <v>869</v>
      </c>
      <c r="C85" s="141" t="s">
        <v>1027</v>
      </c>
      <c r="D85" s="89"/>
    </row>
    <row r="86" spans="1:4">
      <c r="A86" s="86"/>
      <c r="B86" s="87" t="s">
        <v>289</v>
      </c>
      <c r="C86" s="141" t="s">
        <v>303</v>
      </c>
      <c r="D86" s="89" t="s">
        <v>1045</v>
      </c>
    </row>
    <row r="87" spans="1:4">
      <c r="A87" s="86"/>
      <c r="B87" s="87" t="s">
        <v>141</v>
      </c>
      <c r="C87" s="141" t="s">
        <v>146</v>
      </c>
      <c r="D87" s="89" t="s">
        <v>878</v>
      </c>
    </row>
    <row r="88" spans="1:4">
      <c r="A88" s="86"/>
      <c r="B88" s="87" t="s">
        <v>973</v>
      </c>
      <c r="C88" s="141"/>
      <c r="D88" s="89"/>
    </row>
    <row r="89" spans="1:4">
      <c r="A89" s="86"/>
      <c r="B89" s="87" t="s">
        <v>141</v>
      </c>
      <c r="C89" s="141" t="s">
        <v>144</v>
      </c>
      <c r="D89" s="89" t="s">
        <v>253</v>
      </c>
    </row>
    <row r="90" spans="1:4">
      <c r="A90" s="86" t="s">
        <v>1041</v>
      </c>
      <c r="B90" s="87" t="s">
        <v>232</v>
      </c>
      <c r="C90" s="141" t="s">
        <v>144</v>
      </c>
      <c r="D90" s="89"/>
    </row>
    <row r="91" spans="1:4">
      <c r="A91" s="86"/>
      <c r="B91" s="87" t="s">
        <v>181</v>
      </c>
      <c r="C91" s="141" t="s">
        <v>146</v>
      </c>
      <c r="D91" s="89" t="s">
        <v>144</v>
      </c>
    </row>
    <row r="92" spans="1:4">
      <c r="A92" s="86"/>
      <c r="B92" s="87" t="s">
        <v>248</v>
      </c>
      <c r="C92" s="141" t="s">
        <v>1039</v>
      </c>
      <c r="D92" s="89"/>
    </row>
    <row r="93" spans="1:4">
      <c r="A93" s="86"/>
      <c r="B93" s="87" t="s">
        <v>141</v>
      </c>
      <c r="C93" s="141" t="s">
        <v>146</v>
      </c>
      <c r="D93" s="89" t="s">
        <v>295</v>
      </c>
    </row>
    <row r="94" spans="1:4">
      <c r="A94" s="86" t="s">
        <v>1017</v>
      </c>
      <c r="B94" s="87" t="s">
        <v>153</v>
      </c>
      <c r="C94" s="141"/>
      <c r="D94" s="89"/>
    </row>
    <row r="95" spans="1:4">
      <c r="A95" s="86"/>
      <c r="B95" s="87" t="s">
        <v>869</v>
      </c>
      <c r="C95" s="141" t="s">
        <v>140</v>
      </c>
      <c r="D95" s="89"/>
    </row>
    <row r="96" spans="1:4">
      <c r="A96" s="86"/>
      <c r="B96" s="87" t="s">
        <v>157</v>
      </c>
      <c r="C96" s="141" t="s">
        <v>295</v>
      </c>
      <c r="D96" s="89"/>
    </row>
    <row r="97" spans="1:4">
      <c r="A97" s="86"/>
      <c r="B97" s="87" t="s">
        <v>248</v>
      </c>
      <c r="C97" s="141" t="s">
        <v>1043</v>
      </c>
      <c r="D97" s="89"/>
    </row>
    <row r="98" spans="1:4">
      <c r="A98" s="86"/>
      <c r="B98" s="87" t="s">
        <v>143</v>
      </c>
      <c r="C98" s="141" t="s">
        <v>159</v>
      </c>
      <c r="D98" s="89"/>
    </row>
    <row r="99" spans="1:4">
      <c r="A99" s="86"/>
      <c r="B99" s="87" t="s">
        <v>141</v>
      </c>
      <c r="C99" s="141" t="s">
        <v>146</v>
      </c>
      <c r="D99" s="89" t="s">
        <v>231</v>
      </c>
    </row>
    <row r="100" spans="1:4">
      <c r="A100" s="86"/>
      <c r="B100" s="87" t="s">
        <v>869</v>
      </c>
      <c r="C100" s="141" t="s">
        <v>974</v>
      </c>
      <c r="D100" s="89"/>
    </row>
    <row r="101" spans="1:4">
      <c r="A101" s="86"/>
      <c r="B101" s="87" t="s">
        <v>275</v>
      </c>
      <c r="C101" s="141" t="s">
        <v>159</v>
      </c>
      <c r="D101" s="89"/>
    </row>
    <row r="102" spans="1:4">
      <c r="A102" s="86"/>
      <c r="B102" s="87" t="s">
        <v>347</v>
      </c>
      <c r="C102" s="141" t="s">
        <v>1017</v>
      </c>
      <c r="D102" s="89"/>
    </row>
    <row r="103" spans="1:4">
      <c r="A103" s="86"/>
      <c r="B103" s="87"/>
      <c r="C103" s="141"/>
      <c r="D103" s="89"/>
    </row>
    <row r="104" spans="1:4">
      <c r="A104" s="86"/>
      <c r="B104" s="87"/>
      <c r="C104" s="141"/>
      <c r="D104" s="89"/>
    </row>
    <row r="105" spans="1:4">
      <c r="A105" s="86" t="s">
        <v>1043</v>
      </c>
      <c r="B105" s="87" t="s">
        <v>143</v>
      </c>
      <c r="C105" s="141" t="s">
        <v>159</v>
      </c>
      <c r="D105" s="89"/>
    </row>
    <row r="106" spans="1:4">
      <c r="A106" s="86"/>
      <c r="B106" s="87" t="s">
        <v>141</v>
      </c>
      <c r="C106" s="141" t="s">
        <v>146</v>
      </c>
      <c r="D106" s="89" t="s">
        <v>231</v>
      </c>
    </row>
    <row r="107" spans="1:4">
      <c r="A107" s="86"/>
      <c r="B107" s="87" t="s">
        <v>869</v>
      </c>
      <c r="C107" s="141" t="s">
        <v>974</v>
      </c>
      <c r="D107" s="89"/>
    </row>
    <row r="108" spans="1:4">
      <c r="A108" s="86"/>
      <c r="B108" s="87" t="s">
        <v>275</v>
      </c>
      <c r="C108" s="141" t="s">
        <v>159</v>
      </c>
      <c r="D108" s="89"/>
    </row>
    <row r="109" spans="1:4">
      <c r="A109" s="86"/>
      <c r="B109" s="87" t="s">
        <v>347</v>
      </c>
      <c r="C109" s="141" t="s">
        <v>1041</v>
      </c>
      <c r="D109" s="89"/>
    </row>
    <row r="110" spans="1:4">
      <c r="A110" s="86"/>
      <c r="B110" s="87"/>
      <c r="C110" s="141"/>
      <c r="D110" s="89"/>
    </row>
    <row r="111" spans="1:4">
      <c r="A111" s="86" t="s">
        <v>1039</v>
      </c>
      <c r="B111" s="87" t="s">
        <v>289</v>
      </c>
      <c r="C111" s="141" t="s">
        <v>303</v>
      </c>
      <c r="D111" s="89" t="s">
        <v>1046</v>
      </c>
    </row>
    <row r="112" spans="1:4">
      <c r="A112" s="86"/>
      <c r="B112" s="87" t="s">
        <v>141</v>
      </c>
      <c r="C112" s="141" t="s">
        <v>146</v>
      </c>
      <c r="D112" s="89" t="s">
        <v>878</v>
      </c>
    </row>
    <row r="113" spans="1:4">
      <c r="A113" s="86"/>
      <c r="B113" s="87" t="s">
        <v>973</v>
      </c>
      <c r="C113" s="141"/>
      <c r="D113" s="89"/>
    </row>
    <row r="114" spans="1:4">
      <c r="A114" s="86"/>
      <c r="B114" s="87" t="s">
        <v>184</v>
      </c>
      <c r="C114" s="141"/>
      <c r="D114" s="89"/>
    </row>
    <row r="115" spans="1:4">
      <c r="A115" s="86" t="s">
        <v>1045</v>
      </c>
      <c r="B115" s="87" t="s">
        <v>292</v>
      </c>
      <c r="C115" s="141" t="s">
        <v>1047</v>
      </c>
      <c r="D115" s="89"/>
    </row>
    <row r="116" spans="1:4">
      <c r="A116" s="86" t="s">
        <v>1046</v>
      </c>
      <c r="B116" s="87" t="s">
        <v>292</v>
      </c>
      <c r="C116" s="141" t="s">
        <v>1048</v>
      </c>
      <c r="D116" s="89"/>
    </row>
  </sheetData>
  <mergeCells count="8">
    <mergeCell ref="L1:O1"/>
    <mergeCell ref="R1:U1"/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8" priority="8" operator="containsText" text=" ">
      <formula>NOT(ISERROR(SEARCH(" ",A116)))</formula>
    </cfRule>
  </conditionalFormatting>
  <conditionalFormatting sqref="A116 A91">
    <cfRule type="expression" dxfId="7" priority="7">
      <formula>$E$13=$N91</formula>
    </cfRule>
  </conditionalFormatting>
  <conditionalFormatting sqref="A91">
    <cfRule type="containsText" dxfId="6" priority="6" operator="containsText" text=" ">
      <formula>NOT(ISERROR(SEARCH(" ",A91)))</formula>
    </cfRule>
  </conditionalFormatting>
  <conditionalFormatting sqref="G2:J2">
    <cfRule type="containsText" dxfId="5" priority="4" operator="containsText" text=" ">
      <formula>NOT(ISERROR(SEARCH(" ",G2)))</formula>
    </cfRule>
  </conditionalFormatting>
  <conditionalFormatting sqref="G15">
    <cfRule type="containsText" dxfId="4" priority="2" operator="containsText" text=" ">
      <formula>NOT(ISERROR(SEARCH(" ",G15)))</formula>
    </cfRule>
  </conditionalFormatting>
  <conditionalFormatting sqref="G2:J2 G15">
    <cfRule type="expression" dxfId="3" priority="1039">
      <formula>$E$13=#REF!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DE1A-9ACD-4E83-927B-4B6672E2E048}">
  <sheetPr codeName="Sheet8"/>
  <dimension ref="A1:C7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1" sqref="C11"/>
    </sheetView>
  </sheetViews>
  <sheetFormatPr defaultRowHeight="15"/>
  <cols>
    <col min="1" max="1" width="7.7109375" style="168" bestFit="1" customWidth="1"/>
    <col min="2" max="2" width="15.7109375" style="173" bestFit="1" customWidth="1"/>
    <col min="3" max="3" width="123.42578125" bestFit="1" customWidth="1"/>
  </cols>
  <sheetData>
    <row r="1" spans="1:3" ht="15.75" thickBot="1">
      <c r="A1" s="170" t="s">
        <v>1031</v>
      </c>
      <c r="B1" s="171" t="s">
        <v>1198</v>
      </c>
      <c r="C1" s="10" t="s">
        <v>1199</v>
      </c>
    </row>
    <row r="2" spans="1:3">
      <c r="A2" s="169">
        <v>2</v>
      </c>
      <c r="B2" s="172">
        <v>46090.414097222223</v>
      </c>
      <c r="C2" s="6" t="s">
        <v>1200</v>
      </c>
    </row>
    <row r="3" spans="1:3">
      <c r="A3" s="169">
        <v>2</v>
      </c>
      <c r="B3" s="172">
        <v>46090.4141087963</v>
      </c>
      <c r="C3" s="6" t="s">
        <v>1201</v>
      </c>
    </row>
    <row r="4" spans="1:3">
      <c r="A4" s="169">
        <v>2</v>
      </c>
      <c r="B4" s="172">
        <v>46090.4141087963</v>
      </c>
      <c r="C4" s="6" t="s">
        <v>1202</v>
      </c>
    </row>
    <row r="5" spans="1:3">
      <c r="A5" s="169">
        <v>2</v>
      </c>
      <c r="B5" s="172">
        <v>46090.4141087963</v>
      </c>
      <c r="C5" s="6" t="s">
        <v>1203</v>
      </c>
    </row>
    <row r="6" spans="1:3">
      <c r="A6" s="169">
        <v>2.0099999999999998</v>
      </c>
      <c r="B6" s="172">
        <v>46090.534224537034</v>
      </c>
      <c r="C6" s="6" t="s">
        <v>1204</v>
      </c>
    </row>
    <row r="7" spans="1:3">
      <c r="A7" s="169">
        <v>2.0099999999999998</v>
      </c>
      <c r="B7" s="172">
        <v>46090.534236111111</v>
      </c>
      <c r="C7" s="6" t="s">
        <v>1205</v>
      </c>
    </row>
    <row r="8" spans="1:3">
      <c r="A8" s="169">
        <v>2.02</v>
      </c>
      <c r="B8" s="172">
        <v>46090.790370370371</v>
      </c>
      <c r="C8" s="6" t="s">
        <v>1398</v>
      </c>
    </row>
    <row r="9" spans="1:3">
      <c r="A9" s="169">
        <v>2.02</v>
      </c>
      <c r="B9" s="172">
        <v>46090.790370370371</v>
      </c>
      <c r="C9" s="6" t="s">
        <v>1399</v>
      </c>
    </row>
    <row r="10" spans="1:3">
      <c r="A10" s="169">
        <v>2.0299999999999998</v>
      </c>
      <c r="B10" s="172">
        <v>46092.423506944448</v>
      </c>
      <c r="C10" s="6" t="s">
        <v>1450</v>
      </c>
    </row>
    <row r="11" spans="1:3">
      <c r="A11" s="169">
        <v>2.0299999999999998</v>
      </c>
      <c r="B11" s="172">
        <v>46092.423506944448</v>
      </c>
      <c r="C11" s="6" t="s">
        <v>1451</v>
      </c>
    </row>
    <row r="12" spans="1:3">
      <c r="A12" s="169">
        <v>2.04</v>
      </c>
      <c r="B12" s="172">
        <v>46092.644236111111</v>
      </c>
      <c r="C12" s="6" t="s">
        <v>2191</v>
      </c>
    </row>
    <row r="13" spans="1:3">
      <c r="A13" s="169">
        <v>2.04</v>
      </c>
      <c r="B13" s="172">
        <v>46092.644236111111</v>
      </c>
      <c r="C13" s="6" t="s">
        <v>2192</v>
      </c>
    </row>
    <row r="14" spans="1:3">
      <c r="A14" s="169">
        <v>2.0499999999999998</v>
      </c>
      <c r="B14" s="172">
        <v>46093.630879629629</v>
      </c>
      <c r="C14" s="6" t="s">
        <v>2194</v>
      </c>
    </row>
    <row r="15" spans="1:3">
      <c r="A15" s="169">
        <v>2.0499999999999998</v>
      </c>
      <c r="B15" s="172">
        <v>46093.630879629629</v>
      </c>
      <c r="C15" s="6" t="s">
        <v>2195</v>
      </c>
    </row>
    <row r="16" spans="1:3">
      <c r="A16" s="169">
        <v>2.06</v>
      </c>
      <c r="B16" s="172">
        <v>46093.826828703706</v>
      </c>
      <c r="C16" s="6" t="s">
        <v>2197</v>
      </c>
    </row>
    <row r="17" spans="1:3">
      <c r="A17" s="169">
        <v>2.06</v>
      </c>
      <c r="B17" s="172">
        <v>46093.826828703706</v>
      </c>
      <c r="C17" s="6" t="s">
        <v>2198</v>
      </c>
    </row>
    <row r="18" spans="1:3">
      <c r="A18" s="169">
        <v>2.0699999999999998</v>
      </c>
      <c r="B18" s="172">
        <v>46093.832476851851</v>
      </c>
      <c r="C18" s="6" t="s">
        <v>2199</v>
      </c>
    </row>
    <row r="19" spans="1:3">
      <c r="A19" s="169">
        <v>2.0699999999999998</v>
      </c>
      <c r="B19" s="172">
        <v>46093.832476851851</v>
      </c>
      <c r="C19" s="6" t="s">
        <v>2200</v>
      </c>
    </row>
    <row r="20" spans="1:3">
      <c r="A20" s="169">
        <v>2.08</v>
      </c>
      <c r="B20" s="172">
        <v>46103.862696759257</v>
      </c>
      <c r="C20" s="6" t="s">
        <v>2209</v>
      </c>
    </row>
    <row r="21" spans="1:3">
      <c r="A21" s="169">
        <v>2.08</v>
      </c>
      <c r="B21" s="172">
        <v>46103.862696759257</v>
      </c>
      <c r="C21" s="6" t="s">
        <v>2210</v>
      </c>
    </row>
    <row r="22" spans="1:3">
      <c r="A22" s="169">
        <v>2.09</v>
      </c>
      <c r="B22" s="172">
        <v>46103.879791666666</v>
      </c>
      <c r="C22" s="6" t="s">
        <v>2336</v>
      </c>
    </row>
    <row r="23" spans="1:3">
      <c r="A23" s="169">
        <v>2.09</v>
      </c>
      <c r="B23" s="172">
        <v>46103.879791666666</v>
      </c>
      <c r="C23" s="6" t="s">
        <v>2337</v>
      </c>
    </row>
    <row r="24" spans="1:3">
      <c r="A24" s="169">
        <v>2.1</v>
      </c>
      <c r="B24" s="172">
        <v>46103.889328703706</v>
      </c>
      <c r="C24" s="6" t="s">
        <v>2338</v>
      </c>
    </row>
    <row r="25" spans="1:3">
      <c r="A25" s="169">
        <v>2.1</v>
      </c>
      <c r="B25" s="172">
        <v>46103.889328703706</v>
      </c>
      <c r="C25" s="6" t="s">
        <v>2339</v>
      </c>
    </row>
    <row r="26" spans="1:3">
      <c r="A26" s="169">
        <v>2.11</v>
      </c>
      <c r="B26" s="172">
        <v>46103.901932870373</v>
      </c>
      <c r="C26" s="6" t="s">
        <v>2340</v>
      </c>
    </row>
    <row r="27" spans="1:3">
      <c r="A27" s="169">
        <v>2.11</v>
      </c>
      <c r="B27" s="172">
        <v>46103.901932870373</v>
      </c>
      <c r="C27" s="6" t="s">
        <v>2341</v>
      </c>
    </row>
    <row r="28" spans="1:3">
      <c r="A28" s="169">
        <v>2.12</v>
      </c>
      <c r="B28" s="172">
        <v>46103.925833333335</v>
      </c>
      <c r="C28" s="6" t="s">
        <v>2342</v>
      </c>
    </row>
    <row r="29" spans="1:3">
      <c r="A29" s="169">
        <v>2.12</v>
      </c>
      <c r="B29" s="172">
        <v>46103.925844907404</v>
      </c>
      <c r="C29" s="6" t="s">
        <v>2343</v>
      </c>
    </row>
    <row r="30" spans="1:3">
      <c r="A30" s="169">
        <v>2.13</v>
      </c>
      <c r="B30" s="172">
        <v>46103.960625</v>
      </c>
      <c r="C30" s="6" t="s">
        <v>2348</v>
      </c>
    </row>
    <row r="31" spans="1:3">
      <c r="A31" s="169">
        <v>2.13</v>
      </c>
      <c r="B31" s="172">
        <v>46103.960625</v>
      </c>
      <c r="C31" s="6" t="s">
        <v>2349</v>
      </c>
    </row>
    <row r="32" spans="1:3">
      <c r="A32" s="168">
        <v>2.14</v>
      </c>
      <c r="B32" s="173">
        <v>46104.570196759261</v>
      </c>
      <c r="C32" t="s">
        <v>2351</v>
      </c>
    </row>
    <row r="33" spans="1:3">
      <c r="A33" s="168">
        <v>2.14</v>
      </c>
      <c r="B33" s="173">
        <v>46104.570196759261</v>
      </c>
      <c r="C33" t="s">
        <v>2352</v>
      </c>
    </row>
    <row r="34" spans="1:3">
      <c r="A34" s="168">
        <v>2.15</v>
      </c>
      <c r="B34" s="173">
        <v>46104.58730324074</v>
      </c>
      <c r="C34" t="s">
        <v>2354</v>
      </c>
    </row>
    <row r="35" spans="1:3">
      <c r="A35" s="168">
        <v>2.15</v>
      </c>
      <c r="B35" s="173">
        <v>46104.58730324074</v>
      </c>
      <c r="C35" t="s">
        <v>2355</v>
      </c>
    </row>
    <row r="36" spans="1:3">
      <c r="A36" s="168">
        <v>2.16</v>
      </c>
      <c r="B36" s="173">
        <v>46105.416550925926</v>
      </c>
      <c r="C36" t="s">
        <v>2392</v>
      </c>
    </row>
    <row r="37" spans="1:3">
      <c r="A37" s="168">
        <v>2.16</v>
      </c>
      <c r="B37" s="173">
        <v>46105.416550925926</v>
      </c>
      <c r="C37" t="s">
        <v>2393</v>
      </c>
    </row>
    <row r="38" spans="1:3">
      <c r="A38" s="168">
        <v>2.17</v>
      </c>
      <c r="B38" s="173">
        <v>46105.435995370368</v>
      </c>
      <c r="C38" t="s">
        <v>2394</v>
      </c>
    </row>
    <row r="39" spans="1:3">
      <c r="A39" s="168">
        <v>2.17</v>
      </c>
      <c r="B39" s="173">
        <v>46105.435995370368</v>
      </c>
      <c r="C39" t="s">
        <v>2395</v>
      </c>
    </row>
    <row r="40" spans="1:3">
      <c r="A40" s="168">
        <v>2.1800000000000002</v>
      </c>
      <c r="B40" s="173">
        <v>46105.470081018517</v>
      </c>
      <c r="C40" t="s">
        <v>2396</v>
      </c>
    </row>
    <row r="41" spans="1:3">
      <c r="A41" s="168">
        <v>2.1800000000000002</v>
      </c>
      <c r="B41" s="173">
        <v>46105.470081018517</v>
      </c>
      <c r="C41" t="s">
        <v>2397</v>
      </c>
    </row>
    <row r="42" spans="1:3">
      <c r="A42" s="168">
        <v>2.19</v>
      </c>
      <c r="B42" s="173">
        <v>46105.474259259259</v>
      </c>
      <c r="C42" t="s">
        <v>2398</v>
      </c>
    </row>
    <row r="43" spans="1:3">
      <c r="A43" s="168">
        <v>2.19</v>
      </c>
      <c r="B43" s="173">
        <v>46105.474259259259</v>
      </c>
      <c r="C43" t="s">
        <v>2399</v>
      </c>
    </row>
    <row r="44" spans="1:3">
      <c r="A44" s="168">
        <v>2.2000000000000002</v>
      </c>
      <c r="B44" s="173">
        <v>46105.729247685187</v>
      </c>
      <c r="C44" t="s">
        <v>2400</v>
      </c>
    </row>
    <row r="45" spans="1:3">
      <c r="A45" s="168">
        <v>2.2000000000000002</v>
      </c>
      <c r="B45" s="173">
        <v>46105.729247685187</v>
      </c>
      <c r="C45" t="s">
        <v>2401</v>
      </c>
    </row>
    <row r="46" spans="1:3">
      <c r="A46" s="168">
        <v>2.21</v>
      </c>
      <c r="B46" s="173">
        <v>46111.309108796297</v>
      </c>
      <c r="C46" t="s">
        <v>2402</v>
      </c>
    </row>
    <row r="47" spans="1:3">
      <c r="A47" s="168">
        <v>2.21</v>
      </c>
      <c r="B47" s="173">
        <v>46111.309108796297</v>
      </c>
      <c r="C47" t="s">
        <v>2403</v>
      </c>
    </row>
    <row r="48" spans="1:3">
      <c r="A48" s="168">
        <v>2.2200000000000002</v>
      </c>
      <c r="B48" s="173">
        <v>46111.744722222225</v>
      </c>
      <c r="C48" t="s">
        <v>2404</v>
      </c>
    </row>
    <row r="49" spans="1:3">
      <c r="A49" s="168">
        <v>2.2200000000000002</v>
      </c>
      <c r="B49" s="173">
        <v>46111.744722222225</v>
      </c>
      <c r="C49" t="s">
        <v>2405</v>
      </c>
    </row>
    <row r="50" spans="1:3">
      <c r="A50" s="168">
        <v>2.23</v>
      </c>
      <c r="B50" s="173">
        <v>46112.549687500003</v>
      </c>
      <c r="C50" t="s">
        <v>2406</v>
      </c>
    </row>
    <row r="51" spans="1:3">
      <c r="A51" s="168">
        <v>2.23</v>
      </c>
      <c r="B51" s="173">
        <v>46112.549699074072</v>
      </c>
      <c r="C51" t="s">
        <v>2407</v>
      </c>
    </row>
    <row r="52" spans="1:3">
      <c r="A52" s="168">
        <v>2.2400000000000002</v>
      </c>
      <c r="B52" s="173">
        <v>46112.555439814816</v>
      </c>
      <c r="C52" t="s">
        <v>2408</v>
      </c>
    </row>
    <row r="53" spans="1:3">
      <c r="A53" s="168">
        <v>2.2400000000000002</v>
      </c>
      <c r="B53" s="173">
        <v>46112.555451388886</v>
      </c>
      <c r="C53" t="s">
        <v>2409</v>
      </c>
    </row>
    <row r="54" spans="1:3">
      <c r="A54" s="168">
        <v>2.25</v>
      </c>
      <c r="B54" s="173">
        <v>46112.557974537034</v>
      </c>
      <c r="C54" t="s">
        <v>2410</v>
      </c>
    </row>
    <row r="55" spans="1:3">
      <c r="A55" s="168">
        <v>2.25</v>
      </c>
      <c r="B55" s="173">
        <v>46112.557986111111</v>
      </c>
      <c r="C55" t="s">
        <v>2411</v>
      </c>
    </row>
    <row r="56" spans="1:3">
      <c r="A56" s="168">
        <v>2.2599999999999998</v>
      </c>
      <c r="B56" s="173">
        <v>46112.562060185184</v>
      </c>
      <c r="C56" t="s">
        <v>2412</v>
      </c>
    </row>
    <row r="57" spans="1:3">
      <c r="A57" s="168">
        <v>2.2599999999999998</v>
      </c>
      <c r="B57" s="173">
        <v>46112.562060185184</v>
      </c>
      <c r="C57" t="s">
        <v>2413</v>
      </c>
    </row>
    <row r="58" spans="1:3">
      <c r="A58" s="168">
        <v>2.27</v>
      </c>
      <c r="B58" s="173">
        <v>46112.578321759262</v>
      </c>
      <c r="C58" t="s">
        <v>2414</v>
      </c>
    </row>
    <row r="59" spans="1:3">
      <c r="A59" s="168">
        <v>2.27</v>
      </c>
      <c r="B59" s="173">
        <v>46112.578321759262</v>
      </c>
      <c r="C59" t="s">
        <v>2415</v>
      </c>
    </row>
    <row r="60" spans="1:3">
      <c r="A60" s="168">
        <v>2.2799999999999998</v>
      </c>
      <c r="B60" s="173">
        <v>46113.361481481479</v>
      </c>
      <c r="C60" t="s">
        <v>2416</v>
      </c>
    </row>
    <row r="61" spans="1:3">
      <c r="A61" s="168">
        <v>2.2799999999999998</v>
      </c>
      <c r="B61" s="173">
        <v>46113.361481481479</v>
      </c>
      <c r="C61" t="s">
        <v>2417</v>
      </c>
    </row>
    <row r="62" spans="1:3">
      <c r="A62" s="168">
        <v>2.29</v>
      </c>
      <c r="B62" s="173">
        <v>46113.369016203702</v>
      </c>
      <c r="C62" t="s">
        <v>2424</v>
      </c>
    </row>
    <row r="63" spans="1:3">
      <c r="A63" s="168">
        <v>2.29</v>
      </c>
      <c r="B63" s="173">
        <v>46113.369016203702</v>
      </c>
      <c r="C63" t="s">
        <v>2425</v>
      </c>
    </row>
    <row r="64" spans="1:3">
      <c r="A64" s="168">
        <v>2.2999999999999998</v>
      </c>
      <c r="B64" s="173">
        <v>46113.41510416667</v>
      </c>
      <c r="C64" t="s">
        <v>2426</v>
      </c>
    </row>
    <row r="65" spans="1:3">
      <c r="A65" s="168">
        <v>2.2999999999999998</v>
      </c>
      <c r="B65" s="173">
        <v>46113.41511574074</v>
      </c>
      <c r="C65" t="s">
        <v>2427</v>
      </c>
    </row>
    <row r="66" spans="1:3">
      <c r="A66" s="168">
        <v>2.31</v>
      </c>
      <c r="B66" s="173">
        <v>46113.675185185188</v>
      </c>
      <c r="C66" t="s">
        <v>2429</v>
      </c>
    </row>
    <row r="67" spans="1:3">
      <c r="A67" s="168">
        <v>2.31</v>
      </c>
      <c r="B67" s="173">
        <v>46113.675196759257</v>
      </c>
      <c r="C67" t="s">
        <v>2430</v>
      </c>
    </row>
    <row r="68" spans="1:3">
      <c r="A68" s="168">
        <v>2.3199999999999998</v>
      </c>
      <c r="B68" s="173">
        <v>46114.425682870373</v>
      </c>
      <c r="C68" t="s">
        <v>2467</v>
      </c>
    </row>
    <row r="69" spans="1:3">
      <c r="A69" s="168">
        <v>2.3199999999999998</v>
      </c>
      <c r="B69" s="173">
        <v>46114.425682870373</v>
      </c>
      <c r="C69" t="s">
        <v>2468</v>
      </c>
    </row>
    <row r="70" spans="1:3">
      <c r="A70" s="168">
        <v>2.33</v>
      </c>
      <c r="B70" s="173">
        <v>46114.471655092595</v>
      </c>
      <c r="C70" t="s">
        <v>2469</v>
      </c>
    </row>
    <row r="71" spans="1:3">
      <c r="A71" s="168">
        <v>2.33</v>
      </c>
      <c r="B71" s="173">
        <v>46114.471655092595</v>
      </c>
      <c r="C71" t="s">
        <v>2470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K253"/>
  <sheetViews>
    <sheetView workbookViewId="0">
      <pane xSplit="2" ySplit="1" topLeftCell="C56" activePane="bottomRight" state="frozen"/>
      <selection pane="topRight" activeCell="C1" sqref="C1"/>
      <selection pane="bottomLeft" activeCell="A2" sqref="A2"/>
      <selection pane="bottomRight" activeCell="I19" sqref="I19"/>
    </sheetView>
  </sheetViews>
  <sheetFormatPr defaultRowHeight="15"/>
  <cols>
    <col min="1" max="1" width="12.5703125" bestFit="1" customWidth="1"/>
    <col min="2" max="2" width="4.140625" style="45" bestFit="1" customWidth="1"/>
    <col min="3" max="3" width="6.42578125" style="45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11" ht="15.75" thickBot="1">
      <c r="A1" s="24" t="s">
        <v>876</v>
      </c>
      <c r="B1" s="47" t="s">
        <v>132</v>
      </c>
      <c r="C1" s="47" t="s">
        <v>877</v>
      </c>
      <c r="D1" s="35" t="s">
        <v>123</v>
      </c>
      <c r="E1" s="35" t="s">
        <v>124</v>
      </c>
      <c r="F1" s="35" t="s">
        <v>496</v>
      </c>
      <c r="G1" s="35" t="s">
        <v>497</v>
      </c>
      <c r="H1" s="35" t="s">
        <v>3</v>
      </c>
      <c r="I1" s="142" t="s">
        <v>142</v>
      </c>
      <c r="J1" s="182" t="s">
        <v>206</v>
      </c>
      <c r="K1" s="182" t="s">
        <v>135</v>
      </c>
    </row>
    <row r="2" spans="1:11">
      <c r="A2" s="33" t="s">
        <v>428</v>
      </c>
      <c r="B2" s="48" t="s">
        <v>780</v>
      </c>
      <c r="C2" s="48">
        <f t="shared" ref="C2:C63" si="0">COUNTA(D2:E2)</f>
        <v>1</v>
      </c>
      <c r="D2" s="33" t="s">
        <v>1452</v>
      </c>
      <c r="E2" s="33"/>
      <c r="F2" s="33">
        <v>2</v>
      </c>
      <c r="G2" s="33">
        <v>7</v>
      </c>
      <c r="H2" s="33" t="s">
        <v>781</v>
      </c>
      <c r="I2" s="6" t="str">
        <f t="shared" ref="I2:I63" si="1">A2&amp;IF(IF(D2&lt;&gt;"",IFERROR(FIND(D2,"ABCDEHLMSP"),0),0)=0,""," "&amp;D2)</f>
        <v>ACI</v>
      </c>
      <c r="J2" s="6" cm="1">
        <f t="array" ref="J2">HlpGetInstructionSize(A2,D2,E2)</f>
        <v>1</v>
      </c>
      <c r="K2" s="6">
        <f>IF(F2&lt;&gt;J2,1,0)</f>
        <v>1</v>
      </c>
    </row>
    <row r="3" spans="1:11">
      <c r="A3" s="6" t="s">
        <v>426</v>
      </c>
      <c r="B3" s="49" t="s">
        <v>950</v>
      </c>
      <c r="C3" s="49">
        <f t="shared" si="0"/>
        <v>1</v>
      </c>
      <c r="D3" s="6" t="s">
        <v>144</v>
      </c>
      <c r="E3" s="6"/>
      <c r="F3" s="6">
        <v>1</v>
      </c>
      <c r="G3" s="6">
        <v>4</v>
      </c>
      <c r="H3" s="6" t="s">
        <v>665</v>
      </c>
      <c r="I3" s="6" t="str">
        <f t="shared" si="1"/>
        <v>ADC B</v>
      </c>
      <c r="J3" s="6" t="e" cm="1">
        <f t="array" ref="J3">HlpGetInstructionSize(A3,D3,E3)</f>
        <v>#VALUE!</v>
      </c>
      <c r="K3" s="6" t="e">
        <f>IF(F3&lt;&gt;J3,1,0)</f>
        <v>#VALUE!</v>
      </c>
    </row>
    <row r="4" spans="1:11">
      <c r="A4" s="6" t="s">
        <v>426</v>
      </c>
      <c r="B4" s="49" t="s">
        <v>951</v>
      </c>
      <c r="C4" s="49">
        <f t="shared" si="0"/>
        <v>1</v>
      </c>
      <c r="D4" s="6" t="s">
        <v>182</v>
      </c>
      <c r="E4" s="6"/>
      <c r="F4" s="6">
        <v>1</v>
      </c>
      <c r="G4" s="6">
        <v>4</v>
      </c>
      <c r="H4" s="6" t="s">
        <v>666</v>
      </c>
      <c r="I4" s="6" t="str">
        <f t="shared" si="1"/>
        <v>ADC C</v>
      </c>
      <c r="J4" s="6" t="e" cm="1">
        <f t="array" ref="J4">HlpGetInstructionSize(A4,D4,E4)</f>
        <v>#VALUE!</v>
      </c>
      <c r="K4" s="6" t="e">
        <f t="shared" ref="K4:K63" si="2">IF(F4&lt;&gt;J4,1,0)</f>
        <v>#VALUE!</v>
      </c>
    </row>
    <row r="5" spans="1:11">
      <c r="A5" s="6" t="s">
        <v>426</v>
      </c>
      <c r="B5" s="49" t="s">
        <v>667</v>
      </c>
      <c r="C5" s="49">
        <f t="shared" si="0"/>
        <v>1</v>
      </c>
      <c r="D5" s="6" t="s">
        <v>183</v>
      </c>
      <c r="E5" s="6"/>
      <c r="F5" s="6">
        <v>1</v>
      </c>
      <c r="G5" s="6">
        <v>4</v>
      </c>
      <c r="H5" s="6" t="s">
        <v>668</v>
      </c>
      <c r="I5" s="6" t="str">
        <f t="shared" si="1"/>
        <v>ADC D</v>
      </c>
      <c r="J5" s="6" t="e" cm="1">
        <f t="array" ref="J5">HlpGetInstructionSize(A5,D5,E5)</f>
        <v>#VALUE!</v>
      </c>
      <c r="K5" s="6" t="e">
        <f t="shared" si="2"/>
        <v>#VALUE!</v>
      </c>
    </row>
    <row r="6" spans="1:11">
      <c r="A6" s="6" t="s">
        <v>426</v>
      </c>
      <c r="B6" s="49" t="s">
        <v>669</v>
      </c>
      <c r="C6" s="49">
        <f t="shared" si="0"/>
        <v>1</v>
      </c>
      <c r="D6" s="6" t="s">
        <v>265</v>
      </c>
      <c r="E6" s="6"/>
      <c r="F6" s="6">
        <v>1</v>
      </c>
      <c r="G6" s="6">
        <v>4</v>
      </c>
      <c r="H6" s="6" t="s">
        <v>670</v>
      </c>
      <c r="I6" s="6" t="str">
        <f t="shared" si="1"/>
        <v>ADC E</v>
      </c>
      <c r="J6" s="6" t="e" cm="1">
        <f t="array" ref="J6">HlpGetInstructionSize(A6,D6,E6)</f>
        <v>#VALUE!</v>
      </c>
      <c r="K6" s="6" t="e">
        <f t="shared" si="2"/>
        <v>#VALUE!</v>
      </c>
    </row>
    <row r="7" spans="1:11">
      <c r="A7" s="6" t="s">
        <v>426</v>
      </c>
      <c r="B7" s="49" t="s">
        <v>671</v>
      </c>
      <c r="C7" s="49">
        <f t="shared" si="0"/>
        <v>1</v>
      </c>
      <c r="D7" s="6" t="s">
        <v>303</v>
      </c>
      <c r="E7" s="6"/>
      <c r="F7" s="6">
        <v>1</v>
      </c>
      <c r="G7" s="6">
        <v>4</v>
      </c>
      <c r="H7" s="6" t="s">
        <v>672</v>
      </c>
      <c r="I7" s="6" t="str">
        <f t="shared" si="1"/>
        <v>ADC H</v>
      </c>
      <c r="J7" s="6" t="e" cm="1">
        <f t="array" ref="J7">HlpGetInstructionSize(A7,D7,E7)</f>
        <v>#VALUE!</v>
      </c>
      <c r="K7" s="6" t="e">
        <f t="shared" si="2"/>
        <v>#VALUE!</v>
      </c>
    </row>
    <row r="8" spans="1:11">
      <c r="A8" s="6" t="s">
        <v>426</v>
      </c>
      <c r="B8" s="49" t="s">
        <v>673</v>
      </c>
      <c r="C8" s="49">
        <f t="shared" si="0"/>
        <v>1</v>
      </c>
      <c r="D8" s="6" t="s">
        <v>327</v>
      </c>
      <c r="E8" s="6"/>
      <c r="F8" s="6">
        <v>1</v>
      </c>
      <c r="G8" s="6">
        <v>4</v>
      </c>
      <c r="H8" s="6" t="s">
        <v>674</v>
      </c>
      <c r="I8" s="6" t="str">
        <f t="shared" si="1"/>
        <v>ADC L</v>
      </c>
      <c r="J8" s="6" t="e" cm="1">
        <f t="array" ref="J8">HlpGetInstructionSize(A8,D8,E8)</f>
        <v>#VALUE!</v>
      </c>
      <c r="K8" s="6" t="e">
        <f t="shared" si="2"/>
        <v>#VALUE!</v>
      </c>
    </row>
    <row r="9" spans="1:11">
      <c r="A9" s="6" t="s">
        <v>426</v>
      </c>
      <c r="B9" s="49" t="s">
        <v>675</v>
      </c>
      <c r="C9" s="49">
        <f t="shared" si="0"/>
        <v>1</v>
      </c>
      <c r="D9" s="6" t="s">
        <v>577</v>
      </c>
      <c r="E9" s="6"/>
      <c r="F9" s="6">
        <v>1</v>
      </c>
      <c r="G9" s="6">
        <v>7</v>
      </c>
      <c r="H9" s="6" t="s">
        <v>676</v>
      </c>
      <c r="I9" s="6" t="str">
        <f t="shared" si="1"/>
        <v>ADC M</v>
      </c>
      <c r="J9" s="6" t="e" cm="1">
        <f t="array" ref="J9">HlpGetInstructionSize(A9,D9,E9)</f>
        <v>#VALUE!</v>
      </c>
      <c r="K9" s="6" t="e">
        <f t="shared" si="2"/>
        <v>#VALUE!</v>
      </c>
    </row>
    <row r="10" spans="1:11">
      <c r="A10" s="6" t="s">
        <v>426</v>
      </c>
      <c r="B10" s="49" t="s">
        <v>677</v>
      </c>
      <c r="C10" s="49">
        <f t="shared" si="0"/>
        <v>1</v>
      </c>
      <c r="D10" s="6" t="s">
        <v>146</v>
      </c>
      <c r="E10" s="6"/>
      <c r="F10" s="6">
        <v>1</v>
      </c>
      <c r="G10" s="6">
        <v>4</v>
      </c>
      <c r="H10" s="6" t="s">
        <v>678</v>
      </c>
      <c r="I10" s="6" t="str">
        <f t="shared" si="1"/>
        <v>ADC A</v>
      </c>
      <c r="J10" s="6" cm="1">
        <f t="array" ref="J10">HlpGetInstructionSize(A10,D10,E10)</f>
        <v>1</v>
      </c>
      <c r="K10" s="6">
        <f t="shared" si="2"/>
        <v>0</v>
      </c>
    </row>
    <row r="11" spans="1:11">
      <c r="A11" s="6" t="s">
        <v>392</v>
      </c>
      <c r="B11" s="49" t="s">
        <v>216</v>
      </c>
      <c r="C11" s="49">
        <f t="shared" si="0"/>
        <v>1</v>
      </c>
      <c r="D11" s="6" t="s">
        <v>144</v>
      </c>
      <c r="E11" s="6"/>
      <c r="F11" s="6">
        <v>1</v>
      </c>
      <c r="G11" s="6">
        <v>4</v>
      </c>
      <c r="H11" s="6" t="s">
        <v>657</v>
      </c>
      <c r="I11" s="6" t="str">
        <f t="shared" si="1"/>
        <v>ADD B</v>
      </c>
      <c r="J11" s="6" cm="1">
        <f t="array" ref="J11">HlpGetInstructionSize(A11,D11,E11)</f>
        <v>1</v>
      </c>
      <c r="K11" s="6">
        <f t="shared" si="2"/>
        <v>0</v>
      </c>
    </row>
    <row r="12" spans="1:11">
      <c r="A12" s="6" t="s">
        <v>392</v>
      </c>
      <c r="B12" s="49" t="s">
        <v>449</v>
      </c>
      <c r="C12" s="49">
        <f t="shared" si="0"/>
        <v>1</v>
      </c>
      <c r="D12" s="6" t="s">
        <v>182</v>
      </c>
      <c r="E12" s="6"/>
      <c r="F12" s="6">
        <v>1</v>
      </c>
      <c r="G12" s="6">
        <v>4</v>
      </c>
      <c r="H12" s="6" t="s">
        <v>658</v>
      </c>
      <c r="I12" s="6" t="str">
        <f t="shared" si="1"/>
        <v>ADD C</v>
      </c>
      <c r="J12" s="6" cm="1">
        <f t="array" ref="J12">HlpGetInstructionSize(A12,D12,E12)</f>
        <v>1</v>
      </c>
      <c r="K12" s="6">
        <f t="shared" si="2"/>
        <v>0</v>
      </c>
    </row>
    <row r="13" spans="1:11">
      <c r="A13" s="6" t="s">
        <v>392</v>
      </c>
      <c r="B13" s="49" t="s">
        <v>276</v>
      </c>
      <c r="C13" s="49">
        <f t="shared" si="0"/>
        <v>1</v>
      </c>
      <c r="D13" s="6" t="s">
        <v>183</v>
      </c>
      <c r="E13" s="6"/>
      <c r="F13" s="6">
        <v>1</v>
      </c>
      <c r="G13" s="6">
        <v>4</v>
      </c>
      <c r="H13" s="6" t="s">
        <v>659</v>
      </c>
      <c r="I13" s="6" t="str">
        <f t="shared" si="1"/>
        <v>ADD D</v>
      </c>
      <c r="J13" s="6" cm="1">
        <f t="array" ref="J13">HlpGetInstructionSize(A13,D13,E13)</f>
        <v>1</v>
      </c>
      <c r="K13" s="6">
        <f t="shared" si="2"/>
        <v>0</v>
      </c>
    </row>
    <row r="14" spans="1:11">
      <c r="A14" s="6" t="s">
        <v>392</v>
      </c>
      <c r="B14" s="49" t="s">
        <v>945</v>
      </c>
      <c r="C14" s="49">
        <f t="shared" si="0"/>
        <v>1</v>
      </c>
      <c r="D14" s="6" t="s">
        <v>265</v>
      </c>
      <c r="E14" s="6"/>
      <c r="F14" s="6">
        <v>1</v>
      </c>
      <c r="G14" s="6">
        <v>4</v>
      </c>
      <c r="H14" s="6" t="s">
        <v>660</v>
      </c>
      <c r="I14" s="6" t="str">
        <f t="shared" si="1"/>
        <v>ADD E</v>
      </c>
      <c r="J14" s="6" cm="1">
        <f t="array" ref="J14">HlpGetInstructionSize(A14,D14,E14)</f>
        <v>1</v>
      </c>
      <c r="K14" s="6">
        <f t="shared" si="2"/>
        <v>0</v>
      </c>
    </row>
    <row r="15" spans="1:11">
      <c r="A15" s="6" t="s">
        <v>392</v>
      </c>
      <c r="B15" s="49" t="s">
        <v>946</v>
      </c>
      <c r="C15" s="49">
        <f t="shared" si="0"/>
        <v>1</v>
      </c>
      <c r="D15" s="6" t="s">
        <v>303</v>
      </c>
      <c r="E15" s="6"/>
      <c r="F15" s="6">
        <v>1</v>
      </c>
      <c r="G15" s="6">
        <v>4</v>
      </c>
      <c r="H15" s="6" t="s">
        <v>661</v>
      </c>
      <c r="I15" s="6" t="str">
        <f t="shared" si="1"/>
        <v>ADD H</v>
      </c>
      <c r="J15" s="6" cm="1">
        <f t="array" ref="J15">HlpGetInstructionSize(A15,D15,E15)</f>
        <v>1</v>
      </c>
      <c r="K15" s="6">
        <f t="shared" si="2"/>
        <v>0</v>
      </c>
    </row>
    <row r="16" spans="1:11">
      <c r="A16" s="6" t="s">
        <v>392</v>
      </c>
      <c r="B16" s="49" t="s">
        <v>947</v>
      </c>
      <c r="C16" s="49">
        <f t="shared" si="0"/>
        <v>1</v>
      </c>
      <c r="D16" s="6" t="s">
        <v>327</v>
      </c>
      <c r="E16" s="6"/>
      <c r="F16" s="6">
        <v>1</v>
      </c>
      <c r="G16" s="6">
        <v>4</v>
      </c>
      <c r="H16" s="6" t="s">
        <v>662</v>
      </c>
      <c r="I16" s="6" t="str">
        <f t="shared" si="1"/>
        <v>ADD L</v>
      </c>
      <c r="J16" s="6" cm="1">
        <f t="array" ref="J16">HlpGetInstructionSize(A16,D16,E16)</f>
        <v>1</v>
      </c>
      <c r="K16" s="6">
        <f t="shared" si="2"/>
        <v>0</v>
      </c>
    </row>
    <row r="17" spans="1:11">
      <c r="A17" s="6" t="s">
        <v>392</v>
      </c>
      <c r="B17" s="49" t="s">
        <v>948</v>
      </c>
      <c r="C17" s="49">
        <f t="shared" si="0"/>
        <v>1</v>
      </c>
      <c r="D17" s="6" t="s">
        <v>577</v>
      </c>
      <c r="E17" s="6"/>
      <c r="F17" s="6">
        <v>1</v>
      </c>
      <c r="G17" s="6">
        <v>7</v>
      </c>
      <c r="H17" s="6" t="s">
        <v>663</v>
      </c>
      <c r="I17" s="6" t="str">
        <f t="shared" si="1"/>
        <v>ADD M</v>
      </c>
      <c r="J17" s="6" cm="1">
        <f t="array" ref="J17">HlpGetInstructionSize(A17,D17,E17)</f>
        <v>1</v>
      </c>
      <c r="K17" s="6">
        <f t="shared" si="2"/>
        <v>0</v>
      </c>
    </row>
    <row r="18" spans="1:11">
      <c r="A18" s="6" t="s">
        <v>392</v>
      </c>
      <c r="B18" s="49" t="s">
        <v>949</v>
      </c>
      <c r="C18" s="49">
        <f t="shared" si="0"/>
        <v>1</v>
      </c>
      <c r="D18" s="6" t="s">
        <v>146</v>
      </c>
      <c r="E18" s="6"/>
      <c r="F18" s="6">
        <v>1</v>
      </c>
      <c r="G18" s="6">
        <v>4</v>
      </c>
      <c r="H18" s="6" t="s">
        <v>664</v>
      </c>
      <c r="I18" s="6" t="str">
        <f t="shared" si="1"/>
        <v>ADD A</v>
      </c>
      <c r="J18" s="6" cm="1">
        <f t="array" ref="J18">HlpGetInstructionSize(A18,D18,E18)</f>
        <v>1</v>
      </c>
      <c r="K18" s="6">
        <f t="shared" si="2"/>
        <v>0</v>
      </c>
    </row>
    <row r="19" spans="1:11">
      <c r="A19" s="6" t="s">
        <v>395</v>
      </c>
      <c r="B19" s="49" t="s">
        <v>766</v>
      </c>
      <c r="C19" s="49">
        <f t="shared" si="0"/>
        <v>1</v>
      </c>
      <c r="D19" s="6" t="s">
        <v>1452</v>
      </c>
      <c r="E19" s="6"/>
      <c r="F19" s="6">
        <v>2</v>
      </c>
      <c r="G19" s="6">
        <v>7</v>
      </c>
      <c r="H19" s="6" t="s">
        <v>767</v>
      </c>
      <c r="I19" s="6" t="str">
        <f t="shared" si="1"/>
        <v>ADI</v>
      </c>
      <c r="J19" s="6" cm="1">
        <f t="array" ref="J19">HlpGetInstructionSize(A19,D19,E19)</f>
        <v>1</v>
      </c>
      <c r="K19" s="6">
        <f t="shared" si="2"/>
        <v>1</v>
      </c>
    </row>
    <row r="20" spans="1:11">
      <c r="A20" s="6" t="s">
        <v>401</v>
      </c>
      <c r="B20" s="49" t="s">
        <v>701</v>
      </c>
      <c r="C20" s="49">
        <f t="shared" si="0"/>
        <v>1</v>
      </c>
      <c r="D20" s="6" t="s">
        <v>144</v>
      </c>
      <c r="E20" s="6"/>
      <c r="F20" s="6">
        <v>1</v>
      </c>
      <c r="G20" s="6">
        <v>4</v>
      </c>
      <c r="H20" s="6" t="s">
        <v>702</v>
      </c>
      <c r="I20" s="6" t="str">
        <f t="shared" si="1"/>
        <v>ANA B</v>
      </c>
      <c r="J20" s="6" cm="1">
        <f t="array" ref="J20">HlpGetInstructionSize(A20,D20,E20)</f>
        <v>1</v>
      </c>
      <c r="K20" s="6">
        <f t="shared" si="2"/>
        <v>0</v>
      </c>
    </row>
    <row r="21" spans="1:11">
      <c r="A21" s="6" t="s">
        <v>401</v>
      </c>
      <c r="B21" s="49" t="s">
        <v>703</v>
      </c>
      <c r="C21" s="49">
        <f t="shared" si="0"/>
        <v>1</v>
      </c>
      <c r="D21" s="6" t="s">
        <v>182</v>
      </c>
      <c r="E21" s="6"/>
      <c r="F21" s="6">
        <v>1</v>
      </c>
      <c r="G21" s="6">
        <v>4</v>
      </c>
      <c r="H21" s="6" t="s">
        <v>704</v>
      </c>
      <c r="I21" s="6" t="str">
        <f t="shared" si="1"/>
        <v>ANA C</v>
      </c>
      <c r="J21" s="6" cm="1">
        <f t="array" ref="J21">HlpGetInstructionSize(A21,D21,E21)</f>
        <v>1</v>
      </c>
      <c r="K21" s="6">
        <f t="shared" si="2"/>
        <v>0</v>
      </c>
    </row>
    <row r="22" spans="1:11">
      <c r="A22" s="6" t="s">
        <v>401</v>
      </c>
      <c r="B22" s="49" t="s">
        <v>705</v>
      </c>
      <c r="C22" s="49">
        <f t="shared" si="0"/>
        <v>1</v>
      </c>
      <c r="D22" s="6" t="s">
        <v>183</v>
      </c>
      <c r="E22" s="6"/>
      <c r="F22" s="6">
        <v>1</v>
      </c>
      <c r="G22" s="6">
        <v>4</v>
      </c>
      <c r="H22" s="6" t="s">
        <v>706</v>
      </c>
      <c r="I22" s="6" t="str">
        <f t="shared" si="1"/>
        <v>ANA D</v>
      </c>
      <c r="J22" s="6" cm="1">
        <f t="array" ref="J22">HlpGetInstructionSize(A22,D22,E22)</f>
        <v>1</v>
      </c>
      <c r="K22" s="6">
        <f t="shared" si="2"/>
        <v>0</v>
      </c>
    </row>
    <row r="23" spans="1:11">
      <c r="A23" s="6" t="s">
        <v>401</v>
      </c>
      <c r="B23" s="49" t="s">
        <v>707</v>
      </c>
      <c r="C23" s="49">
        <f t="shared" si="0"/>
        <v>1</v>
      </c>
      <c r="D23" s="6" t="s">
        <v>265</v>
      </c>
      <c r="E23" s="6"/>
      <c r="F23" s="6">
        <v>1</v>
      </c>
      <c r="G23" s="6">
        <v>4</v>
      </c>
      <c r="H23" s="6" t="s">
        <v>708</v>
      </c>
      <c r="I23" s="6" t="str">
        <f t="shared" si="1"/>
        <v>ANA E</v>
      </c>
      <c r="J23" s="6" cm="1">
        <f t="array" ref="J23">HlpGetInstructionSize(A23,D23,E23)</f>
        <v>1</v>
      </c>
      <c r="K23" s="6">
        <f t="shared" si="2"/>
        <v>0</v>
      </c>
    </row>
    <row r="24" spans="1:11">
      <c r="A24" s="6" t="s">
        <v>401</v>
      </c>
      <c r="B24" s="49" t="s">
        <v>709</v>
      </c>
      <c r="C24" s="49">
        <f t="shared" si="0"/>
        <v>1</v>
      </c>
      <c r="D24" s="6" t="s">
        <v>303</v>
      </c>
      <c r="E24" s="6"/>
      <c r="F24" s="6">
        <v>1</v>
      </c>
      <c r="G24" s="6">
        <v>4</v>
      </c>
      <c r="H24" s="6" t="s">
        <v>710</v>
      </c>
      <c r="I24" s="6" t="str">
        <f t="shared" si="1"/>
        <v>ANA H</v>
      </c>
      <c r="J24" s="6" cm="1">
        <f t="array" ref="J24">HlpGetInstructionSize(A24,D24,E24)</f>
        <v>1</v>
      </c>
      <c r="K24" s="6">
        <f t="shared" si="2"/>
        <v>0</v>
      </c>
    </row>
    <row r="25" spans="1:11">
      <c r="A25" s="6" t="s">
        <v>401</v>
      </c>
      <c r="B25" s="49" t="s">
        <v>711</v>
      </c>
      <c r="C25" s="49">
        <f t="shared" si="0"/>
        <v>1</v>
      </c>
      <c r="D25" s="6" t="s">
        <v>327</v>
      </c>
      <c r="E25" s="6"/>
      <c r="F25" s="6">
        <v>1</v>
      </c>
      <c r="G25" s="6">
        <v>4</v>
      </c>
      <c r="H25" s="6" t="s">
        <v>712</v>
      </c>
      <c r="I25" s="6" t="str">
        <f t="shared" si="1"/>
        <v>ANA L</v>
      </c>
      <c r="J25" s="6" cm="1">
        <f t="array" ref="J25">HlpGetInstructionSize(A25,D25,E25)</f>
        <v>1</v>
      </c>
      <c r="K25" s="6">
        <f t="shared" si="2"/>
        <v>0</v>
      </c>
    </row>
    <row r="26" spans="1:11">
      <c r="A26" s="6" t="s">
        <v>401</v>
      </c>
      <c r="B26" s="49" t="s">
        <v>713</v>
      </c>
      <c r="C26" s="49">
        <f t="shared" si="0"/>
        <v>1</v>
      </c>
      <c r="D26" s="6" t="s">
        <v>577</v>
      </c>
      <c r="E26" s="6"/>
      <c r="F26" s="6">
        <v>1</v>
      </c>
      <c r="G26" s="6">
        <v>7</v>
      </c>
      <c r="H26" s="6" t="s">
        <v>714</v>
      </c>
      <c r="I26" s="6" t="str">
        <f t="shared" si="1"/>
        <v>ANA M</v>
      </c>
      <c r="J26" s="6" cm="1">
        <f t="array" ref="J26">HlpGetInstructionSize(A26,D26,E26)</f>
        <v>1</v>
      </c>
      <c r="K26" s="6">
        <f t="shared" si="2"/>
        <v>0</v>
      </c>
    </row>
    <row r="27" spans="1:11">
      <c r="A27" s="6" t="s">
        <v>401</v>
      </c>
      <c r="B27" s="49" t="s">
        <v>715</v>
      </c>
      <c r="C27" s="49">
        <f t="shared" si="0"/>
        <v>1</v>
      </c>
      <c r="D27" s="6" t="s">
        <v>146</v>
      </c>
      <c r="E27" s="6"/>
      <c r="F27" s="6">
        <v>1</v>
      </c>
      <c r="G27" s="6">
        <v>4</v>
      </c>
      <c r="H27" s="6" t="s">
        <v>716</v>
      </c>
      <c r="I27" s="6" t="str">
        <f t="shared" si="1"/>
        <v>ANA A</v>
      </c>
      <c r="J27" s="6" cm="1">
        <f t="array" ref="J27">HlpGetInstructionSize(A27,D27,E27)</f>
        <v>1</v>
      </c>
      <c r="K27" s="6">
        <f t="shared" si="2"/>
        <v>0</v>
      </c>
    </row>
    <row r="28" spans="1:11">
      <c r="A28" s="6" t="s">
        <v>147</v>
      </c>
      <c r="B28" s="49" t="s">
        <v>827</v>
      </c>
      <c r="C28" s="49">
        <f t="shared" si="0"/>
        <v>1</v>
      </c>
      <c r="D28" s="6" t="s">
        <v>1452</v>
      </c>
      <c r="E28" s="6"/>
      <c r="F28" s="6">
        <v>2</v>
      </c>
      <c r="G28" s="6">
        <v>7</v>
      </c>
      <c r="H28" s="6" t="s">
        <v>828</v>
      </c>
      <c r="I28" s="6" t="str">
        <f t="shared" si="1"/>
        <v>ANI</v>
      </c>
      <c r="J28" s="6" cm="1">
        <f t="array" ref="J28">HlpGetInstructionSize(A28,D28,E28)</f>
        <v>1</v>
      </c>
      <c r="K28" s="6">
        <f t="shared" si="2"/>
        <v>1</v>
      </c>
    </row>
    <row r="29" spans="1:11">
      <c r="A29" s="6" t="s">
        <v>190</v>
      </c>
      <c r="B29" s="49" t="s">
        <v>478</v>
      </c>
      <c r="C29" s="49">
        <f t="shared" si="0"/>
        <v>1</v>
      </c>
      <c r="D29" s="6" t="s">
        <v>1453</v>
      </c>
      <c r="E29" s="6"/>
      <c r="F29" s="6">
        <v>3</v>
      </c>
      <c r="G29" s="6">
        <v>11</v>
      </c>
      <c r="H29" s="6" t="s">
        <v>779</v>
      </c>
      <c r="I29" s="6" t="str">
        <f t="shared" si="1"/>
        <v>CALL</v>
      </c>
      <c r="J29" s="6" cm="1">
        <f t="array" ref="J29">HlpGetInstructionSize(A29,D29,E29)</f>
        <v>1</v>
      </c>
      <c r="K29" s="6">
        <f t="shared" si="2"/>
        <v>1</v>
      </c>
    </row>
    <row r="30" spans="1:11">
      <c r="A30" s="6" t="s">
        <v>777</v>
      </c>
      <c r="B30" s="49" t="s">
        <v>808</v>
      </c>
      <c r="C30" s="49">
        <f t="shared" si="0"/>
        <v>1</v>
      </c>
      <c r="D30" s="6" t="s">
        <v>1453</v>
      </c>
      <c r="E30" s="6"/>
      <c r="F30" s="6">
        <v>3</v>
      </c>
      <c r="G30" s="6">
        <v>5</v>
      </c>
      <c r="H30" s="6" t="s">
        <v>809</v>
      </c>
      <c r="I30" s="6" t="str">
        <f t="shared" si="1"/>
        <v>CC</v>
      </c>
      <c r="J30" s="6" cm="1">
        <f t="array" ref="J30">HlpGetInstructionSize(A30,D30,E30)</f>
        <v>1</v>
      </c>
      <c r="K30" s="6">
        <f t="shared" si="2"/>
        <v>1</v>
      </c>
    </row>
    <row r="31" spans="1:11">
      <c r="A31" s="6" t="s">
        <v>1101</v>
      </c>
      <c r="B31" s="49" t="s">
        <v>1027</v>
      </c>
      <c r="C31" s="49">
        <f t="shared" si="0"/>
        <v>1</v>
      </c>
      <c r="D31" s="6" t="s">
        <v>1453</v>
      </c>
      <c r="E31" s="6"/>
      <c r="F31" s="6">
        <v>3</v>
      </c>
      <c r="G31" s="6">
        <v>10</v>
      </c>
      <c r="H31" s="6" t="s">
        <v>1115</v>
      </c>
      <c r="I31" s="6" t="str">
        <f t="shared" si="1"/>
        <v>CM</v>
      </c>
      <c r="J31" s="6" cm="1">
        <f t="array" ref="J31">HlpGetInstructionSize(A31,D31,E31)</f>
        <v>1</v>
      </c>
      <c r="K31" s="6">
        <f>IF(F31&lt;&gt;J31,1,0)</f>
        <v>1</v>
      </c>
    </row>
    <row r="32" spans="1:11">
      <c r="A32" s="6" t="s">
        <v>68</v>
      </c>
      <c r="B32" s="49" t="s">
        <v>552</v>
      </c>
      <c r="C32" s="49">
        <f t="shared" si="0"/>
        <v>1</v>
      </c>
      <c r="D32" s="6" t="s">
        <v>259</v>
      </c>
      <c r="E32" s="6"/>
      <c r="F32" s="6">
        <v>1</v>
      </c>
      <c r="G32" s="6">
        <v>4</v>
      </c>
      <c r="H32" s="6" t="s">
        <v>553</v>
      </c>
      <c r="I32" s="6" t="str">
        <f t="shared" si="1"/>
        <v>CMA</v>
      </c>
      <c r="J32" s="6" cm="1">
        <f t="array" ref="J32">HlpGetInstructionSize(A32,D32,E32)</f>
        <v>1</v>
      </c>
      <c r="K32" s="6">
        <f t="shared" si="2"/>
        <v>0</v>
      </c>
    </row>
    <row r="33" spans="1:11">
      <c r="A33" s="6" t="s">
        <v>70</v>
      </c>
      <c r="B33" s="49" t="s">
        <v>397</v>
      </c>
      <c r="C33" s="49">
        <f t="shared" si="0"/>
        <v>1</v>
      </c>
      <c r="D33" s="6" t="s">
        <v>259</v>
      </c>
      <c r="E33" s="6"/>
      <c r="F33" s="6">
        <v>1</v>
      </c>
      <c r="G33" s="6">
        <v>4</v>
      </c>
      <c r="H33" s="6" t="s">
        <v>570</v>
      </c>
      <c r="I33" s="6" t="str">
        <f t="shared" si="1"/>
        <v>CMC</v>
      </c>
      <c r="J33" s="6" cm="1">
        <f t="array" ref="J33">HlpGetInstructionSize(A33,D33,E33)</f>
        <v>1</v>
      </c>
      <c r="K33" s="6">
        <f t="shared" si="2"/>
        <v>0</v>
      </c>
    </row>
    <row r="34" spans="1:11">
      <c r="A34" s="6" t="s">
        <v>865</v>
      </c>
      <c r="B34" s="49" t="s">
        <v>738</v>
      </c>
      <c r="C34" s="49">
        <f t="shared" si="0"/>
        <v>1</v>
      </c>
      <c r="D34" s="6" t="s">
        <v>144</v>
      </c>
      <c r="E34" s="6"/>
      <c r="F34" s="6">
        <v>1</v>
      </c>
      <c r="G34" s="6">
        <v>4</v>
      </c>
      <c r="H34" s="6" t="s">
        <v>739</v>
      </c>
      <c r="I34" s="6" t="str">
        <f t="shared" si="1"/>
        <v>CMP B</v>
      </c>
      <c r="J34" s="6" t="e" cm="1">
        <f t="array" ref="J34">HlpGetInstructionSize(A34,D34,E34)</f>
        <v>#VALUE!</v>
      </c>
      <c r="K34" s="6" t="e">
        <f t="shared" si="2"/>
        <v>#VALUE!</v>
      </c>
    </row>
    <row r="35" spans="1:11">
      <c r="A35" s="6" t="s">
        <v>865</v>
      </c>
      <c r="B35" s="49" t="s">
        <v>740</v>
      </c>
      <c r="C35" s="49">
        <f t="shared" si="0"/>
        <v>1</v>
      </c>
      <c r="D35" s="6" t="s">
        <v>182</v>
      </c>
      <c r="E35" s="6"/>
      <c r="F35" s="6">
        <v>1</v>
      </c>
      <c r="G35" s="6">
        <v>4</v>
      </c>
      <c r="H35" s="6" t="s">
        <v>741</v>
      </c>
      <c r="I35" s="6" t="str">
        <f t="shared" si="1"/>
        <v>CMP C</v>
      </c>
      <c r="J35" s="6" t="e" cm="1">
        <f t="array" ref="J35">HlpGetInstructionSize(A35,D35,E35)</f>
        <v>#VALUE!</v>
      </c>
      <c r="K35" s="6" t="e">
        <f t="shared" si="2"/>
        <v>#VALUE!</v>
      </c>
    </row>
    <row r="36" spans="1:11">
      <c r="A36" s="6" t="s">
        <v>865</v>
      </c>
      <c r="B36" s="49" t="s">
        <v>742</v>
      </c>
      <c r="C36" s="49">
        <f t="shared" si="0"/>
        <v>1</v>
      </c>
      <c r="D36" s="6" t="s">
        <v>183</v>
      </c>
      <c r="E36" s="6"/>
      <c r="F36" s="6">
        <v>1</v>
      </c>
      <c r="G36" s="6">
        <v>4</v>
      </c>
      <c r="H36" s="6" t="s">
        <v>743</v>
      </c>
      <c r="I36" s="6" t="str">
        <f t="shared" si="1"/>
        <v>CMP D</v>
      </c>
      <c r="J36" s="6" t="e" cm="1">
        <f t="array" ref="J36">HlpGetInstructionSize(A36,D36,E36)</f>
        <v>#VALUE!</v>
      </c>
      <c r="K36" s="6" t="e">
        <f t="shared" si="2"/>
        <v>#VALUE!</v>
      </c>
    </row>
    <row r="37" spans="1:11">
      <c r="A37" s="6" t="s">
        <v>865</v>
      </c>
      <c r="B37" s="49" t="s">
        <v>744</v>
      </c>
      <c r="C37" s="49">
        <f t="shared" si="0"/>
        <v>1</v>
      </c>
      <c r="D37" s="6" t="s">
        <v>265</v>
      </c>
      <c r="E37" s="6"/>
      <c r="F37" s="6">
        <v>1</v>
      </c>
      <c r="G37" s="6">
        <v>4</v>
      </c>
      <c r="H37" s="6" t="s">
        <v>745</v>
      </c>
      <c r="I37" s="6" t="str">
        <f t="shared" si="1"/>
        <v>CMP E</v>
      </c>
      <c r="J37" s="6" t="e" cm="1">
        <f t="array" ref="J37">HlpGetInstructionSize(A37,D37,E37)</f>
        <v>#VALUE!</v>
      </c>
      <c r="K37" s="6" t="e">
        <f t="shared" si="2"/>
        <v>#VALUE!</v>
      </c>
    </row>
    <row r="38" spans="1:11">
      <c r="A38" s="6" t="s">
        <v>865</v>
      </c>
      <c r="B38" s="49" t="s">
        <v>336</v>
      </c>
      <c r="C38" s="49">
        <f t="shared" si="0"/>
        <v>1</v>
      </c>
      <c r="D38" s="6" t="s">
        <v>303</v>
      </c>
      <c r="E38" s="6"/>
      <c r="F38" s="6">
        <v>1</v>
      </c>
      <c r="G38" s="6">
        <v>4</v>
      </c>
      <c r="H38" s="6" t="s">
        <v>746</v>
      </c>
      <c r="I38" s="6" t="str">
        <f t="shared" si="1"/>
        <v>CMP H</v>
      </c>
      <c r="J38" s="6" t="e" cm="1">
        <f t="array" ref="J38">HlpGetInstructionSize(A38,D38,E38)</f>
        <v>#VALUE!</v>
      </c>
      <c r="K38" s="6" t="e">
        <f t="shared" si="2"/>
        <v>#VALUE!</v>
      </c>
    </row>
    <row r="39" spans="1:11">
      <c r="A39" s="6" t="s">
        <v>865</v>
      </c>
      <c r="B39" s="49" t="s">
        <v>747</v>
      </c>
      <c r="C39" s="49">
        <f t="shared" si="0"/>
        <v>1</v>
      </c>
      <c r="D39" s="6" t="s">
        <v>327</v>
      </c>
      <c r="E39" s="6"/>
      <c r="F39" s="6">
        <v>1</v>
      </c>
      <c r="G39" s="6">
        <v>4</v>
      </c>
      <c r="H39" s="6" t="s">
        <v>748</v>
      </c>
      <c r="I39" s="6" t="str">
        <f t="shared" si="1"/>
        <v>CMP L</v>
      </c>
      <c r="J39" s="6" t="e" cm="1">
        <f t="array" ref="J39">HlpGetInstructionSize(A39,D39,E39)</f>
        <v>#VALUE!</v>
      </c>
      <c r="K39" s="6" t="e">
        <f t="shared" si="2"/>
        <v>#VALUE!</v>
      </c>
    </row>
    <row r="40" spans="1:11">
      <c r="A40" s="6" t="s">
        <v>865</v>
      </c>
      <c r="B40" s="49" t="s">
        <v>749</v>
      </c>
      <c r="C40" s="49">
        <f t="shared" si="0"/>
        <v>1</v>
      </c>
      <c r="D40" s="6" t="s">
        <v>577</v>
      </c>
      <c r="E40" s="6"/>
      <c r="F40" s="6">
        <v>1</v>
      </c>
      <c r="G40" s="6">
        <v>7</v>
      </c>
      <c r="H40" s="6" t="s">
        <v>750</v>
      </c>
      <c r="I40" s="6" t="str">
        <f t="shared" si="1"/>
        <v>CMP M</v>
      </c>
      <c r="J40" s="6" t="e" cm="1">
        <f t="array" ref="J40">HlpGetInstructionSize(A40,D40,E40)</f>
        <v>#VALUE!</v>
      </c>
      <c r="K40" s="6" t="e">
        <f t="shared" si="2"/>
        <v>#VALUE!</v>
      </c>
    </row>
    <row r="41" spans="1:11">
      <c r="A41" s="6" t="s">
        <v>865</v>
      </c>
      <c r="B41" s="49" t="s">
        <v>751</v>
      </c>
      <c r="C41" s="49">
        <f t="shared" si="0"/>
        <v>1</v>
      </c>
      <c r="D41" s="6" t="s">
        <v>146</v>
      </c>
      <c r="E41" s="6"/>
      <c r="F41" s="6">
        <v>1</v>
      </c>
      <c r="G41" s="6">
        <v>4</v>
      </c>
      <c r="H41" s="6" t="s">
        <v>752</v>
      </c>
      <c r="I41" s="6" t="str">
        <f t="shared" si="1"/>
        <v>CMP A</v>
      </c>
      <c r="J41" s="6" cm="1">
        <f t="array" ref="J41">HlpGetInstructionSize(A41,D41,E41)</f>
        <v>1</v>
      </c>
      <c r="K41" s="6">
        <f t="shared" si="2"/>
        <v>0</v>
      </c>
    </row>
    <row r="42" spans="1:11">
      <c r="A42" s="6" t="s">
        <v>870</v>
      </c>
      <c r="B42" s="49" t="s">
        <v>793</v>
      </c>
      <c r="C42" s="49">
        <f t="shared" si="0"/>
        <v>1</v>
      </c>
      <c r="D42" s="6" t="s">
        <v>1453</v>
      </c>
      <c r="E42" s="6"/>
      <c r="F42" s="6">
        <v>3</v>
      </c>
      <c r="G42" s="6">
        <v>5</v>
      </c>
      <c r="H42" s="6" t="s">
        <v>794</v>
      </c>
      <c r="I42" s="6" t="str">
        <f t="shared" si="1"/>
        <v>CNC</v>
      </c>
      <c r="J42" s="6" cm="1">
        <f t="array" ref="J42">HlpGetInstructionSize(A42,D42,E42)</f>
        <v>1</v>
      </c>
      <c r="K42" s="6">
        <f>IF(F42&lt;&gt;J42,1,0)</f>
        <v>1</v>
      </c>
    </row>
    <row r="43" spans="1:11">
      <c r="A43" s="6" t="s">
        <v>866</v>
      </c>
      <c r="B43" s="49" t="s">
        <v>762</v>
      </c>
      <c r="C43" s="49">
        <f t="shared" si="0"/>
        <v>1</v>
      </c>
      <c r="D43" s="6" t="s">
        <v>1453</v>
      </c>
      <c r="E43" s="6"/>
      <c r="F43" s="6">
        <v>3</v>
      </c>
      <c r="G43" s="6">
        <v>11</v>
      </c>
      <c r="H43" s="6" t="s">
        <v>763</v>
      </c>
      <c r="I43" s="6" t="str">
        <f t="shared" si="1"/>
        <v>CNZ</v>
      </c>
      <c r="J43" s="6" cm="1">
        <f t="array" ref="J43">HlpGetInstructionSize(A43,D43,E43)</f>
        <v>1</v>
      </c>
      <c r="K43" s="6">
        <f t="shared" si="2"/>
        <v>1</v>
      </c>
    </row>
    <row r="44" spans="1:11">
      <c r="A44" s="6" t="s">
        <v>875</v>
      </c>
      <c r="B44" s="49" t="s">
        <v>855</v>
      </c>
      <c r="C44" s="49">
        <f t="shared" si="0"/>
        <v>1</v>
      </c>
      <c r="D44" s="6" t="s">
        <v>1453</v>
      </c>
      <c r="E44" s="6"/>
      <c r="F44" s="6">
        <v>3</v>
      </c>
      <c r="G44" s="6">
        <v>5</v>
      </c>
      <c r="H44" s="6" t="s">
        <v>856</v>
      </c>
      <c r="I44" s="6" t="str">
        <f t="shared" si="1"/>
        <v>CP</v>
      </c>
      <c r="J44" s="6" cm="1">
        <f t="array" ref="J44">HlpGetInstructionSize(A44,D44,E44)</f>
        <v>1</v>
      </c>
      <c r="K44" s="6">
        <f t="shared" si="2"/>
        <v>1</v>
      </c>
    </row>
    <row r="45" spans="1:11">
      <c r="A45" s="6" t="s">
        <v>874</v>
      </c>
      <c r="B45" s="49" t="s">
        <v>840</v>
      </c>
      <c r="C45" s="49">
        <f t="shared" si="0"/>
        <v>1</v>
      </c>
      <c r="D45" s="6" t="s">
        <v>1453</v>
      </c>
      <c r="E45" s="6"/>
      <c r="F45" s="6">
        <v>3</v>
      </c>
      <c r="G45" s="6">
        <v>5</v>
      </c>
      <c r="H45" s="6" t="s">
        <v>841</v>
      </c>
      <c r="I45" s="6" t="str">
        <f t="shared" si="1"/>
        <v>CPE</v>
      </c>
      <c r="J45" s="6" cm="1">
        <f t="array" ref="J45">HlpGetInstructionSize(A45,D45,E45)</f>
        <v>1</v>
      </c>
      <c r="K45" s="6">
        <f t="shared" si="2"/>
        <v>1</v>
      </c>
    </row>
    <row r="46" spans="1:11">
      <c r="A46" s="6" t="s">
        <v>157</v>
      </c>
      <c r="B46" s="49" t="s">
        <v>425</v>
      </c>
      <c r="C46" s="49">
        <f t="shared" si="0"/>
        <v>1</v>
      </c>
      <c r="D46" s="6" t="s">
        <v>1452</v>
      </c>
      <c r="E46" s="6"/>
      <c r="F46" s="6">
        <v>2</v>
      </c>
      <c r="G46" s="6">
        <v>10</v>
      </c>
      <c r="H46" s="6" t="s">
        <v>980</v>
      </c>
      <c r="I46" s="6" t="str">
        <f t="shared" si="1"/>
        <v>CPI</v>
      </c>
      <c r="J46" s="6" cm="1">
        <f t="array" ref="J46">HlpGetInstructionSize(A46,D46,E46)</f>
        <v>1</v>
      </c>
      <c r="K46" s="6">
        <f t="shared" si="2"/>
        <v>1</v>
      </c>
    </row>
    <row r="47" spans="1:11">
      <c r="A47" s="6" t="s">
        <v>873</v>
      </c>
      <c r="B47" s="49" t="s">
        <v>823</v>
      </c>
      <c r="C47" s="49">
        <f t="shared" si="0"/>
        <v>1</v>
      </c>
      <c r="D47" s="6" t="s">
        <v>1453</v>
      </c>
      <c r="E47" s="6"/>
      <c r="F47" s="6">
        <v>3</v>
      </c>
      <c r="G47" s="6">
        <v>5</v>
      </c>
      <c r="H47" s="6" t="s">
        <v>824</v>
      </c>
      <c r="I47" s="6" t="str">
        <f t="shared" si="1"/>
        <v>CPO</v>
      </c>
      <c r="J47" s="6" cm="1">
        <f t="array" ref="J47">HlpGetInstructionSize(A47,D47,E47)</f>
        <v>1</v>
      </c>
      <c r="K47" s="6">
        <f>IF(F47&lt;&gt;J47,1,0)</f>
        <v>1</v>
      </c>
    </row>
    <row r="48" spans="1:11">
      <c r="A48" s="6" t="s">
        <v>484</v>
      </c>
      <c r="B48" s="49" t="s">
        <v>777</v>
      </c>
      <c r="C48" s="49">
        <f t="shared" si="0"/>
        <v>1</v>
      </c>
      <c r="D48" s="6" t="s">
        <v>1453</v>
      </c>
      <c r="E48" s="6"/>
      <c r="F48" s="6">
        <v>3</v>
      </c>
      <c r="G48" s="6">
        <v>11</v>
      </c>
      <c r="H48" s="6" t="s">
        <v>778</v>
      </c>
      <c r="I48" s="6" t="str">
        <f t="shared" si="1"/>
        <v>CZ</v>
      </c>
      <c r="J48" s="6" cm="1">
        <f t="array" ref="J48">HlpGetInstructionSize(A48,D48,E48)</f>
        <v>1</v>
      </c>
      <c r="K48" s="6">
        <f t="shared" si="2"/>
        <v>1</v>
      </c>
    </row>
    <row r="49" spans="1:11">
      <c r="A49" s="6" t="s">
        <v>52</v>
      </c>
      <c r="B49" s="49" t="s">
        <v>896</v>
      </c>
      <c r="C49" s="49">
        <f t="shared" si="0"/>
        <v>1</v>
      </c>
      <c r="D49" s="6" t="s">
        <v>259</v>
      </c>
      <c r="E49" s="6"/>
      <c r="F49" s="6">
        <v>1</v>
      </c>
      <c r="G49" s="6">
        <v>4</v>
      </c>
      <c r="H49" s="6" t="s">
        <v>541</v>
      </c>
      <c r="I49" s="6" t="str">
        <f t="shared" si="1"/>
        <v>DAA</v>
      </c>
      <c r="J49" s="6" cm="1">
        <f t="array" ref="J49">HlpGetInstructionSize(A49,D49,E49)</f>
        <v>1</v>
      </c>
      <c r="K49" s="6">
        <f t="shared" si="2"/>
        <v>0</v>
      </c>
    </row>
    <row r="50" spans="1:11">
      <c r="A50" s="6" t="s">
        <v>465</v>
      </c>
      <c r="B50" s="49" t="s">
        <v>457</v>
      </c>
      <c r="C50" s="49">
        <f t="shared" si="0"/>
        <v>1</v>
      </c>
      <c r="D50" s="6" t="s">
        <v>144</v>
      </c>
      <c r="E50" s="6"/>
      <c r="F50" s="6">
        <v>1</v>
      </c>
      <c r="G50" s="6">
        <v>10</v>
      </c>
      <c r="H50" s="6" t="s">
        <v>506</v>
      </c>
      <c r="I50" s="6" t="str">
        <f t="shared" si="1"/>
        <v>DAD B</v>
      </c>
      <c r="J50" s="6" cm="1">
        <f t="array" ref="J50">HlpGetInstructionSize(A50,D50,E50)</f>
        <v>1</v>
      </c>
      <c r="K50" s="6">
        <f t="shared" si="2"/>
        <v>0</v>
      </c>
    </row>
    <row r="51" spans="1:11">
      <c r="A51" s="6" t="s">
        <v>465</v>
      </c>
      <c r="B51" s="49" t="s">
        <v>889</v>
      </c>
      <c r="C51" s="49">
        <f t="shared" si="0"/>
        <v>1</v>
      </c>
      <c r="D51" s="6" t="s">
        <v>183</v>
      </c>
      <c r="E51" s="6"/>
      <c r="F51" s="6">
        <v>1</v>
      </c>
      <c r="G51" s="6">
        <v>10</v>
      </c>
      <c r="H51" s="6" t="s">
        <v>522</v>
      </c>
      <c r="I51" s="6" t="str">
        <f t="shared" si="1"/>
        <v>DAD D</v>
      </c>
      <c r="J51" s="6" cm="1">
        <f t="array" ref="J51">HlpGetInstructionSize(A51,D51,E51)</f>
        <v>1</v>
      </c>
      <c r="K51" s="6">
        <f t="shared" si="2"/>
        <v>0</v>
      </c>
    </row>
    <row r="52" spans="1:11">
      <c r="A52" s="6" t="s">
        <v>465</v>
      </c>
      <c r="B52" s="49" t="s">
        <v>898</v>
      </c>
      <c r="C52" s="49">
        <f t="shared" si="0"/>
        <v>1</v>
      </c>
      <c r="D52" s="6" t="s">
        <v>303</v>
      </c>
      <c r="E52" s="6"/>
      <c r="F52" s="6">
        <v>1</v>
      </c>
      <c r="G52" s="6">
        <v>10</v>
      </c>
      <c r="H52" s="6" t="s">
        <v>542</v>
      </c>
      <c r="I52" s="6" t="str">
        <f t="shared" si="1"/>
        <v>DAD H</v>
      </c>
      <c r="J52" s="6" cm="1">
        <f t="array" ref="J52">HlpGetInstructionSize(A52,D52,E52)</f>
        <v>1</v>
      </c>
      <c r="K52" s="6">
        <f t="shared" si="2"/>
        <v>0</v>
      </c>
    </row>
    <row r="53" spans="1:11">
      <c r="A53" s="6" t="s">
        <v>465</v>
      </c>
      <c r="B53" s="49" t="s">
        <v>906</v>
      </c>
      <c r="C53" s="49">
        <f t="shared" si="0"/>
        <v>1</v>
      </c>
      <c r="D53" s="6" t="s">
        <v>114</v>
      </c>
      <c r="E53" s="6"/>
      <c r="F53" s="6">
        <v>1</v>
      </c>
      <c r="G53" s="6">
        <v>10</v>
      </c>
      <c r="H53" s="6" t="s">
        <v>561</v>
      </c>
      <c r="I53" s="6" t="str">
        <f t="shared" si="1"/>
        <v>DAD SP</v>
      </c>
      <c r="J53" s="6" cm="1">
        <f t="array" ref="J53">HlpGetInstructionSize(A53,D53,E53)</f>
        <v>1</v>
      </c>
      <c r="K53" s="6">
        <f t="shared" si="2"/>
        <v>0</v>
      </c>
    </row>
    <row r="54" spans="1:11">
      <c r="A54" s="6" t="s">
        <v>232</v>
      </c>
      <c r="B54" s="49" t="s">
        <v>880</v>
      </c>
      <c r="C54" s="49">
        <f t="shared" si="0"/>
        <v>1</v>
      </c>
      <c r="D54" s="6" t="s">
        <v>144</v>
      </c>
      <c r="E54" s="6"/>
      <c r="F54" s="6">
        <v>1</v>
      </c>
      <c r="G54" s="6">
        <v>5</v>
      </c>
      <c r="H54" s="6" t="s">
        <v>503</v>
      </c>
      <c r="I54" s="6" t="str">
        <f t="shared" si="1"/>
        <v>DCR B</v>
      </c>
      <c r="J54" s="6" cm="1">
        <f t="array" ref="J54">HlpGetInstructionSize(A54,D54,E54)</f>
        <v>1</v>
      </c>
      <c r="K54" s="6">
        <f t="shared" si="2"/>
        <v>0</v>
      </c>
    </row>
    <row r="55" spans="1:11">
      <c r="A55" s="6" t="s">
        <v>232</v>
      </c>
      <c r="B55" s="49" t="s">
        <v>511</v>
      </c>
      <c r="C55" s="49">
        <f t="shared" si="0"/>
        <v>1</v>
      </c>
      <c r="D55" s="6" t="s">
        <v>182</v>
      </c>
      <c r="E55" s="6"/>
      <c r="F55" s="6">
        <v>1</v>
      </c>
      <c r="G55" s="6">
        <v>5</v>
      </c>
      <c r="H55" s="6" t="s">
        <v>512</v>
      </c>
      <c r="I55" s="6" t="str">
        <f t="shared" si="1"/>
        <v>DCR C</v>
      </c>
      <c r="J55" s="6" cm="1">
        <f t="array" ref="J55">HlpGetInstructionSize(A55,D55,E55)</f>
        <v>1</v>
      </c>
      <c r="K55" s="6">
        <f t="shared" si="2"/>
        <v>0</v>
      </c>
    </row>
    <row r="56" spans="1:11">
      <c r="A56" s="6" t="s">
        <v>232</v>
      </c>
      <c r="B56" s="49" t="s">
        <v>886</v>
      </c>
      <c r="C56" s="49">
        <f t="shared" si="0"/>
        <v>1</v>
      </c>
      <c r="D56" s="6" t="s">
        <v>183</v>
      </c>
      <c r="E56" s="6"/>
      <c r="F56" s="6">
        <v>1</v>
      </c>
      <c r="G56" s="6">
        <v>5</v>
      </c>
      <c r="H56" s="6" t="s">
        <v>519</v>
      </c>
      <c r="I56" s="6" t="str">
        <f t="shared" si="1"/>
        <v>DCR D</v>
      </c>
      <c r="J56" s="6" cm="1">
        <f t="array" ref="J56">HlpGetInstructionSize(A56,D56,E56)</f>
        <v>1</v>
      </c>
      <c r="K56" s="6">
        <f t="shared" si="2"/>
        <v>0</v>
      </c>
    </row>
    <row r="57" spans="1:11">
      <c r="A57" s="6" t="s">
        <v>232</v>
      </c>
      <c r="B57" s="49" t="s">
        <v>529</v>
      </c>
      <c r="C57" s="49">
        <f t="shared" si="0"/>
        <v>1</v>
      </c>
      <c r="D57" s="6" t="s">
        <v>265</v>
      </c>
      <c r="E57" s="6"/>
      <c r="F57" s="6">
        <v>1</v>
      </c>
      <c r="G57" s="6">
        <v>5</v>
      </c>
      <c r="H57" s="6" t="s">
        <v>530</v>
      </c>
      <c r="I57" s="6" t="str">
        <f t="shared" si="1"/>
        <v>DCR E</v>
      </c>
      <c r="J57" s="6" cm="1">
        <f t="array" ref="J57">HlpGetInstructionSize(A57,D57,E57)</f>
        <v>1</v>
      </c>
      <c r="K57" s="6">
        <f t="shared" si="2"/>
        <v>0</v>
      </c>
    </row>
    <row r="58" spans="1:11">
      <c r="A58" s="6" t="s">
        <v>232</v>
      </c>
      <c r="B58" s="49" t="s">
        <v>894</v>
      </c>
      <c r="C58" s="49">
        <f t="shared" si="0"/>
        <v>1</v>
      </c>
      <c r="D58" s="6" t="s">
        <v>303</v>
      </c>
      <c r="E58" s="6"/>
      <c r="F58" s="6">
        <v>1</v>
      </c>
      <c r="G58" s="6">
        <v>5</v>
      </c>
      <c r="H58" s="6" t="s">
        <v>539</v>
      </c>
      <c r="I58" s="6" t="str">
        <f t="shared" si="1"/>
        <v>DCR H</v>
      </c>
      <c r="J58" s="6" cm="1">
        <f t="array" ref="J58">HlpGetInstructionSize(A58,D58,E58)</f>
        <v>1</v>
      </c>
      <c r="K58" s="6">
        <f t="shared" si="2"/>
        <v>0</v>
      </c>
    </row>
    <row r="59" spans="1:11">
      <c r="A59" s="6" t="s">
        <v>232</v>
      </c>
      <c r="B59" s="49" t="s">
        <v>548</v>
      </c>
      <c r="C59" s="49">
        <f t="shared" si="0"/>
        <v>1</v>
      </c>
      <c r="D59" s="6" t="s">
        <v>327</v>
      </c>
      <c r="E59" s="6"/>
      <c r="F59" s="6">
        <v>1</v>
      </c>
      <c r="G59" s="6">
        <v>5</v>
      </c>
      <c r="H59" s="6" t="s">
        <v>549</v>
      </c>
      <c r="I59" s="6" t="str">
        <f t="shared" si="1"/>
        <v>DCR L</v>
      </c>
      <c r="J59" s="6" cm="1">
        <f t="array" ref="J59">HlpGetInstructionSize(A59,D59,E59)</f>
        <v>1</v>
      </c>
      <c r="K59" s="6">
        <f t="shared" si="2"/>
        <v>0</v>
      </c>
    </row>
    <row r="60" spans="1:11">
      <c r="A60" s="6" t="s">
        <v>232</v>
      </c>
      <c r="B60" s="49" t="s">
        <v>902</v>
      </c>
      <c r="C60" s="49">
        <f t="shared" si="0"/>
        <v>1</v>
      </c>
      <c r="D60" s="6" t="s">
        <v>577</v>
      </c>
      <c r="E60" s="6"/>
      <c r="F60" s="6">
        <v>1</v>
      </c>
      <c r="G60" s="6">
        <v>10</v>
      </c>
      <c r="H60" s="6" t="s">
        <v>558</v>
      </c>
      <c r="I60" s="6" t="str">
        <f t="shared" si="1"/>
        <v>DCR M</v>
      </c>
      <c r="J60" s="6" cm="1">
        <f t="array" ref="J60">HlpGetInstructionSize(A60,D60,E60)</f>
        <v>1</v>
      </c>
      <c r="K60" s="6">
        <f t="shared" si="2"/>
        <v>0</v>
      </c>
    </row>
    <row r="61" spans="1:11">
      <c r="A61" s="6" t="s">
        <v>232</v>
      </c>
      <c r="B61" s="49" t="s">
        <v>566</v>
      </c>
      <c r="C61" s="49">
        <f t="shared" si="0"/>
        <v>1</v>
      </c>
      <c r="D61" s="6" t="s">
        <v>146</v>
      </c>
      <c r="E61" s="6"/>
      <c r="F61" s="6">
        <v>1</v>
      </c>
      <c r="G61" s="6">
        <v>5</v>
      </c>
      <c r="H61" s="6" t="s">
        <v>567</v>
      </c>
      <c r="I61" s="6" t="str">
        <f t="shared" si="1"/>
        <v>DCR A</v>
      </c>
      <c r="J61" s="6" cm="1">
        <f t="array" ref="J61">HlpGetInstructionSize(A61,D61,E61)</f>
        <v>1</v>
      </c>
      <c r="K61" s="6">
        <f t="shared" si="2"/>
        <v>0</v>
      </c>
    </row>
    <row r="62" spans="1:11">
      <c r="A62" s="6" t="s">
        <v>462</v>
      </c>
      <c r="B62" s="49" t="s">
        <v>508</v>
      </c>
      <c r="C62" s="49">
        <f t="shared" si="0"/>
        <v>1</v>
      </c>
      <c r="D62" s="6" t="s">
        <v>144</v>
      </c>
      <c r="E62" s="6"/>
      <c r="F62" s="6">
        <v>1</v>
      </c>
      <c r="G62" s="6">
        <v>5</v>
      </c>
      <c r="H62" s="6" t="s">
        <v>509</v>
      </c>
      <c r="I62" s="6" t="str">
        <f t="shared" si="1"/>
        <v>DCX B</v>
      </c>
      <c r="J62" s="6" cm="1">
        <f t="array" ref="J62">HlpGetInstructionSize(A62,D62,E62)</f>
        <v>1</v>
      </c>
      <c r="K62" s="6">
        <f t="shared" si="2"/>
        <v>0</v>
      </c>
    </row>
    <row r="63" spans="1:11">
      <c r="A63" s="6" t="s">
        <v>462</v>
      </c>
      <c r="B63" s="49" t="s">
        <v>525</v>
      </c>
      <c r="C63" s="49">
        <f t="shared" si="0"/>
        <v>1</v>
      </c>
      <c r="D63" s="6" t="s">
        <v>183</v>
      </c>
      <c r="E63" s="6"/>
      <c r="F63" s="6">
        <v>1</v>
      </c>
      <c r="G63" s="6">
        <v>5</v>
      </c>
      <c r="H63" s="6" t="s">
        <v>526</v>
      </c>
      <c r="I63" s="6" t="str">
        <f t="shared" si="1"/>
        <v>DCX D</v>
      </c>
      <c r="J63" s="6" cm="1">
        <f t="array" ref="J63">HlpGetInstructionSize(A63,D63,E63)</f>
        <v>1</v>
      </c>
      <c r="K63" s="6">
        <f t="shared" si="2"/>
        <v>0</v>
      </c>
    </row>
    <row r="64" spans="1:11">
      <c r="A64" s="6" t="s">
        <v>462</v>
      </c>
      <c r="B64" s="49" t="s">
        <v>544</v>
      </c>
      <c r="C64" s="49">
        <f t="shared" ref="C64:C127" si="3">COUNTA(D64:E64)</f>
        <v>1</v>
      </c>
      <c r="D64" s="6" t="s">
        <v>303</v>
      </c>
      <c r="E64" s="6"/>
      <c r="F64" s="6">
        <v>1</v>
      </c>
      <c r="G64" s="6">
        <v>5</v>
      </c>
      <c r="H64" s="6" t="s">
        <v>545</v>
      </c>
      <c r="I64" s="6" t="str">
        <f t="shared" ref="I64:I127" si="4">A64&amp;IF(IF(D64&lt;&gt;"",IFERROR(FIND(D64,"ABCDEHLMSP"),0),0)=0,""," "&amp;D64)</f>
        <v>DCX H</v>
      </c>
      <c r="J64" s="6" cm="1">
        <f t="array" ref="J64">HlpGetInstructionSize(A64,D64,E64)</f>
        <v>1</v>
      </c>
      <c r="K64" s="6">
        <f t="shared" ref="K64:K127" si="5">IF(F64&lt;&gt;J64,1,0)</f>
        <v>0</v>
      </c>
    </row>
    <row r="65" spans="1:11">
      <c r="A65" s="6" t="s">
        <v>462</v>
      </c>
      <c r="B65" s="49" t="s">
        <v>563</v>
      </c>
      <c r="C65" s="49">
        <f t="shared" si="3"/>
        <v>1</v>
      </c>
      <c r="D65" s="6" t="s">
        <v>114</v>
      </c>
      <c r="E65" s="6"/>
      <c r="F65" s="6">
        <v>1</v>
      </c>
      <c r="G65" s="6">
        <v>5</v>
      </c>
      <c r="H65" s="6" t="s">
        <v>564</v>
      </c>
      <c r="I65" s="6" t="str">
        <f t="shared" si="4"/>
        <v>DCX SP</v>
      </c>
      <c r="J65" s="6" cm="1">
        <f t="array" ref="J65">HlpGetInstructionSize(A65,D65,E65)</f>
        <v>1</v>
      </c>
      <c r="K65" s="6">
        <f t="shared" si="5"/>
        <v>0</v>
      </c>
    </row>
    <row r="66" spans="1:11">
      <c r="A66" s="6" t="s">
        <v>853</v>
      </c>
      <c r="B66" s="49" t="s">
        <v>852</v>
      </c>
      <c r="C66" s="49">
        <f t="shared" si="3"/>
        <v>1</v>
      </c>
      <c r="D66" s="6" t="s">
        <v>259</v>
      </c>
      <c r="E66" s="6"/>
      <c r="F66" s="6">
        <v>1</v>
      </c>
      <c r="G66" s="6">
        <v>4</v>
      </c>
      <c r="H66" s="6" t="s">
        <v>854</v>
      </c>
      <c r="I66" s="6" t="str">
        <f t="shared" si="4"/>
        <v>DI</v>
      </c>
      <c r="J66" s="6" cm="1">
        <f t="array" ref="J66">HlpGetInstructionSize(A66,D66,E66)</f>
        <v>1</v>
      </c>
      <c r="K66" s="6">
        <f t="shared" si="5"/>
        <v>0</v>
      </c>
    </row>
    <row r="67" spans="1:11">
      <c r="A67" s="6" t="s">
        <v>184</v>
      </c>
      <c r="B67" s="49" t="s">
        <v>905</v>
      </c>
      <c r="C67" s="49">
        <f t="shared" si="3"/>
        <v>1</v>
      </c>
      <c r="D67" s="6" t="s">
        <v>259</v>
      </c>
      <c r="E67" s="6"/>
      <c r="F67" s="6">
        <v>1</v>
      </c>
      <c r="G67" s="6">
        <v>4</v>
      </c>
      <c r="H67" s="6" t="s">
        <v>498</v>
      </c>
      <c r="I67" s="6" t="str">
        <f t="shared" si="4"/>
        <v>END</v>
      </c>
      <c r="J67" s="6" cm="1">
        <f t="array" ref="J67">HlpGetInstructionSize(A67,D67,E67)</f>
        <v>1</v>
      </c>
      <c r="K67" s="6">
        <f t="shared" si="5"/>
        <v>0</v>
      </c>
    </row>
    <row r="68" spans="1:11">
      <c r="A68" s="6" t="s">
        <v>108</v>
      </c>
      <c r="B68" s="49" t="s">
        <v>941</v>
      </c>
      <c r="C68" s="49">
        <f t="shared" si="3"/>
        <v>1</v>
      </c>
      <c r="D68" s="6" t="s">
        <v>259</v>
      </c>
      <c r="E68" s="6"/>
      <c r="F68" s="6">
        <v>1</v>
      </c>
      <c r="G68" s="6">
        <v>7</v>
      </c>
      <c r="H68" s="6" t="s">
        <v>643</v>
      </c>
      <c r="I68" s="6" t="str">
        <f t="shared" si="4"/>
        <v>HLT</v>
      </c>
      <c r="J68" s="6" cm="1">
        <f t="array" ref="J68">HlpGetInstructionSize(A68,D68,E68)</f>
        <v>1</v>
      </c>
      <c r="K68" s="6">
        <f t="shared" si="5"/>
        <v>0</v>
      </c>
    </row>
    <row r="69" spans="1:11">
      <c r="A69" s="6" t="s">
        <v>872</v>
      </c>
      <c r="B69" s="49" t="s">
        <v>292</v>
      </c>
      <c r="C69" s="49">
        <f t="shared" si="3"/>
        <v>1</v>
      </c>
      <c r="D69" s="6" t="s">
        <v>1452</v>
      </c>
      <c r="E69" s="6"/>
      <c r="F69" s="6">
        <v>2</v>
      </c>
      <c r="G69" s="6">
        <v>10</v>
      </c>
      <c r="H69" s="6" t="s">
        <v>807</v>
      </c>
      <c r="I69" s="6" t="str">
        <f t="shared" si="4"/>
        <v>IN</v>
      </c>
      <c r="J69" s="6" cm="1">
        <f t="array" ref="J69">HlpGetInstructionSize(A69,D69,E69)</f>
        <v>1</v>
      </c>
      <c r="K69" s="6">
        <f t="shared" si="5"/>
        <v>1</v>
      </c>
    </row>
    <row r="70" spans="1:11">
      <c r="A70" s="6" t="s">
        <v>208</v>
      </c>
      <c r="B70" s="49" t="s">
        <v>879</v>
      </c>
      <c r="C70" s="49">
        <f t="shared" si="3"/>
        <v>1</v>
      </c>
      <c r="D70" s="6" t="s">
        <v>144</v>
      </c>
      <c r="E70" s="6"/>
      <c r="F70" s="6">
        <v>1</v>
      </c>
      <c r="G70" s="6">
        <v>5</v>
      </c>
      <c r="H70" s="6" t="s">
        <v>502</v>
      </c>
      <c r="I70" s="6" t="str">
        <f t="shared" si="4"/>
        <v>INR B</v>
      </c>
      <c r="J70" s="6" cm="1">
        <f t="array" ref="J70">HlpGetInstructionSize(A70,D70,E70)</f>
        <v>1</v>
      </c>
      <c r="K70" s="6">
        <f t="shared" si="5"/>
        <v>0</v>
      </c>
    </row>
    <row r="71" spans="1:11">
      <c r="A71" s="6" t="s">
        <v>208</v>
      </c>
      <c r="B71" s="49" t="s">
        <v>396</v>
      </c>
      <c r="C71" s="49">
        <f t="shared" si="3"/>
        <v>1</v>
      </c>
      <c r="D71" s="6" t="s">
        <v>182</v>
      </c>
      <c r="E71" s="6"/>
      <c r="F71" s="6">
        <v>1</v>
      </c>
      <c r="G71" s="6">
        <v>5</v>
      </c>
      <c r="H71" s="6" t="s">
        <v>510</v>
      </c>
      <c r="I71" s="6" t="str">
        <f t="shared" si="4"/>
        <v>INR C</v>
      </c>
      <c r="J71" s="6" cm="1">
        <f t="array" ref="J71">HlpGetInstructionSize(A71,D71,E71)</f>
        <v>1</v>
      </c>
      <c r="K71" s="6">
        <f t="shared" si="5"/>
        <v>0</v>
      </c>
    </row>
    <row r="72" spans="1:11">
      <c r="A72" s="6" t="s">
        <v>208</v>
      </c>
      <c r="B72" s="49" t="s">
        <v>885</v>
      </c>
      <c r="C72" s="49">
        <f t="shared" si="3"/>
        <v>1</v>
      </c>
      <c r="D72" s="6" t="s">
        <v>183</v>
      </c>
      <c r="E72" s="6"/>
      <c r="F72" s="6">
        <v>1</v>
      </c>
      <c r="G72" s="6">
        <v>5</v>
      </c>
      <c r="H72" s="6" t="s">
        <v>518</v>
      </c>
      <c r="I72" s="6" t="str">
        <f t="shared" si="4"/>
        <v>INR D</v>
      </c>
      <c r="J72" s="6" cm="1">
        <f t="array" ref="J72">HlpGetInstructionSize(A72,D72,E72)</f>
        <v>1</v>
      </c>
      <c r="K72" s="6">
        <f t="shared" si="5"/>
        <v>0</v>
      </c>
    </row>
    <row r="73" spans="1:11">
      <c r="A73" s="6" t="s">
        <v>208</v>
      </c>
      <c r="B73" s="49" t="s">
        <v>527</v>
      </c>
      <c r="C73" s="49">
        <f t="shared" si="3"/>
        <v>1</v>
      </c>
      <c r="D73" s="6" t="s">
        <v>265</v>
      </c>
      <c r="E73" s="6"/>
      <c r="F73" s="6">
        <v>1</v>
      </c>
      <c r="G73" s="6">
        <v>5</v>
      </c>
      <c r="H73" s="6" t="s">
        <v>528</v>
      </c>
      <c r="I73" s="6" t="str">
        <f t="shared" si="4"/>
        <v>INR E</v>
      </c>
      <c r="J73" s="6" cm="1">
        <f t="array" ref="J73">HlpGetInstructionSize(A73,D73,E73)</f>
        <v>1</v>
      </c>
      <c r="K73" s="6">
        <f t="shared" si="5"/>
        <v>0</v>
      </c>
    </row>
    <row r="74" spans="1:11">
      <c r="A74" s="6" t="s">
        <v>208</v>
      </c>
      <c r="B74" s="49" t="s">
        <v>893</v>
      </c>
      <c r="C74" s="49">
        <f t="shared" si="3"/>
        <v>1</v>
      </c>
      <c r="D74" s="6" t="s">
        <v>303</v>
      </c>
      <c r="E74" s="6"/>
      <c r="F74" s="6">
        <v>1</v>
      </c>
      <c r="G74" s="6">
        <v>5</v>
      </c>
      <c r="H74" s="6" t="s">
        <v>538</v>
      </c>
      <c r="I74" s="6" t="str">
        <f t="shared" si="4"/>
        <v>INR H</v>
      </c>
      <c r="J74" s="6" cm="1">
        <f t="array" ref="J74">HlpGetInstructionSize(A74,D74,E74)</f>
        <v>1</v>
      </c>
      <c r="K74" s="6">
        <f t="shared" si="5"/>
        <v>0</v>
      </c>
    </row>
    <row r="75" spans="1:11">
      <c r="A75" s="6" t="s">
        <v>208</v>
      </c>
      <c r="B75" s="49" t="s">
        <v>546</v>
      </c>
      <c r="C75" s="49">
        <f t="shared" si="3"/>
        <v>1</v>
      </c>
      <c r="D75" s="6" t="s">
        <v>327</v>
      </c>
      <c r="E75" s="6"/>
      <c r="F75" s="6">
        <v>1</v>
      </c>
      <c r="G75" s="6">
        <v>5</v>
      </c>
      <c r="H75" s="6" t="s">
        <v>547</v>
      </c>
      <c r="I75" s="6" t="str">
        <f t="shared" si="4"/>
        <v>INR L</v>
      </c>
      <c r="J75" s="6" cm="1">
        <f t="array" ref="J75">HlpGetInstructionSize(A75,D75,E75)</f>
        <v>1</v>
      </c>
      <c r="K75" s="6">
        <f t="shared" si="5"/>
        <v>0</v>
      </c>
    </row>
    <row r="76" spans="1:11">
      <c r="A76" s="6" t="s">
        <v>208</v>
      </c>
      <c r="B76" s="49" t="s">
        <v>459</v>
      </c>
      <c r="C76" s="49">
        <f t="shared" si="3"/>
        <v>1</v>
      </c>
      <c r="D76" s="6" t="s">
        <v>577</v>
      </c>
      <c r="E76" s="6"/>
      <c r="F76" s="6">
        <v>1</v>
      </c>
      <c r="G76" s="6">
        <v>10</v>
      </c>
      <c r="H76" s="6" t="s">
        <v>557</v>
      </c>
      <c r="I76" s="6" t="str">
        <f t="shared" si="4"/>
        <v>INR M</v>
      </c>
      <c r="J76" s="6" cm="1">
        <f t="array" ref="J76">HlpGetInstructionSize(A76,D76,E76)</f>
        <v>1</v>
      </c>
      <c r="K76" s="6">
        <f t="shared" si="5"/>
        <v>0</v>
      </c>
    </row>
    <row r="77" spans="1:11">
      <c r="A77" s="6" t="s">
        <v>208</v>
      </c>
      <c r="B77" s="49" t="s">
        <v>325</v>
      </c>
      <c r="C77" s="49">
        <f t="shared" si="3"/>
        <v>1</v>
      </c>
      <c r="D77" s="6" t="s">
        <v>146</v>
      </c>
      <c r="E77" s="6"/>
      <c r="F77" s="6">
        <v>1</v>
      </c>
      <c r="G77" s="6">
        <v>5</v>
      </c>
      <c r="H77" s="6" t="s">
        <v>565</v>
      </c>
      <c r="I77" s="6" t="str">
        <f t="shared" si="4"/>
        <v>INR A</v>
      </c>
      <c r="J77" s="6" cm="1">
        <f t="array" ref="J77">HlpGetInstructionSize(A77,D77,E77)</f>
        <v>1</v>
      </c>
      <c r="K77" s="6">
        <f t="shared" si="5"/>
        <v>0</v>
      </c>
    </row>
    <row r="78" spans="1:11">
      <c r="A78" s="6" t="s">
        <v>461</v>
      </c>
      <c r="B78" s="49" t="s">
        <v>364</v>
      </c>
      <c r="C78" s="49">
        <f t="shared" si="3"/>
        <v>1</v>
      </c>
      <c r="D78" s="6" t="s">
        <v>144</v>
      </c>
      <c r="E78" s="6"/>
      <c r="F78" s="6">
        <v>1</v>
      </c>
      <c r="G78" s="6">
        <v>5</v>
      </c>
      <c r="H78" s="6" t="s">
        <v>501</v>
      </c>
      <c r="I78" s="6" t="str">
        <f t="shared" si="4"/>
        <v>INX B</v>
      </c>
      <c r="J78" s="6" cm="1">
        <f t="array" ref="J78">HlpGetInstructionSize(A78,D78,E78)</f>
        <v>1</v>
      </c>
      <c r="K78" s="6">
        <f t="shared" si="5"/>
        <v>0</v>
      </c>
    </row>
    <row r="79" spans="1:11">
      <c r="A79" s="6" t="s">
        <v>461</v>
      </c>
      <c r="B79" s="49" t="s">
        <v>884</v>
      </c>
      <c r="C79" s="49">
        <f t="shared" si="3"/>
        <v>1</v>
      </c>
      <c r="D79" s="6" t="s">
        <v>183</v>
      </c>
      <c r="E79" s="6"/>
      <c r="F79" s="6">
        <v>1</v>
      </c>
      <c r="G79" s="6">
        <v>5</v>
      </c>
      <c r="H79" s="6" t="s">
        <v>517</v>
      </c>
      <c r="I79" s="6" t="str">
        <f t="shared" si="4"/>
        <v>INX D</v>
      </c>
      <c r="J79" s="6" cm="1">
        <f t="array" ref="J79">HlpGetInstructionSize(A79,D79,E79)</f>
        <v>1</v>
      </c>
      <c r="K79" s="6">
        <f t="shared" si="5"/>
        <v>0</v>
      </c>
    </row>
    <row r="80" spans="1:11">
      <c r="A80" s="6" t="s">
        <v>461</v>
      </c>
      <c r="B80" s="49" t="s">
        <v>892</v>
      </c>
      <c r="C80" s="49">
        <f t="shared" si="3"/>
        <v>1</v>
      </c>
      <c r="D80" s="6" t="s">
        <v>303</v>
      </c>
      <c r="E80" s="6"/>
      <c r="F80" s="6">
        <v>1</v>
      </c>
      <c r="G80" s="6">
        <v>5</v>
      </c>
      <c r="H80" s="6" t="s">
        <v>537</v>
      </c>
      <c r="I80" s="6" t="str">
        <f t="shared" si="4"/>
        <v>INX H</v>
      </c>
      <c r="J80" s="6" cm="1">
        <f t="array" ref="J80">HlpGetInstructionSize(A80,D80,E80)</f>
        <v>1</v>
      </c>
      <c r="K80" s="6">
        <f t="shared" si="5"/>
        <v>0</v>
      </c>
    </row>
    <row r="81" spans="1:11">
      <c r="A81" s="6" t="s">
        <v>461</v>
      </c>
      <c r="B81" s="49" t="s">
        <v>394</v>
      </c>
      <c r="C81" s="49">
        <f t="shared" si="3"/>
        <v>1</v>
      </c>
      <c r="D81" s="6" t="s">
        <v>114</v>
      </c>
      <c r="E81" s="6"/>
      <c r="F81" s="6">
        <v>1</v>
      </c>
      <c r="G81" s="6">
        <v>5</v>
      </c>
      <c r="H81" s="6" t="s">
        <v>556</v>
      </c>
      <c r="I81" s="6" t="str">
        <f t="shared" si="4"/>
        <v>INX SP</v>
      </c>
      <c r="J81" s="6" cm="1">
        <f t="array" ref="J81">HlpGetInstructionSize(A81,D81,E81)</f>
        <v>1</v>
      </c>
      <c r="K81" s="6">
        <f t="shared" si="5"/>
        <v>0</v>
      </c>
    </row>
    <row r="82" spans="1:11">
      <c r="A82" s="6" t="s">
        <v>871</v>
      </c>
      <c r="B82" s="49" t="s">
        <v>805</v>
      </c>
      <c r="C82" s="49">
        <f t="shared" si="3"/>
        <v>1</v>
      </c>
      <c r="D82" s="6" t="s">
        <v>1453</v>
      </c>
      <c r="E82" s="6"/>
      <c r="F82" s="6">
        <v>3</v>
      </c>
      <c r="G82" s="6">
        <v>10</v>
      </c>
      <c r="H82" s="6" t="s">
        <v>806</v>
      </c>
      <c r="I82" s="6" t="str">
        <f t="shared" si="4"/>
        <v>JC</v>
      </c>
      <c r="J82" s="6" cm="1">
        <f t="array" ref="J82">HlpGetInstructionSize(A82,D82,E82)</f>
        <v>1</v>
      </c>
      <c r="K82" s="6">
        <f t="shared" si="5"/>
        <v>1</v>
      </c>
    </row>
    <row r="83" spans="1:11">
      <c r="A83" s="6" t="s">
        <v>356</v>
      </c>
      <c r="B83" s="49" t="s">
        <v>974</v>
      </c>
      <c r="C83" s="49">
        <f t="shared" si="3"/>
        <v>1</v>
      </c>
      <c r="D83" s="6" t="s">
        <v>1453</v>
      </c>
      <c r="E83" s="6"/>
      <c r="F83" s="6">
        <v>3</v>
      </c>
      <c r="G83" s="6">
        <v>10</v>
      </c>
      <c r="H83" s="6" t="s">
        <v>975</v>
      </c>
      <c r="I83" s="6" t="str">
        <f t="shared" si="4"/>
        <v>JM</v>
      </c>
      <c r="J83" s="6" cm="1">
        <f t="array" ref="J83">HlpGetInstructionSize(A83,D83,E83)</f>
        <v>1</v>
      </c>
      <c r="K83" s="6">
        <f t="shared" si="5"/>
        <v>1</v>
      </c>
    </row>
    <row r="84" spans="1:11">
      <c r="A84" s="6" t="s">
        <v>347</v>
      </c>
      <c r="B84" s="49" t="s">
        <v>760</v>
      </c>
      <c r="C84" s="49">
        <f t="shared" si="3"/>
        <v>1</v>
      </c>
      <c r="D84" s="6" t="s">
        <v>1453</v>
      </c>
      <c r="E84" s="6"/>
      <c r="F84" s="6">
        <v>3</v>
      </c>
      <c r="G84" s="6">
        <v>10</v>
      </c>
      <c r="H84" s="6" t="s">
        <v>761</v>
      </c>
      <c r="I84" s="6" t="str">
        <f t="shared" si="4"/>
        <v>JMP</v>
      </c>
      <c r="J84" s="6" cm="1">
        <f t="array" ref="J84">HlpGetInstructionSize(A84,D84,E84)</f>
        <v>3</v>
      </c>
      <c r="K84" s="6">
        <f t="shared" si="5"/>
        <v>0</v>
      </c>
    </row>
    <row r="85" spans="1:11">
      <c r="A85" s="6" t="s">
        <v>347</v>
      </c>
      <c r="B85" s="49" t="s">
        <v>776</v>
      </c>
      <c r="C85" s="49">
        <f t="shared" si="3"/>
        <v>1</v>
      </c>
      <c r="D85" s="6" t="s">
        <v>1453</v>
      </c>
      <c r="E85" s="6"/>
      <c r="F85" s="6">
        <v>3</v>
      </c>
      <c r="G85" s="6">
        <v>10</v>
      </c>
      <c r="H85" s="6" t="s">
        <v>761</v>
      </c>
      <c r="I85" s="6" t="str">
        <f t="shared" si="4"/>
        <v>JMP</v>
      </c>
      <c r="J85" s="6" cm="1">
        <f t="array" ref="J85">HlpGetInstructionSize(A85,D85,E85)</f>
        <v>3</v>
      </c>
      <c r="K85" s="6">
        <f t="shared" si="5"/>
        <v>0</v>
      </c>
    </row>
    <row r="86" spans="1:11">
      <c r="A86" s="6" t="s">
        <v>868</v>
      </c>
      <c r="B86" s="49" t="s">
        <v>789</v>
      </c>
      <c r="C86" s="49">
        <f t="shared" si="3"/>
        <v>1</v>
      </c>
      <c r="D86" s="6" t="s">
        <v>1453</v>
      </c>
      <c r="E86" s="6"/>
      <c r="F86" s="6">
        <v>3</v>
      </c>
      <c r="G86" s="6">
        <v>10</v>
      </c>
      <c r="H86" s="6" t="s">
        <v>790</v>
      </c>
      <c r="I86" s="6" t="str">
        <f t="shared" si="4"/>
        <v>JNC</v>
      </c>
      <c r="J86" s="6" cm="1">
        <f t="array" ref="J86">HlpGetInstructionSize(A86,D86,E86)</f>
        <v>1</v>
      </c>
      <c r="K86" s="6">
        <f t="shared" si="5"/>
        <v>1</v>
      </c>
    </row>
    <row r="87" spans="1:11">
      <c r="A87" s="6" t="s">
        <v>352</v>
      </c>
      <c r="B87" s="49" t="s">
        <v>758</v>
      </c>
      <c r="C87" s="49">
        <f t="shared" si="3"/>
        <v>1</v>
      </c>
      <c r="D87" s="6" t="s">
        <v>1453</v>
      </c>
      <c r="E87" s="6"/>
      <c r="F87" s="6">
        <v>3</v>
      </c>
      <c r="G87" s="6">
        <v>10</v>
      </c>
      <c r="H87" s="6" t="s">
        <v>759</v>
      </c>
      <c r="I87" s="6" t="str">
        <f t="shared" si="4"/>
        <v>JNZ</v>
      </c>
      <c r="J87" s="6" cm="1">
        <f t="array" ref="J87">HlpGetInstructionSize(A87,D87,E87)</f>
        <v>1</v>
      </c>
      <c r="K87" s="6">
        <f t="shared" si="5"/>
        <v>1</v>
      </c>
    </row>
    <row r="88" spans="1:11">
      <c r="A88" s="6" t="s">
        <v>359</v>
      </c>
      <c r="B88" s="49" t="s">
        <v>850</v>
      </c>
      <c r="C88" s="49">
        <f t="shared" si="3"/>
        <v>1</v>
      </c>
      <c r="D88" s="6" t="s">
        <v>1453</v>
      </c>
      <c r="E88" s="6"/>
      <c r="F88" s="6">
        <v>3</v>
      </c>
      <c r="G88" s="6">
        <v>10</v>
      </c>
      <c r="H88" s="6" t="s">
        <v>851</v>
      </c>
      <c r="I88" s="6" t="str">
        <f t="shared" si="4"/>
        <v>JP</v>
      </c>
      <c r="J88" s="6" cm="1">
        <f t="array" ref="J88">HlpGetInstructionSize(A88,D88,E88)</f>
        <v>1</v>
      </c>
      <c r="K88" s="6">
        <f t="shared" si="5"/>
        <v>1</v>
      </c>
    </row>
    <row r="89" spans="1:11">
      <c r="A89" s="6" t="s">
        <v>365</v>
      </c>
      <c r="B89" s="49" t="s">
        <v>836</v>
      </c>
      <c r="C89" s="49">
        <f t="shared" si="3"/>
        <v>1</v>
      </c>
      <c r="D89" s="6" t="s">
        <v>1453</v>
      </c>
      <c r="E89" s="6"/>
      <c r="F89" s="6">
        <v>3</v>
      </c>
      <c r="G89" s="6">
        <v>10</v>
      </c>
      <c r="H89" s="6" t="s">
        <v>837</v>
      </c>
      <c r="I89" s="6" t="str">
        <f t="shared" si="4"/>
        <v>JPE</v>
      </c>
      <c r="J89" s="6" cm="1">
        <f t="array" ref="J89">HlpGetInstructionSize(A89,D89,E89)</f>
        <v>1</v>
      </c>
      <c r="K89" s="6">
        <f t="shared" si="5"/>
        <v>1</v>
      </c>
    </row>
    <row r="90" spans="1:11">
      <c r="A90" s="6" t="s">
        <v>367</v>
      </c>
      <c r="B90" s="49" t="s">
        <v>820</v>
      </c>
      <c r="C90" s="49">
        <f t="shared" si="3"/>
        <v>1</v>
      </c>
      <c r="D90" s="6" t="s">
        <v>1453</v>
      </c>
      <c r="E90" s="6"/>
      <c r="F90" s="6">
        <v>3</v>
      </c>
      <c r="G90" s="6">
        <v>10</v>
      </c>
      <c r="H90" s="6" t="s">
        <v>821</v>
      </c>
      <c r="I90" s="6" t="str">
        <f t="shared" si="4"/>
        <v>JPO</v>
      </c>
      <c r="J90" s="6" cm="1">
        <f t="array" ref="J90">HlpGetInstructionSize(A90,D90,E90)</f>
        <v>1</v>
      </c>
      <c r="K90" s="6">
        <f t="shared" si="5"/>
        <v>1</v>
      </c>
    </row>
    <row r="91" spans="1:11">
      <c r="A91" s="6" t="s">
        <v>248</v>
      </c>
      <c r="B91" s="49" t="s">
        <v>774</v>
      </c>
      <c r="C91" s="49">
        <f t="shared" si="3"/>
        <v>1</v>
      </c>
      <c r="D91" s="6" t="s">
        <v>1453</v>
      </c>
      <c r="E91" s="6"/>
      <c r="F91" s="6">
        <v>3</v>
      </c>
      <c r="G91" s="6">
        <v>10</v>
      </c>
      <c r="H91" s="6" t="s">
        <v>775</v>
      </c>
      <c r="I91" s="6" t="str">
        <f t="shared" si="4"/>
        <v>JZ</v>
      </c>
      <c r="J91" s="6" cm="1">
        <f t="array" ref="J91">HlpGetInstructionSize(A91,D91,E91)</f>
        <v>1</v>
      </c>
      <c r="K91" s="6">
        <f t="shared" si="5"/>
        <v>1</v>
      </c>
    </row>
    <row r="92" spans="1:11">
      <c r="A92" s="6" t="s">
        <v>864</v>
      </c>
      <c r="B92" s="49" t="s">
        <v>373</v>
      </c>
      <c r="C92" s="49">
        <f t="shared" si="3"/>
        <v>1</v>
      </c>
      <c r="D92" s="6" t="s">
        <v>1453</v>
      </c>
      <c r="E92" s="6"/>
      <c r="F92" s="6">
        <v>3</v>
      </c>
      <c r="G92" s="6">
        <v>13</v>
      </c>
      <c r="H92" s="6" t="s">
        <v>562</v>
      </c>
      <c r="I92" s="6" t="str">
        <f t="shared" si="4"/>
        <v>LDA</v>
      </c>
      <c r="J92" s="6" t="e" cm="1">
        <f t="array" ref="J92">HlpGetInstructionSize(A92,D92,E92)</f>
        <v>#VALUE!</v>
      </c>
      <c r="K92" s="6" t="e">
        <f t="shared" si="5"/>
        <v>#VALUE!</v>
      </c>
    </row>
    <row r="93" spans="1:11">
      <c r="A93" s="6" t="s">
        <v>860</v>
      </c>
      <c r="B93" s="49" t="s">
        <v>335</v>
      </c>
      <c r="C93" s="49">
        <f t="shared" si="3"/>
        <v>1</v>
      </c>
      <c r="D93" s="6" t="s">
        <v>144</v>
      </c>
      <c r="E93" s="6"/>
      <c r="F93" s="6">
        <v>1</v>
      </c>
      <c r="G93" s="6">
        <v>7</v>
      </c>
      <c r="H93" s="6" t="s">
        <v>507</v>
      </c>
      <c r="I93" s="6" t="str">
        <f t="shared" si="4"/>
        <v>LDAX B</v>
      </c>
      <c r="J93" s="6" cm="1">
        <f t="array" ref="J93">HlpGetInstructionSize(A93,D93,E93)</f>
        <v>1</v>
      </c>
      <c r="K93" s="6">
        <f t="shared" si="5"/>
        <v>0</v>
      </c>
    </row>
    <row r="94" spans="1:11">
      <c r="A94" s="6" t="s">
        <v>860</v>
      </c>
      <c r="B94" s="49" t="s">
        <v>523</v>
      </c>
      <c r="C94" s="49">
        <f t="shared" si="3"/>
        <v>1</v>
      </c>
      <c r="D94" s="6" t="s">
        <v>183</v>
      </c>
      <c r="E94" s="6"/>
      <c r="F94" s="6">
        <v>1</v>
      </c>
      <c r="G94" s="6">
        <v>7</v>
      </c>
      <c r="H94" s="6" t="s">
        <v>524</v>
      </c>
      <c r="I94" s="6" t="str">
        <f t="shared" si="4"/>
        <v>LDAX D</v>
      </c>
      <c r="J94" s="6" cm="1">
        <f t="array" ref="J94">HlpGetInstructionSize(A94,D94,E94)</f>
        <v>1</v>
      </c>
      <c r="K94" s="6">
        <f t="shared" si="5"/>
        <v>0</v>
      </c>
    </row>
    <row r="95" spans="1:11">
      <c r="A95" s="6" t="s">
        <v>862</v>
      </c>
      <c r="B95" s="49" t="s">
        <v>372</v>
      </c>
      <c r="C95" s="49">
        <f t="shared" si="3"/>
        <v>1</v>
      </c>
      <c r="D95" s="6" t="s">
        <v>1453</v>
      </c>
      <c r="E95" s="6"/>
      <c r="F95" s="6">
        <v>3</v>
      </c>
      <c r="G95" s="6">
        <v>16</v>
      </c>
      <c r="H95" s="6" t="s">
        <v>543</v>
      </c>
      <c r="I95" s="6" t="str">
        <f t="shared" si="4"/>
        <v>LHLD</v>
      </c>
      <c r="J95" s="6" cm="1">
        <f t="array" ref="J95">HlpGetInstructionSize(A95,D95,E95)</f>
        <v>1</v>
      </c>
      <c r="K95" s="6">
        <f t="shared" si="5"/>
        <v>1</v>
      </c>
    </row>
    <row r="96" spans="1:11">
      <c r="A96" s="6" t="s">
        <v>289</v>
      </c>
      <c r="B96" s="49" t="s">
        <v>295</v>
      </c>
      <c r="C96" s="49">
        <f t="shared" si="3"/>
        <v>2</v>
      </c>
      <c r="D96" s="6" t="s">
        <v>144</v>
      </c>
      <c r="E96" s="6" t="s">
        <v>1453</v>
      </c>
      <c r="F96" s="6">
        <v>3</v>
      </c>
      <c r="G96" s="6">
        <v>10</v>
      </c>
      <c r="H96" s="6" t="s">
        <v>499</v>
      </c>
      <c r="I96" s="6" t="str">
        <f t="shared" si="4"/>
        <v>LXI B</v>
      </c>
      <c r="J96" s="6" cm="1">
        <f t="array" ref="J96">HlpGetInstructionSize(A96,D96,E96)</f>
        <v>1</v>
      </c>
      <c r="K96" s="6">
        <f t="shared" si="5"/>
        <v>1</v>
      </c>
    </row>
    <row r="97" spans="1:11">
      <c r="A97" s="6" t="s">
        <v>289</v>
      </c>
      <c r="B97" s="49" t="s">
        <v>201</v>
      </c>
      <c r="C97" s="49">
        <f t="shared" si="3"/>
        <v>2</v>
      </c>
      <c r="D97" s="6" t="s">
        <v>183</v>
      </c>
      <c r="E97" s="6" t="s">
        <v>1453</v>
      </c>
      <c r="F97" s="6">
        <v>3</v>
      </c>
      <c r="G97" s="6">
        <v>10</v>
      </c>
      <c r="H97" s="6" t="s">
        <v>515</v>
      </c>
      <c r="I97" s="6" t="str">
        <f t="shared" si="4"/>
        <v>LXI D</v>
      </c>
      <c r="J97" s="6" cm="1">
        <f t="array" ref="J97">HlpGetInstructionSize(A97,D97,E97)</f>
        <v>1</v>
      </c>
      <c r="K97" s="6">
        <f t="shared" si="5"/>
        <v>1</v>
      </c>
    </row>
    <row r="98" spans="1:11">
      <c r="A98" s="6" t="s">
        <v>289</v>
      </c>
      <c r="B98" s="49" t="s">
        <v>891</v>
      </c>
      <c r="C98" s="49">
        <f t="shared" si="3"/>
        <v>2</v>
      </c>
      <c r="D98" s="6" t="s">
        <v>303</v>
      </c>
      <c r="E98" s="6" t="s">
        <v>1453</v>
      </c>
      <c r="F98" s="6">
        <v>3</v>
      </c>
      <c r="G98" s="6">
        <v>10</v>
      </c>
      <c r="H98" s="6" t="s">
        <v>535</v>
      </c>
      <c r="I98" s="6" t="str">
        <f t="shared" si="4"/>
        <v>LXI H</v>
      </c>
      <c r="J98" s="6" cm="1">
        <f t="array" ref="J98">HlpGetInstructionSize(A98,D98,E98)</f>
        <v>1</v>
      </c>
      <c r="K98" s="6">
        <f t="shared" si="5"/>
        <v>1</v>
      </c>
    </row>
    <row r="99" spans="1:11">
      <c r="A99" s="6" t="s">
        <v>289</v>
      </c>
      <c r="B99" s="49" t="s">
        <v>900</v>
      </c>
      <c r="C99" s="49">
        <f t="shared" si="3"/>
        <v>2</v>
      </c>
      <c r="D99" s="6" t="s">
        <v>114</v>
      </c>
      <c r="E99" s="6" t="s">
        <v>1453</v>
      </c>
      <c r="F99" s="6">
        <v>3</v>
      </c>
      <c r="G99" s="6">
        <v>10</v>
      </c>
      <c r="H99" s="6" t="s">
        <v>554</v>
      </c>
      <c r="I99" s="6" t="str">
        <f t="shared" si="4"/>
        <v>LXI SP</v>
      </c>
      <c r="J99" s="6" cm="1">
        <f t="array" ref="J99">HlpGetInstructionSize(A99,D99,E99)</f>
        <v>1</v>
      </c>
      <c r="K99" s="6">
        <f t="shared" si="5"/>
        <v>1</v>
      </c>
    </row>
    <row r="100" spans="1:11">
      <c r="A100" s="6" t="s">
        <v>181</v>
      </c>
      <c r="B100" s="49" t="s">
        <v>907</v>
      </c>
      <c r="C100" s="49">
        <f t="shared" si="3"/>
        <v>2</v>
      </c>
      <c r="D100" s="6" t="s">
        <v>144</v>
      </c>
      <c r="E100" s="6" t="s">
        <v>144</v>
      </c>
      <c r="F100" s="6">
        <v>1</v>
      </c>
      <c r="G100" s="6">
        <v>5</v>
      </c>
      <c r="H100" s="6" t="s">
        <v>571</v>
      </c>
      <c r="I100" s="6" t="str">
        <f t="shared" si="4"/>
        <v>MOV B</v>
      </c>
      <c r="J100" s="6" cm="1">
        <f t="array" ref="J100">HlpGetInstructionSize(A100,D100,E100)</f>
        <v>1</v>
      </c>
      <c r="K100" s="6">
        <f t="shared" si="5"/>
        <v>0</v>
      </c>
    </row>
    <row r="101" spans="1:11">
      <c r="A101" s="6" t="s">
        <v>181</v>
      </c>
      <c r="B101" s="49" t="s">
        <v>908</v>
      </c>
      <c r="C101" s="49">
        <f t="shared" si="3"/>
        <v>2</v>
      </c>
      <c r="D101" s="6" t="s">
        <v>144</v>
      </c>
      <c r="E101" s="6" t="s">
        <v>182</v>
      </c>
      <c r="F101" s="6">
        <v>1</v>
      </c>
      <c r="G101" s="6">
        <v>5</v>
      </c>
      <c r="H101" s="6" t="s">
        <v>572</v>
      </c>
      <c r="I101" s="6" t="str">
        <f t="shared" si="4"/>
        <v>MOV B</v>
      </c>
      <c r="J101" s="6" cm="1">
        <f t="array" ref="J101">HlpGetInstructionSize(A101,D101,E101)</f>
        <v>1</v>
      </c>
      <c r="K101" s="6">
        <f t="shared" si="5"/>
        <v>0</v>
      </c>
    </row>
    <row r="102" spans="1:11">
      <c r="A102" s="6" t="s">
        <v>181</v>
      </c>
      <c r="B102" s="49" t="s">
        <v>482</v>
      </c>
      <c r="C102" s="49">
        <f t="shared" si="3"/>
        <v>2</v>
      </c>
      <c r="D102" s="6" t="s">
        <v>144</v>
      </c>
      <c r="E102" s="6" t="s">
        <v>183</v>
      </c>
      <c r="F102" s="6">
        <v>1</v>
      </c>
      <c r="G102" s="6">
        <v>5</v>
      </c>
      <c r="H102" s="6" t="s">
        <v>573</v>
      </c>
      <c r="I102" s="6" t="str">
        <f t="shared" si="4"/>
        <v>MOV B</v>
      </c>
      <c r="J102" s="6" cm="1">
        <f t="array" ref="J102">HlpGetInstructionSize(A102,D102,E102)</f>
        <v>1</v>
      </c>
      <c r="K102" s="6">
        <f t="shared" si="5"/>
        <v>0</v>
      </c>
    </row>
    <row r="103" spans="1:11">
      <c r="A103" s="6" t="s">
        <v>181</v>
      </c>
      <c r="B103" s="49" t="s">
        <v>909</v>
      </c>
      <c r="C103" s="49">
        <f t="shared" si="3"/>
        <v>2</v>
      </c>
      <c r="D103" s="6" t="s">
        <v>144</v>
      </c>
      <c r="E103" s="6" t="s">
        <v>265</v>
      </c>
      <c r="F103" s="6">
        <v>1</v>
      </c>
      <c r="G103" s="6">
        <v>5</v>
      </c>
      <c r="H103" s="6" t="s">
        <v>574</v>
      </c>
      <c r="I103" s="6" t="str">
        <f t="shared" si="4"/>
        <v>MOV B</v>
      </c>
      <c r="J103" s="6" cm="1">
        <f t="array" ref="J103">HlpGetInstructionSize(A103,D103,E103)</f>
        <v>1</v>
      </c>
      <c r="K103" s="6">
        <f t="shared" si="5"/>
        <v>0</v>
      </c>
    </row>
    <row r="104" spans="1:11">
      <c r="A104" s="6" t="s">
        <v>181</v>
      </c>
      <c r="B104" s="49" t="s">
        <v>910</v>
      </c>
      <c r="C104" s="49">
        <f t="shared" si="3"/>
        <v>2</v>
      </c>
      <c r="D104" s="6" t="s">
        <v>144</v>
      </c>
      <c r="E104" s="6" t="s">
        <v>303</v>
      </c>
      <c r="F104" s="6">
        <v>1</v>
      </c>
      <c r="G104" s="6">
        <v>5</v>
      </c>
      <c r="H104" s="6" t="s">
        <v>575</v>
      </c>
      <c r="I104" s="6" t="str">
        <f t="shared" si="4"/>
        <v>MOV B</v>
      </c>
      <c r="J104" s="6" cm="1">
        <f t="array" ref="J104">HlpGetInstructionSize(A104,D104,E104)</f>
        <v>1</v>
      </c>
      <c r="K104" s="6">
        <f t="shared" si="5"/>
        <v>0</v>
      </c>
    </row>
    <row r="105" spans="1:11">
      <c r="A105" s="6" t="s">
        <v>181</v>
      </c>
      <c r="B105" s="49" t="s">
        <v>911</v>
      </c>
      <c r="C105" s="49">
        <f t="shared" si="3"/>
        <v>2</v>
      </c>
      <c r="D105" s="6" t="s">
        <v>144</v>
      </c>
      <c r="E105" s="6" t="s">
        <v>327</v>
      </c>
      <c r="F105" s="6">
        <v>1</v>
      </c>
      <c r="G105" s="6">
        <v>5</v>
      </c>
      <c r="H105" s="6" t="s">
        <v>576</v>
      </c>
      <c r="I105" s="6" t="str">
        <f t="shared" si="4"/>
        <v>MOV B</v>
      </c>
      <c r="J105" s="6" cm="1">
        <f t="array" ref="J105">HlpGetInstructionSize(A105,D105,E105)</f>
        <v>1</v>
      </c>
      <c r="K105" s="6">
        <f t="shared" si="5"/>
        <v>0</v>
      </c>
    </row>
    <row r="106" spans="1:11">
      <c r="A106" s="6" t="s">
        <v>181</v>
      </c>
      <c r="B106" s="49" t="s">
        <v>912</v>
      </c>
      <c r="C106" s="49">
        <f t="shared" si="3"/>
        <v>2</v>
      </c>
      <c r="D106" s="6" t="s">
        <v>144</v>
      </c>
      <c r="E106" s="6" t="s">
        <v>577</v>
      </c>
      <c r="F106" s="6">
        <v>1</v>
      </c>
      <c r="G106" s="6">
        <v>7</v>
      </c>
      <c r="H106" s="6" t="s">
        <v>578</v>
      </c>
      <c r="I106" s="6" t="str">
        <f t="shared" si="4"/>
        <v>MOV B</v>
      </c>
      <c r="J106" s="6" cm="1">
        <f t="array" ref="J106">HlpGetInstructionSize(A106,D106,E106)</f>
        <v>1</v>
      </c>
      <c r="K106" s="6">
        <f t="shared" si="5"/>
        <v>0</v>
      </c>
    </row>
    <row r="107" spans="1:11">
      <c r="A107" s="6" t="s">
        <v>181</v>
      </c>
      <c r="B107" s="49" t="s">
        <v>913</v>
      </c>
      <c r="C107" s="49">
        <f t="shared" si="3"/>
        <v>2</v>
      </c>
      <c r="D107" s="6" t="s">
        <v>144</v>
      </c>
      <c r="E107" s="6" t="s">
        <v>146</v>
      </c>
      <c r="F107" s="6">
        <v>1</v>
      </c>
      <c r="G107" s="6">
        <v>5</v>
      </c>
      <c r="H107" s="6" t="s">
        <v>579</v>
      </c>
      <c r="I107" s="6" t="str">
        <f t="shared" si="4"/>
        <v>MOV B</v>
      </c>
      <c r="J107" s="6" cm="1">
        <f t="array" ref="J107">HlpGetInstructionSize(A107,D107,E107)</f>
        <v>1</v>
      </c>
      <c r="K107" s="6">
        <f t="shared" si="5"/>
        <v>0</v>
      </c>
    </row>
    <row r="108" spans="1:11">
      <c r="A108" s="6" t="s">
        <v>181</v>
      </c>
      <c r="B108" s="49" t="s">
        <v>914</v>
      </c>
      <c r="C108" s="49">
        <f t="shared" si="3"/>
        <v>2</v>
      </c>
      <c r="D108" s="6" t="s">
        <v>182</v>
      </c>
      <c r="E108" s="6" t="s">
        <v>144</v>
      </c>
      <c r="F108" s="6">
        <v>1</v>
      </c>
      <c r="G108" s="6">
        <v>5</v>
      </c>
      <c r="H108" s="6" t="s">
        <v>580</v>
      </c>
      <c r="I108" s="6" t="str">
        <f t="shared" si="4"/>
        <v>MOV C</v>
      </c>
      <c r="J108" s="6" cm="1">
        <f t="array" ref="J108">HlpGetInstructionSize(A108,D108,E108)</f>
        <v>1</v>
      </c>
      <c r="K108" s="6">
        <f t="shared" si="5"/>
        <v>0</v>
      </c>
    </row>
    <row r="109" spans="1:11">
      <c r="A109" s="6" t="s">
        <v>181</v>
      </c>
      <c r="B109" s="49" t="s">
        <v>915</v>
      </c>
      <c r="C109" s="49">
        <f t="shared" si="3"/>
        <v>2</v>
      </c>
      <c r="D109" s="6" t="s">
        <v>182</v>
      </c>
      <c r="E109" s="6" t="s">
        <v>182</v>
      </c>
      <c r="F109" s="6">
        <v>1</v>
      </c>
      <c r="G109" s="6">
        <v>5</v>
      </c>
      <c r="H109" s="6" t="s">
        <v>581</v>
      </c>
      <c r="I109" s="6" t="str">
        <f t="shared" si="4"/>
        <v>MOV C</v>
      </c>
      <c r="J109" s="6" cm="1">
        <f t="array" ref="J109">HlpGetInstructionSize(A109,D109,E109)</f>
        <v>1</v>
      </c>
      <c r="K109" s="6">
        <f t="shared" si="5"/>
        <v>0</v>
      </c>
    </row>
    <row r="110" spans="1:11">
      <c r="A110" s="6" t="s">
        <v>181</v>
      </c>
      <c r="B110" s="49" t="s">
        <v>582</v>
      </c>
      <c r="C110" s="49">
        <f t="shared" si="3"/>
        <v>2</v>
      </c>
      <c r="D110" s="6" t="s">
        <v>182</v>
      </c>
      <c r="E110" s="6" t="s">
        <v>183</v>
      </c>
      <c r="F110" s="6">
        <v>1</v>
      </c>
      <c r="G110" s="6">
        <v>5</v>
      </c>
      <c r="H110" s="6" t="s">
        <v>583</v>
      </c>
      <c r="I110" s="6" t="str">
        <f t="shared" si="4"/>
        <v>MOV C</v>
      </c>
      <c r="J110" s="6" cm="1">
        <f t="array" ref="J110">HlpGetInstructionSize(A110,D110,E110)</f>
        <v>1</v>
      </c>
      <c r="K110" s="6">
        <f t="shared" si="5"/>
        <v>0</v>
      </c>
    </row>
    <row r="111" spans="1:11">
      <c r="A111" s="6" t="s">
        <v>181</v>
      </c>
      <c r="B111" s="49" t="s">
        <v>584</v>
      </c>
      <c r="C111" s="49">
        <f t="shared" si="3"/>
        <v>2</v>
      </c>
      <c r="D111" s="6" t="s">
        <v>182</v>
      </c>
      <c r="E111" s="6" t="s">
        <v>265</v>
      </c>
      <c r="F111" s="6">
        <v>1</v>
      </c>
      <c r="G111" s="6">
        <v>5</v>
      </c>
      <c r="H111" s="6" t="s">
        <v>585</v>
      </c>
      <c r="I111" s="6" t="str">
        <f t="shared" si="4"/>
        <v>MOV C</v>
      </c>
      <c r="J111" s="6" cm="1">
        <f t="array" ref="J111">HlpGetInstructionSize(A111,D111,E111)</f>
        <v>1</v>
      </c>
      <c r="K111" s="6">
        <f t="shared" si="5"/>
        <v>0</v>
      </c>
    </row>
    <row r="112" spans="1:11">
      <c r="A112" s="6" t="s">
        <v>181</v>
      </c>
      <c r="B112" s="49" t="s">
        <v>586</v>
      </c>
      <c r="C112" s="49">
        <f t="shared" si="3"/>
        <v>2</v>
      </c>
      <c r="D112" s="6" t="s">
        <v>182</v>
      </c>
      <c r="E112" s="6" t="s">
        <v>303</v>
      </c>
      <c r="F112" s="6">
        <v>1</v>
      </c>
      <c r="G112" s="6">
        <v>5</v>
      </c>
      <c r="H112" s="6" t="s">
        <v>587</v>
      </c>
      <c r="I112" s="6" t="str">
        <f t="shared" si="4"/>
        <v>MOV C</v>
      </c>
      <c r="J112" s="6" cm="1">
        <f t="array" ref="J112">HlpGetInstructionSize(A112,D112,E112)</f>
        <v>1</v>
      </c>
      <c r="K112" s="6">
        <f t="shared" si="5"/>
        <v>0</v>
      </c>
    </row>
    <row r="113" spans="1:11">
      <c r="A113" s="6" t="s">
        <v>181</v>
      </c>
      <c r="B113" s="49" t="s">
        <v>588</v>
      </c>
      <c r="C113" s="49">
        <f t="shared" si="3"/>
        <v>2</v>
      </c>
      <c r="D113" s="6" t="s">
        <v>182</v>
      </c>
      <c r="E113" s="6" t="s">
        <v>327</v>
      </c>
      <c r="F113" s="6">
        <v>1</v>
      </c>
      <c r="G113" s="6">
        <v>5</v>
      </c>
      <c r="H113" s="6" t="s">
        <v>589</v>
      </c>
      <c r="I113" s="6" t="str">
        <f t="shared" si="4"/>
        <v>MOV C</v>
      </c>
      <c r="J113" s="6" cm="1">
        <f t="array" ref="J113">HlpGetInstructionSize(A113,D113,E113)</f>
        <v>1</v>
      </c>
      <c r="K113" s="6">
        <f t="shared" si="5"/>
        <v>0</v>
      </c>
    </row>
    <row r="114" spans="1:11">
      <c r="A114" s="6" t="s">
        <v>181</v>
      </c>
      <c r="B114" s="49" t="s">
        <v>590</v>
      </c>
      <c r="C114" s="49">
        <f t="shared" si="3"/>
        <v>2</v>
      </c>
      <c r="D114" s="6" t="s">
        <v>182</v>
      </c>
      <c r="E114" s="6" t="s">
        <v>577</v>
      </c>
      <c r="F114" s="6">
        <v>1</v>
      </c>
      <c r="G114" s="6">
        <v>7</v>
      </c>
      <c r="H114" s="6" t="s">
        <v>591</v>
      </c>
      <c r="I114" s="6" t="str">
        <f t="shared" si="4"/>
        <v>MOV C</v>
      </c>
      <c r="J114" s="6" cm="1">
        <f t="array" ref="J114">HlpGetInstructionSize(A114,D114,E114)</f>
        <v>1</v>
      </c>
      <c r="K114" s="6">
        <f t="shared" si="5"/>
        <v>0</v>
      </c>
    </row>
    <row r="115" spans="1:11">
      <c r="A115" s="6" t="s">
        <v>181</v>
      </c>
      <c r="B115" s="49" t="s">
        <v>592</v>
      </c>
      <c r="C115" s="49">
        <f t="shared" si="3"/>
        <v>2</v>
      </c>
      <c r="D115" s="6" t="s">
        <v>182</v>
      </c>
      <c r="E115" s="6" t="s">
        <v>146</v>
      </c>
      <c r="F115" s="6">
        <v>1</v>
      </c>
      <c r="G115" s="6">
        <v>5</v>
      </c>
      <c r="H115" s="6" t="s">
        <v>593</v>
      </c>
      <c r="I115" s="6" t="str">
        <f t="shared" si="4"/>
        <v>MOV C</v>
      </c>
      <c r="J115" s="6" cm="1">
        <f t="array" ref="J115">HlpGetInstructionSize(A115,D115,E115)</f>
        <v>1</v>
      </c>
      <c r="K115" s="6">
        <f t="shared" si="5"/>
        <v>0</v>
      </c>
    </row>
    <row r="116" spans="1:11">
      <c r="A116" s="6" t="s">
        <v>181</v>
      </c>
      <c r="B116" s="49" t="s">
        <v>916</v>
      </c>
      <c r="C116" s="49">
        <f t="shared" si="3"/>
        <v>2</v>
      </c>
      <c r="D116" s="6" t="s">
        <v>183</v>
      </c>
      <c r="E116" s="6" t="s">
        <v>144</v>
      </c>
      <c r="F116" s="6">
        <v>1</v>
      </c>
      <c r="G116" s="6">
        <v>5</v>
      </c>
      <c r="H116" s="6" t="s">
        <v>594</v>
      </c>
      <c r="I116" s="6" t="str">
        <f t="shared" si="4"/>
        <v>MOV D</v>
      </c>
      <c r="J116" s="6" cm="1">
        <f t="array" ref="J116">HlpGetInstructionSize(A116,D116,E116)</f>
        <v>1</v>
      </c>
      <c r="K116" s="6">
        <f t="shared" si="5"/>
        <v>0</v>
      </c>
    </row>
    <row r="117" spans="1:11">
      <c r="A117" s="6" t="s">
        <v>181</v>
      </c>
      <c r="B117" s="49" t="s">
        <v>917</v>
      </c>
      <c r="C117" s="49">
        <f t="shared" si="3"/>
        <v>2</v>
      </c>
      <c r="D117" s="6" t="s">
        <v>183</v>
      </c>
      <c r="E117" s="6" t="s">
        <v>182</v>
      </c>
      <c r="F117" s="6">
        <v>1</v>
      </c>
      <c r="G117" s="6">
        <v>5</v>
      </c>
      <c r="H117" s="6" t="s">
        <v>595</v>
      </c>
      <c r="I117" s="6" t="str">
        <f t="shared" si="4"/>
        <v>MOV D</v>
      </c>
      <c r="J117" s="6" cm="1">
        <f t="array" ref="J117">HlpGetInstructionSize(A117,D117,E117)</f>
        <v>1</v>
      </c>
      <c r="K117" s="6">
        <f t="shared" si="5"/>
        <v>0</v>
      </c>
    </row>
    <row r="118" spans="1:11">
      <c r="A118" s="6" t="s">
        <v>181</v>
      </c>
      <c r="B118" s="49" t="s">
        <v>918</v>
      </c>
      <c r="C118" s="49">
        <f t="shared" si="3"/>
        <v>2</v>
      </c>
      <c r="D118" s="6" t="s">
        <v>183</v>
      </c>
      <c r="E118" s="6" t="s">
        <v>183</v>
      </c>
      <c r="F118" s="6">
        <v>1</v>
      </c>
      <c r="G118" s="6">
        <v>5</v>
      </c>
      <c r="H118" s="6" t="s">
        <v>596</v>
      </c>
      <c r="I118" s="6" t="str">
        <f t="shared" si="4"/>
        <v>MOV D</v>
      </c>
      <c r="J118" s="6" cm="1">
        <f t="array" ref="J118">HlpGetInstructionSize(A118,D118,E118)</f>
        <v>1</v>
      </c>
      <c r="K118" s="6">
        <f t="shared" si="5"/>
        <v>0</v>
      </c>
    </row>
    <row r="119" spans="1:11">
      <c r="A119" s="6" t="s">
        <v>181</v>
      </c>
      <c r="B119" s="49" t="s">
        <v>919</v>
      </c>
      <c r="C119" s="49">
        <f t="shared" si="3"/>
        <v>2</v>
      </c>
      <c r="D119" s="6" t="s">
        <v>183</v>
      </c>
      <c r="E119" s="6" t="s">
        <v>265</v>
      </c>
      <c r="F119" s="6">
        <v>1</v>
      </c>
      <c r="G119" s="6">
        <v>5</v>
      </c>
      <c r="H119" s="6" t="s">
        <v>597</v>
      </c>
      <c r="I119" s="6" t="str">
        <f t="shared" si="4"/>
        <v>MOV D</v>
      </c>
      <c r="J119" s="6" cm="1">
        <f t="array" ref="J119">HlpGetInstructionSize(A119,D119,E119)</f>
        <v>1</v>
      </c>
      <c r="K119" s="6">
        <f t="shared" si="5"/>
        <v>0</v>
      </c>
    </row>
    <row r="120" spans="1:11">
      <c r="A120" s="6" t="s">
        <v>181</v>
      </c>
      <c r="B120" s="49" t="s">
        <v>920</v>
      </c>
      <c r="C120" s="49">
        <f t="shared" si="3"/>
        <v>2</v>
      </c>
      <c r="D120" s="6" t="s">
        <v>183</v>
      </c>
      <c r="E120" s="6" t="s">
        <v>303</v>
      </c>
      <c r="F120" s="6">
        <v>1</v>
      </c>
      <c r="G120" s="6">
        <v>5</v>
      </c>
      <c r="H120" s="6" t="s">
        <v>598</v>
      </c>
      <c r="I120" s="6" t="str">
        <f t="shared" si="4"/>
        <v>MOV D</v>
      </c>
      <c r="J120" s="6" cm="1">
        <f t="array" ref="J120">HlpGetInstructionSize(A120,D120,E120)</f>
        <v>1</v>
      </c>
      <c r="K120" s="6">
        <f t="shared" si="5"/>
        <v>0</v>
      </c>
    </row>
    <row r="121" spans="1:11">
      <c r="A121" s="6" t="s">
        <v>181</v>
      </c>
      <c r="B121" s="49" t="s">
        <v>185</v>
      </c>
      <c r="C121" s="49">
        <f t="shared" si="3"/>
        <v>2</v>
      </c>
      <c r="D121" s="6" t="s">
        <v>183</v>
      </c>
      <c r="E121" s="6" t="s">
        <v>327</v>
      </c>
      <c r="F121" s="6">
        <v>1</v>
      </c>
      <c r="G121" s="6">
        <v>5</v>
      </c>
      <c r="H121" s="6" t="s">
        <v>599</v>
      </c>
      <c r="I121" s="6" t="str">
        <f t="shared" si="4"/>
        <v>MOV D</v>
      </c>
      <c r="J121" s="6" cm="1">
        <f t="array" ref="J121">HlpGetInstructionSize(A121,D121,E121)</f>
        <v>1</v>
      </c>
      <c r="K121" s="6">
        <f t="shared" si="5"/>
        <v>0</v>
      </c>
    </row>
    <row r="122" spans="1:11">
      <c r="A122" s="6" t="s">
        <v>181</v>
      </c>
      <c r="B122" s="49" t="s">
        <v>921</v>
      </c>
      <c r="C122" s="49">
        <f t="shared" si="3"/>
        <v>2</v>
      </c>
      <c r="D122" s="6" t="s">
        <v>183</v>
      </c>
      <c r="E122" s="6" t="s">
        <v>577</v>
      </c>
      <c r="F122" s="6">
        <v>1</v>
      </c>
      <c r="G122" s="6">
        <v>7</v>
      </c>
      <c r="H122" s="6" t="s">
        <v>600</v>
      </c>
      <c r="I122" s="6" t="str">
        <f t="shared" si="4"/>
        <v>MOV D</v>
      </c>
      <c r="J122" s="6" cm="1">
        <f t="array" ref="J122">HlpGetInstructionSize(A122,D122,E122)</f>
        <v>1</v>
      </c>
      <c r="K122" s="6">
        <f t="shared" si="5"/>
        <v>0</v>
      </c>
    </row>
    <row r="123" spans="1:11">
      <c r="A123" s="6" t="s">
        <v>181</v>
      </c>
      <c r="B123" s="49" t="s">
        <v>922</v>
      </c>
      <c r="C123" s="49">
        <f t="shared" si="3"/>
        <v>2</v>
      </c>
      <c r="D123" s="6" t="s">
        <v>183</v>
      </c>
      <c r="E123" s="6" t="s">
        <v>146</v>
      </c>
      <c r="F123" s="6">
        <v>1</v>
      </c>
      <c r="G123" s="6">
        <v>5</v>
      </c>
      <c r="H123" s="6" t="s">
        <v>601</v>
      </c>
      <c r="I123" s="6" t="str">
        <f t="shared" si="4"/>
        <v>MOV D</v>
      </c>
      <c r="J123" s="6" cm="1">
        <f t="array" ref="J123">HlpGetInstructionSize(A123,D123,E123)</f>
        <v>1</v>
      </c>
      <c r="K123" s="6">
        <f t="shared" si="5"/>
        <v>0</v>
      </c>
    </row>
    <row r="124" spans="1:11">
      <c r="A124" s="6" t="s">
        <v>181</v>
      </c>
      <c r="B124" s="49" t="s">
        <v>923</v>
      </c>
      <c r="C124" s="49">
        <f t="shared" si="3"/>
        <v>2</v>
      </c>
      <c r="D124" s="6" t="s">
        <v>265</v>
      </c>
      <c r="E124" s="6" t="s">
        <v>144</v>
      </c>
      <c r="F124" s="6">
        <v>1</v>
      </c>
      <c r="G124" s="6">
        <v>5</v>
      </c>
      <c r="H124" s="6" t="s">
        <v>602</v>
      </c>
      <c r="I124" s="6" t="str">
        <f t="shared" si="4"/>
        <v>MOV E</v>
      </c>
      <c r="J124" s="6" cm="1">
        <f t="array" ref="J124">HlpGetInstructionSize(A124,D124,E124)</f>
        <v>1</v>
      </c>
      <c r="K124" s="6">
        <f t="shared" si="5"/>
        <v>0</v>
      </c>
    </row>
    <row r="125" spans="1:11">
      <c r="A125" s="6" t="s">
        <v>181</v>
      </c>
      <c r="B125" s="49" t="s">
        <v>924</v>
      </c>
      <c r="C125" s="49">
        <f t="shared" si="3"/>
        <v>2</v>
      </c>
      <c r="D125" s="6" t="s">
        <v>265</v>
      </c>
      <c r="E125" s="6" t="s">
        <v>182</v>
      </c>
      <c r="F125" s="6">
        <v>1</v>
      </c>
      <c r="G125" s="6">
        <v>5</v>
      </c>
      <c r="H125" s="6" t="s">
        <v>603</v>
      </c>
      <c r="I125" s="6" t="str">
        <f t="shared" si="4"/>
        <v>MOV E</v>
      </c>
      <c r="J125" s="6" cm="1">
        <f t="array" ref="J125">HlpGetInstructionSize(A125,D125,E125)</f>
        <v>1</v>
      </c>
      <c r="K125" s="6">
        <f t="shared" si="5"/>
        <v>0</v>
      </c>
    </row>
    <row r="126" spans="1:11">
      <c r="A126" s="6" t="s">
        <v>181</v>
      </c>
      <c r="B126" s="49" t="s">
        <v>358</v>
      </c>
      <c r="C126" s="49">
        <f t="shared" si="3"/>
        <v>2</v>
      </c>
      <c r="D126" s="6" t="s">
        <v>265</v>
      </c>
      <c r="E126" s="6" t="s">
        <v>183</v>
      </c>
      <c r="F126" s="6">
        <v>1</v>
      </c>
      <c r="G126" s="6">
        <v>5</v>
      </c>
      <c r="H126" s="6" t="s">
        <v>604</v>
      </c>
      <c r="I126" s="6" t="str">
        <f t="shared" si="4"/>
        <v>MOV E</v>
      </c>
      <c r="J126" s="6" cm="1">
        <f t="array" ref="J126">HlpGetInstructionSize(A126,D126,E126)</f>
        <v>1</v>
      </c>
      <c r="K126" s="6">
        <f t="shared" si="5"/>
        <v>0</v>
      </c>
    </row>
    <row r="127" spans="1:11">
      <c r="A127" s="6" t="s">
        <v>181</v>
      </c>
      <c r="B127" s="49" t="s">
        <v>605</v>
      </c>
      <c r="C127" s="49">
        <f t="shared" si="3"/>
        <v>2</v>
      </c>
      <c r="D127" s="6" t="s">
        <v>265</v>
      </c>
      <c r="E127" s="6" t="s">
        <v>265</v>
      </c>
      <c r="F127" s="6">
        <v>1</v>
      </c>
      <c r="G127" s="6">
        <v>5</v>
      </c>
      <c r="H127" s="6" t="s">
        <v>606</v>
      </c>
      <c r="I127" s="6" t="str">
        <f t="shared" si="4"/>
        <v>MOV E</v>
      </c>
      <c r="J127" s="6" cm="1">
        <f t="array" ref="J127">HlpGetInstructionSize(A127,D127,E127)</f>
        <v>1</v>
      </c>
      <c r="K127" s="6">
        <f t="shared" si="5"/>
        <v>0</v>
      </c>
    </row>
    <row r="128" spans="1:11">
      <c r="A128" s="6" t="s">
        <v>181</v>
      </c>
      <c r="B128" s="49" t="s">
        <v>607</v>
      </c>
      <c r="C128" s="49">
        <f t="shared" ref="C128:C191" si="6">COUNTA(D128:E128)</f>
        <v>2</v>
      </c>
      <c r="D128" s="6" t="s">
        <v>265</v>
      </c>
      <c r="E128" s="6" t="s">
        <v>303</v>
      </c>
      <c r="F128" s="6">
        <v>1</v>
      </c>
      <c r="G128" s="6">
        <v>5</v>
      </c>
      <c r="H128" s="6" t="s">
        <v>608</v>
      </c>
      <c r="I128" s="6" t="str">
        <f t="shared" ref="I128:I191" si="7">A128&amp;IF(IF(D128&lt;&gt;"",IFERROR(FIND(D128,"ABCDEHLMSP"),0),0)=0,""," "&amp;D128)</f>
        <v>MOV E</v>
      </c>
      <c r="J128" s="6" cm="1">
        <f t="array" ref="J128">HlpGetInstructionSize(A128,D128,E128)</f>
        <v>1</v>
      </c>
      <c r="K128" s="6">
        <f t="shared" ref="K128:K191" si="8">IF(F128&lt;&gt;J128,1,0)</f>
        <v>0</v>
      </c>
    </row>
    <row r="129" spans="1:11">
      <c r="A129" s="6" t="s">
        <v>181</v>
      </c>
      <c r="B129" s="49" t="s">
        <v>609</v>
      </c>
      <c r="C129" s="49">
        <f t="shared" si="6"/>
        <v>2</v>
      </c>
      <c r="D129" s="6" t="s">
        <v>265</v>
      </c>
      <c r="E129" s="6" t="s">
        <v>327</v>
      </c>
      <c r="F129" s="6">
        <v>1</v>
      </c>
      <c r="G129" s="6">
        <v>5</v>
      </c>
      <c r="H129" s="6" t="s">
        <v>610</v>
      </c>
      <c r="I129" s="6" t="str">
        <f t="shared" si="7"/>
        <v>MOV E</v>
      </c>
      <c r="J129" s="6" cm="1">
        <f t="array" ref="J129">HlpGetInstructionSize(A129,D129,E129)</f>
        <v>1</v>
      </c>
      <c r="K129" s="6">
        <f t="shared" si="8"/>
        <v>0</v>
      </c>
    </row>
    <row r="130" spans="1:11">
      <c r="A130" s="6" t="s">
        <v>181</v>
      </c>
      <c r="B130" s="49" t="s">
        <v>611</v>
      </c>
      <c r="C130" s="49">
        <f t="shared" si="6"/>
        <v>2</v>
      </c>
      <c r="D130" s="6" t="s">
        <v>265</v>
      </c>
      <c r="E130" s="6" t="s">
        <v>577</v>
      </c>
      <c r="F130" s="6">
        <v>1</v>
      </c>
      <c r="G130" s="6">
        <v>7</v>
      </c>
      <c r="H130" s="6" t="s">
        <v>612</v>
      </c>
      <c r="I130" s="6" t="str">
        <f t="shared" si="7"/>
        <v>MOV E</v>
      </c>
      <c r="J130" s="6" cm="1">
        <f t="array" ref="J130">HlpGetInstructionSize(A130,D130,E130)</f>
        <v>1</v>
      </c>
      <c r="K130" s="6">
        <f t="shared" si="8"/>
        <v>0</v>
      </c>
    </row>
    <row r="131" spans="1:11">
      <c r="A131" s="6" t="s">
        <v>181</v>
      </c>
      <c r="B131" s="49" t="s">
        <v>613</v>
      </c>
      <c r="C131" s="49">
        <f t="shared" si="6"/>
        <v>2</v>
      </c>
      <c r="D131" s="6" t="s">
        <v>265</v>
      </c>
      <c r="E131" s="6" t="s">
        <v>146</v>
      </c>
      <c r="F131" s="6">
        <v>1</v>
      </c>
      <c r="G131" s="6">
        <v>5</v>
      </c>
      <c r="H131" s="6" t="s">
        <v>614</v>
      </c>
      <c r="I131" s="6" t="str">
        <f t="shared" si="7"/>
        <v>MOV E</v>
      </c>
      <c r="J131" s="6" cm="1">
        <f t="array" ref="J131">HlpGetInstructionSize(A131,D131,E131)</f>
        <v>1</v>
      </c>
      <c r="K131" s="6">
        <f t="shared" si="8"/>
        <v>0</v>
      </c>
    </row>
    <row r="132" spans="1:11">
      <c r="A132" s="6" t="s">
        <v>181</v>
      </c>
      <c r="B132" s="49" t="s">
        <v>925</v>
      </c>
      <c r="C132" s="49">
        <f t="shared" si="6"/>
        <v>2</v>
      </c>
      <c r="D132" s="6" t="s">
        <v>303</v>
      </c>
      <c r="E132" s="6" t="s">
        <v>144</v>
      </c>
      <c r="F132" s="6">
        <v>1</v>
      </c>
      <c r="G132" s="6">
        <v>5</v>
      </c>
      <c r="H132" s="6" t="s">
        <v>615</v>
      </c>
      <c r="I132" s="6" t="str">
        <f t="shared" si="7"/>
        <v>MOV H</v>
      </c>
      <c r="J132" s="6" cm="1">
        <f t="array" ref="J132">HlpGetInstructionSize(A132,D132,E132)</f>
        <v>1</v>
      </c>
      <c r="K132" s="6">
        <f t="shared" si="8"/>
        <v>0</v>
      </c>
    </row>
    <row r="133" spans="1:11">
      <c r="A133" s="6" t="s">
        <v>181</v>
      </c>
      <c r="B133" s="49" t="s">
        <v>926</v>
      </c>
      <c r="C133" s="49">
        <f t="shared" si="6"/>
        <v>2</v>
      </c>
      <c r="D133" s="6" t="s">
        <v>303</v>
      </c>
      <c r="E133" s="6" t="s">
        <v>182</v>
      </c>
      <c r="F133" s="6">
        <v>1</v>
      </c>
      <c r="G133" s="6">
        <v>5</v>
      </c>
      <c r="H133" s="6" t="s">
        <v>616</v>
      </c>
      <c r="I133" s="6" t="str">
        <f t="shared" si="7"/>
        <v>MOV H</v>
      </c>
      <c r="J133" s="6" cm="1">
        <f t="array" ref="J133">HlpGetInstructionSize(A133,D133,E133)</f>
        <v>1</v>
      </c>
      <c r="K133" s="6">
        <f t="shared" si="8"/>
        <v>0</v>
      </c>
    </row>
    <row r="134" spans="1:11">
      <c r="A134" s="6" t="s">
        <v>181</v>
      </c>
      <c r="B134" s="49" t="s">
        <v>927</v>
      </c>
      <c r="C134" s="49">
        <f t="shared" si="6"/>
        <v>2</v>
      </c>
      <c r="D134" s="6" t="s">
        <v>303</v>
      </c>
      <c r="E134" s="6" t="s">
        <v>183</v>
      </c>
      <c r="F134" s="6">
        <v>1</v>
      </c>
      <c r="G134" s="6">
        <v>5</v>
      </c>
      <c r="H134" s="6" t="s">
        <v>617</v>
      </c>
      <c r="I134" s="6" t="str">
        <f t="shared" si="7"/>
        <v>MOV H</v>
      </c>
      <c r="J134" s="6" cm="1">
        <f t="array" ref="J134">HlpGetInstructionSize(A134,D134,E134)</f>
        <v>1</v>
      </c>
      <c r="K134" s="6">
        <f t="shared" si="8"/>
        <v>0</v>
      </c>
    </row>
    <row r="135" spans="1:11">
      <c r="A135" s="6" t="s">
        <v>181</v>
      </c>
      <c r="B135" s="49" t="s">
        <v>928</v>
      </c>
      <c r="C135" s="49">
        <f t="shared" si="6"/>
        <v>2</v>
      </c>
      <c r="D135" s="6" t="s">
        <v>303</v>
      </c>
      <c r="E135" s="6" t="s">
        <v>265</v>
      </c>
      <c r="F135" s="6">
        <v>1</v>
      </c>
      <c r="G135" s="6">
        <v>5</v>
      </c>
      <c r="H135" s="6" t="s">
        <v>618</v>
      </c>
      <c r="I135" s="6" t="str">
        <f t="shared" si="7"/>
        <v>MOV H</v>
      </c>
      <c r="J135" s="6" cm="1">
        <f t="array" ref="J135">HlpGetInstructionSize(A135,D135,E135)</f>
        <v>1</v>
      </c>
      <c r="K135" s="6">
        <f t="shared" si="8"/>
        <v>0</v>
      </c>
    </row>
    <row r="136" spans="1:11">
      <c r="A136" s="6" t="s">
        <v>181</v>
      </c>
      <c r="B136" s="49" t="s">
        <v>929</v>
      </c>
      <c r="C136" s="49">
        <f t="shared" si="6"/>
        <v>2</v>
      </c>
      <c r="D136" s="6" t="s">
        <v>303</v>
      </c>
      <c r="E136" s="6" t="s">
        <v>303</v>
      </c>
      <c r="F136" s="6">
        <v>1</v>
      </c>
      <c r="G136" s="6">
        <v>5</v>
      </c>
      <c r="H136" s="6" t="s">
        <v>619</v>
      </c>
      <c r="I136" s="6" t="str">
        <f t="shared" si="7"/>
        <v>MOV H</v>
      </c>
      <c r="J136" s="6" cm="1">
        <f t="array" ref="J136">HlpGetInstructionSize(A136,D136,E136)</f>
        <v>1</v>
      </c>
      <c r="K136" s="6">
        <f t="shared" si="8"/>
        <v>0</v>
      </c>
    </row>
    <row r="137" spans="1:11">
      <c r="A137" s="6" t="s">
        <v>181</v>
      </c>
      <c r="B137" s="49" t="s">
        <v>930</v>
      </c>
      <c r="C137" s="49">
        <f t="shared" si="6"/>
        <v>2</v>
      </c>
      <c r="D137" s="6" t="s">
        <v>303</v>
      </c>
      <c r="E137" s="6" t="s">
        <v>327</v>
      </c>
      <c r="F137" s="6">
        <v>1</v>
      </c>
      <c r="G137" s="6">
        <v>5</v>
      </c>
      <c r="H137" s="6" t="s">
        <v>620</v>
      </c>
      <c r="I137" s="6" t="str">
        <f t="shared" si="7"/>
        <v>MOV H</v>
      </c>
      <c r="J137" s="6" cm="1">
        <f t="array" ref="J137">HlpGetInstructionSize(A137,D137,E137)</f>
        <v>1</v>
      </c>
      <c r="K137" s="6">
        <f t="shared" si="8"/>
        <v>0</v>
      </c>
    </row>
    <row r="138" spans="1:11">
      <c r="A138" s="6" t="s">
        <v>181</v>
      </c>
      <c r="B138" s="49" t="s">
        <v>931</v>
      </c>
      <c r="C138" s="49">
        <f t="shared" si="6"/>
        <v>2</v>
      </c>
      <c r="D138" s="6" t="s">
        <v>303</v>
      </c>
      <c r="E138" s="6" t="s">
        <v>577</v>
      </c>
      <c r="F138" s="6">
        <v>1</v>
      </c>
      <c r="G138" s="6">
        <v>7</v>
      </c>
      <c r="H138" s="6" t="s">
        <v>621</v>
      </c>
      <c r="I138" s="6" t="str">
        <f t="shared" si="7"/>
        <v>MOV H</v>
      </c>
      <c r="J138" s="6" cm="1">
        <f t="array" ref="J138">HlpGetInstructionSize(A138,D138,E138)</f>
        <v>1</v>
      </c>
      <c r="K138" s="6">
        <f t="shared" si="8"/>
        <v>0</v>
      </c>
    </row>
    <row r="139" spans="1:11">
      <c r="A139" s="6" t="s">
        <v>181</v>
      </c>
      <c r="B139" s="49" t="s">
        <v>932</v>
      </c>
      <c r="C139" s="49">
        <f t="shared" si="6"/>
        <v>2</v>
      </c>
      <c r="D139" s="6" t="s">
        <v>303</v>
      </c>
      <c r="E139" s="6" t="s">
        <v>146</v>
      </c>
      <c r="F139" s="6">
        <v>1</v>
      </c>
      <c r="G139" s="6">
        <v>5</v>
      </c>
      <c r="H139" s="6" t="s">
        <v>622</v>
      </c>
      <c r="I139" s="6" t="str">
        <f t="shared" si="7"/>
        <v>MOV H</v>
      </c>
      <c r="J139" s="6" cm="1">
        <f t="array" ref="J139">HlpGetInstructionSize(A139,D139,E139)</f>
        <v>1</v>
      </c>
      <c r="K139" s="6">
        <f t="shared" si="8"/>
        <v>0</v>
      </c>
    </row>
    <row r="140" spans="1:11">
      <c r="A140" s="6" t="s">
        <v>181</v>
      </c>
      <c r="B140" s="49" t="s">
        <v>933</v>
      </c>
      <c r="C140" s="49">
        <f t="shared" si="6"/>
        <v>2</v>
      </c>
      <c r="D140" s="6" t="s">
        <v>327</v>
      </c>
      <c r="E140" s="6" t="s">
        <v>144</v>
      </c>
      <c r="F140" s="6">
        <v>1</v>
      </c>
      <c r="G140" s="6">
        <v>5</v>
      </c>
      <c r="H140" s="6" t="s">
        <v>623</v>
      </c>
      <c r="I140" s="6" t="str">
        <f t="shared" si="7"/>
        <v>MOV L</v>
      </c>
      <c r="J140" s="6" cm="1">
        <f t="array" ref="J140">HlpGetInstructionSize(A140,D140,E140)</f>
        <v>1</v>
      </c>
      <c r="K140" s="6">
        <f t="shared" si="8"/>
        <v>0</v>
      </c>
    </row>
    <row r="141" spans="1:11">
      <c r="A141" s="6" t="s">
        <v>181</v>
      </c>
      <c r="B141" s="49" t="s">
        <v>934</v>
      </c>
      <c r="C141" s="49">
        <f t="shared" si="6"/>
        <v>2</v>
      </c>
      <c r="D141" s="6" t="s">
        <v>327</v>
      </c>
      <c r="E141" s="6" t="s">
        <v>182</v>
      </c>
      <c r="F141" s="6">
        <v>1</v>
      </c>
      <c r="G141" s="6">
        <v>5</v>
      </c>
      <c r="H141" s="6" t="s">
        <v>624</v>
      </c>
      <c r="I141" s="6" t="str">
        <f t="shared" si="7"/>
        <v>MOV L</v>
      </c>
      <c r="J141" s="6" cm="1">
        <f t="array" ref="J141">HlpGetInstructionSize(A141,D141,E141)</f>
        <v>1</v>
      </c>
      <c r="K141" s="6">
        <f t="shared" si="8"/>
        <v>0</v>
      </c>
    </row>
    <row r="142" spans="1:11">
      <c r="A142" s="6" t="s">
        <v>181</v>
      </c>
      <c r="B142" s="49" t="s">
        <v>625</v>
      </c>
      <c r="C142" s="49">
        <f t="shared" si="6"/>
        <v>2</v>
      </c>
      <c r="D142" s="6" t="s">
        <v>327</v>
      </c>
      <c r="E142" s="6" t="s">
        <v>183</v>
      </c>
      <c r="F142" s="6">
        <v>1</v>
      </c>
      <c r="G142" s="6">
        <v>5</v>
      </c>
      <c r="H142" s="6" t="s">
        <v>626</v>
      </c>
      <c r="I142" s="6" t="str">
        <f t="shared" si="7"/>
        <v>MOV L</v>
      </c>
      <c r="J142" s="6" cm="1">
        <f t="array" ref="J142">HlpGetInstructionSize(A142,D142,E142)</f>
        <v>1</v>
      </c>
      <c r="K142" s="6">
        <f t="shared" si="8"/>
        <v>0</v>
      </c>
    </row>
    <row r="143" spans="1:11">
      <c r="A143" s="6" t="s">
        <v>181</v>
      </c>
      <c r="B143" s="49" t="s">
        <v>627</v>
      </c>
      <c r="C143" s="49">
        <f t="shared" si="6"/>
        <v>2</v>
      </c>
      <c r="D143" s="6" t="s">
        <v>327</v>
      </c>
      <c r="E143" s="6" t="s">
        <v>265</v>
      </c>
      <c r="F143" s="6">
        <v>1</v>
      </c>
      <c r="G143" s="6">
        <v>5</v>
      </c>
      <c r="H143" s="6" t="s">
        <v>628</v>
      </c>
      <c r="I143" s="6" t="str">
        <f t="shared" si="7"/>
        <v>MOV L</v>
      </c>
      <c r="J143" s="6" cm="1">
        <f t="array" ref="J143">HlpGetInstructionSize(A143,D143,E143)</f>
        <v>1</v>
      </c>
      <c r="K143" s="6">
        <f t="shared" si="8"/>
        <v>0</v>
      </c>
    </row>
    <row r="144" spans="1:11">
      <c r="A144" s="6" t="s">
        <v>181</v>
      </c>
      <c r="B144" s="49" t="s">
        <v>629</v>
      </c>
      <c r="C144" s="49">
        <f t="shared" si="6"/>
        <v>2</v>
      </c>
      <c r="D144" s="6" t="s">
        <v>327</v>
      </c>
      <c r="E144" s="6" t="s">
        <v>303</v>
      </c>
      <c r="F144" s="6">
        <v>1</v>
      </c>
      <c r="G144" s="6">
        <v>5</v>
      </c>
      <c r="H144" s="6" t="s">
        <v>630</v>
      </c>
      <c r="I144" s="6" t="str">
        <f t="shared" si="7"/>
        <v>MOV L</v>
      </c>
      <c r="J144" s="6" cm="1">
        <f t="array" ref="J144">HlpGetInstructionSize(A144,D144,E144)</f>
        <v>1</v>
      </c>
      <c r="K144" s="6">
        <f t="shared" si="8"/>
        <v>0</v>
      </c>
    </row>
    <row r="145" spans="1:11">
      <c r="A145" s="6" t="s">
        <v>181</v>
      </c>
      <c r="B145" s="49" t="s">
        <v>631</v>
      </c>
      <c r="C145" s="49">
        <f t="shared" si="6"/>
        <v>2</v>
      </c>
      <c r="D145" s="6" t="s">
        <v>327</v>
      </c>
      <c r="E145" s="6" t="s">
        <v>327</v>
      </c>
      <c r="F145" s="6">
        <v>1</v>
      </c>
      <c r="G145" s="6">
        <v>5</v>
      </c>
      <c r="H145" s="6" t="s">
        <v>632</v>
      </c>
      <c r="I145" s="6" t="str">
        <f t="shared" si="7"/>
        <v>MOV L</v>
      </c>
      <c r="J145" s="6" cm="1">
        <f t="array" ref="J145">HlpGetInstructionSize(A145,D145,E145)</f>
        <v>1</v>
      </c>
      <c r="K145" s="6">
        <f t="shared" si="8"/>
        <v>0</v>
      </c>
    </row>
    <row r="146" spans="1:11">
      <c r="A146" s="6" t="s">
        <v>181</v>
      </c>
      <c r="B146" s="49" t="s">
        <v>633</v>
      </c>
      <c r="C146" s="49">
        <f t="shared" si="6"/>
        <v>2</v>
      </c>
      <c r="D146" s="6" t="s">
        <v>327</v>
      </c>
      <c r="E146" s="6" t="s">
        <v>577</v>
      </c>
      <c r="F146" s="6">
        <v>1</v>
      </c>
      <c r="G146" s="6">
        <v>7</v>
      </c>
      <c r="H146" s="6" t="s">
        <v>634</v>
      </c>
      <c r="I146" s="6" t="str">
        <f t="shared" si="7"/>
        <v>MOV L</v>
      </c>
      <c r="J146" s="6" cm="1">
        <f t="array" ref="J146">HlpGetInstructionSize(A146,D146,E146)</f>
        <v>1</v>
      </c>
      <c r="K146" s="6">
        <f t="shared" si="8"/>
        <v>0</v>
      </c>
    </row>
    <row r="147" spans="1:11">
      <c r="A147" s="6" t="s">
        <v>181</v>
      </c>
      <c r="B147" s="49" t="s">
        <v>635</v>
      </c>
      <c r="C147" s="49">
        <f t="shared" si="6"/>
        <v>2</v>
      </c>
      <c r="D147" s="6" t="s">
        <v>327</v>
      </c>
      <c r="E147" s="6" t="s">
        <v>146</v>
      </c>
      <c r="F147" s="6">
        <v>1</v>
      </c>
      <c r="G147" s="6">
        <v>5</v>
      </c>
      <c r="H147" s="6" t="s">
        <v>636</v>
      </c>
      <c r="I147" s="6" t="str">
        <f t="shared" si="7"/>
        <v>MOV L</v>
      </c>
      <c r="J147" s="6" cm="1">
        <f t="array" ref="J147">HlpGetInstructionSize(A147,D147,E147)</f>
        <v>1</v>
      </c>
      <c r="K147" s="6">
        <f t="shared" si="8"/>
        <v>0</v>
      </c>
    </row>
    <row r="148" spans="1:11">
      <c r="A148" s="6" t="s">
        <v>181</v>
      </c>
      <c r="B148" s="49" t="s">
        <v>935</v>
      </c>
      <c r="C148" s="49">
        <f t="shared" si="6"/>
        <v>2</v>
      </c>
      <c r="D148" s="6" t="s">
        <v>577</v>
      </c>
      <c r="E148" s="6" t="s">
        <v>144</v>
      </c>
      <c r="F148" s="6">
        <v>1</v>
      </c>
      <c r="G148" s="6">
        <v>7</v>
      </c>
      <c r="H148" s="6" t="s">
        <v>637</v>
      </c>
      <c r="I148" s="6" t="str">
        <f t="shared" si="7"/>
        <v>MOV M</v>
      </c>
      <c r="J148" s="6" cm="1">
        <f t="array" ref="J148">HlpGetInstructionSize(A148,D148,E148)</f>
        <v>1</v>
      </c>
      <c r="K148" s="6">
        <f t="shared" si="8"/>
        <v>0</v>
      </c>
    </row>
    <row r="149" spans="1:11">
      <c r="A149" s="6" t="s">
        <v>181</v>
      </c>
      <c r="B149" s="49" t="s">
        <v>936</v>
      </c>
      <c r="C149" s="49">
        <f t="shared" si="6"/>
        <v>2</v>
      </c>
      <c r="D149" s="6" t="s">
        <v>577</v>
      </c>
      <c r="E149" s="6" t="s">
        <v>182</v>
      </c>
      <c r="F149" s="6">
        <v>1</v>
      </c>
      <c r="G149" s="6">
        <v>7</v>
      </c>
      <c r="H149" s="6" t="s">
        <v>638</v>
      </c>
      <c r="I149" s="6" t="str">
        <f t="shared" si="7"/>
        <v>MOV M</v>
      </c>
      <c r="J149" s="6" cm="1">
        <f t="array" ref="J149">HlpGetInstructionSize(A149,D149,E149)</f>
        <v>1</v>
      </c>
      <c r="K149" s="6">
        <f t="shared" si="8"/>
        <v>0</v>
      </c>
    </row>
    <row r="150" spans="1:11">
      <c r="A150" s="6" t="s">
        <v>181</v>
      </c>
      <c r="B150" s="49" t="s">
        <v>937</v>
      </c>
      <c r="C150" s="49">
        <f t="shared" si="6"/>
        <v>2</v>
      </c>
      <c r="D150" s="6" t="s">
        <v>577</v>
      </c>
      <c r="E150" s="6" t="s">
        <v>183</v>
      </c>
      <c r="F150" s="6">
        <v>1</v>
      </c>
      <c r="G150" s="6">
        <v>7</v>
      </c>
      <c r="H150" s="6" t="s">
        <v>639</v>
      </c>
      <c r="I150" s="6" t="str">
        <f t="shared" si="7"/>
        <v>MOV M</v>
      </c>
      <c r="J150" s="6" cm="1">
        <f t="array" ref="J150">HlpGetInstructionSize(A150,D150,E150)</f>
        <v>1</v>
      </c>
      <c r="K150" s="6">
        <f t="shared" si="8"/>
        <v>0</v>
      </c>
    </row>
    <row r="151" spans="1:11">
      <c r="A151" s="6" t="s">
        <v>181</v>
      </c>
      <c r="B151" s="49" t="s">
        <v>938</v>
      </c>
      <c r="C151" s="49">
        <f t="shared" si="6"/>
        <v>2</v>
      </c>
      <c r="D151" s="6" t="s">
        <v>577</v>
      </c>
      <c r="E151" s="6" t="s">
        <v>265</v>
      </c>
      <c r="F151" s="6">
        <v>1</v>
      </c>
      <c r="G151" s="6">
        <v>7</v>
      </c>
      <c r="H151" s="6" t="s">
        <v>640</v>
      </c>
      <c r="I151" s="6" t="str">
        <f t="shared" si="7"/>
        <v>MOV M</v>
      </c>
      <c r="J151" s="6" cm="1">
        <f t="array" ref="J151">HlpGetInstructionSize(A151,D151,E151)</f>
        <v>1</v>
      </c>
      <c r="K151" s="6">
        <f t="shared" si="8"/>
        <v>0</v>
      </c>
    </row>
    <row r="152" spans="1:11">
      <c r="A152" s="6" t="s">
        <v>181</v>
      </c>
      <c r="B152" s="49" t="s">
        <v>939</v>
      </c>
      <c r="C152" s="49">
        <f t="shared" si="6"/>
        <v>2</v>
      </c>
      <c r="D152" s="6" t="s">
        <v>577</v>
      </c>
      <c r="E152" s="6" t="s">
        <v>303</v>
      </c>
      <c r="F152" s="6">
        <v>1</v>
      </c>
      <c r="G152" s="6">
        <v>7</v>
      </c>
      <c r="H152" s="6" t="s">
        <v>641</v>
      </c>
      <c r="I152" s="6" t="str">
        <f t="shared" si="7"/>
        <v>MOV M</v>
      </c>
      <c r="J152" s="6" cm="1">
        <f t="array" ref="J152">HlpGetInstructionSize(A152,D152,E152)</f>
        <v>1</v>
      </c>
      <c r="K152" s="6">
        <f t="shared" si="8"/>
        <v>0</v>
      </c>
    </row>
    <row r="153" spans="1:11">
      <c r="A153" s="6" t="s">
        <v>181</v>
      </c>
      <c r="B153" s="49" t="s">
        <v>940</v>
      </c>
      <c r="C153" s="49">
        <f t="shared" si="6"/>
        <v>2</v>
      </c>
      <c r="D153" s="6" t="s">
        <v>577</v>
      </c>
      <c r="E153" s="6" t="s">
        <v>327</v>
      </c>
      <c r="F153" s="6">
        <v>1</v>
      </c>
      <c r="G153" s="6">
        <v>7</v>
      </c>
      <c r="H153" s="6" t="s">
        <v>642</v>
      </c>
      <c r="I153" s="6" t="str">
        <f t="shared" si="7"/>
        <v>MOV M</v>
      </c>
      <c r="J153" s="6" cm="1">
        <f t="array" ref="J153">HlpGetInstructionSize(A153,D153,E153)</f>
        <v>1</v>
      </c>
      <c r="K153" s="6">
        <f t="shared" si="8"/>
        <v>0</v>
      </c>
    </row>
    <row r="154" spans="1:11">
      <c r="A154" s="6" t="s">
        <v>181</v>
      </c>
      <c r="B154" s="49" t="s">
        <v>942</v>
      </c>
      <c r="C154" s="49">
        <f t="shared" si="6"/>
        <v>2</v>
      </c>
      <c r="D154" s="6" t="s">
        <v>577</v>
      </c>
      <c r="E154" s="6" t="s">
        <v>146</v>
      </c>
      <c r="F154" s="6">
        <v>1</v>
      </c>
      <c r="G154" s="6">
        <v>7</v>
      </c>
      <c r="H154" s="6" t="s">
        <v>644</v>
      </c>
      <c r="I154" s="6" t="str">
        <f t="shared" si="7"/>
        <v>MOV M</v>
      </c>
      <c r="J154" s="6" cm="1">
        <f t="array" ref="J154">HlpGetInstructionSize(A154,D154,E154)</f>
        <v>1</v>
      </c>
      <c r="K154" s="6">
        <f t="shared" si="8"/>
        <v>0</v>
      </c>
    </row>
    <row r="155" spans="1:11">
      <c r="A155" s="6" t="s">
        <v>181</v>
      </c>
      <c r="B155" s="49" t="s">
        <v>943</v>
      </c>
      <c r="C155" s="49">
        <f t="shared" si="6"/>
        <v>2</v>
      </c>
      <c r="D155" s="6" t="s">
        <v>146</v>
      </c>
      <c r="E155" s="6" t="s">
        <v>144</v>
      </c>
      <c r="F155" s="6">
        <v>1</v>
      </c>
      <c r="G155" s="6">
        <v>5</v>
      </c>
      <c r="H155" s="6" t="s">
        <v>645</v>
      </c>
      <c r="I155" s="6" t="str">
        <f t="shared" si="7"/>
        <v>MOV A</v>
      </c>
      <c r="J155" s="6" cm="1">
        <f t="array" ref="J155">HlpGetInstructionSize(A155,D155,E155)</f>
        <v>1</v>
      </c>
      <c r="K155" s="6">
        <f t="shared" si="8"/>
        <v>0</v>
      </c>
    </row>
    <row r="156" spans="1:11">
      <c r="A156" s="6" t="s">
        <v>181</v>
      </c>
      <c r="B156" s="49" t="s">
        <v>944</v>
      </c>
      <c r="C156" s="49">
        <f t="shared" si="6"/>
        <v>2</v>
      </c>
      <c r="D156" s="6" t="s">
        <v>146</v>
      </c>
      <c r="E156" s="6" t="s">
        <v>182</v>
      </c>
      <c r="F156" s="6">
        <v>1</v>
      </c>
      <c r="G156" s="6">
        <v>5</v>
      </c>
      <c r="H156" s="6" t="s">
        <v>646</v>
      </c>
      <c r="I156" s="6" t="str">
        <f t="shared" si="7"/>
        <v>MOV A</v>
      </c>
      <c r="J156" s="6" cm="1">
        <f t="array" ref="J156">HlpGetInstructionSize(A156,D156,E156)</f>
        <v>1</v>
      </c>
      <c r="K156" s="6">
        <f t="shared" si="8"/>
        <v>0</v>
      </c>
    </row>
    <row r="157" spans="1:11">
      <c r="A157" s="6" t="s">
        <v>181</v>
      </c>
      <c r="B157" s="49" t="s">
        <v>647</v>
      </c>
      <c r="C157" s="49">
        <f t="shared" si="6"/>
        <v>2</v>
      </c>
      <c r="D157" s="6" t="s">
        <v>146</v>
      </c>
      <c r="E157" s="6" t="s">
        <v>183</v>
      </c>
      <c r="F157" s="6">
        <v>1</v>
      </c>
      <c r="G157" s="6">
        <v>5</v>
      </c>
      <c r="H157" s="6" t="s">
        <v>648</v>
      </c>
      <c r="I157" s="6" t="str">
        <f t="shared" si="7"/>
        <v>MOV A</v>
      </c>
      <c r="J157" s="6" cm="1">
        <f t="array" ref="J157">HlpGetInstructionSize(A157,D157,E157)</f>
        <v>1</v>
      </c>
      <c r="K157" s="6">
        <f t="shared" si="8"/>
        <v>0</v>
      </c>
    </row>
    <row r="158" spans="1:11">
      <c r="A158" s="6" t="s">
        <v>181</v>
      </c>
      <c r="B158" s="49" t="s">
        <v>649</v>
      </c>
      <c r="C158" s="49">
        <f t="shared" si="6"/>
        <v>2</v>
      </c>
      <c r="D158" s="6" t="s">
        <v>146</v>
      </c>
      <c r="E158" s="6" t="s">
        <v>265</v>
      </c>
      <c r="F158" s="6">
        <v>1</v>
      </c>
      <c r="G158" s="6">
        <v>5</v>
      </c>
      <c r="H158" s="6" t="s">
        <v>650</v>
      </c>
      <c r="I158" s="6" t="str">
        <f t="shared" si="7"/>
        <v>MOV A</v>
      </c>
      <c r="J158" s="6" cm="1">
        <f t="array" ref="J158">HlpGetInstructionSize(A158,D158,E158)</f>
        <v>1</v>
      </c>
      <c r="K158" s="6">
        <f t="shared" si="8"/>
        <v>0</v>
      </c>
    </row>
    <row r="159" spans="1:11">
      <c r="A159" s="6" t="s">
        <v>181</v>
      </c>
      <c r="B159" s="49" t="s">
        <v>651</v>
      </c>
      <c r="C159" s="49">
        <f t="shared" si="6"/>
        <v>2</v>
      </c>
      <c r="D159" s="6" t="s">
        <v>146</v>
      </c>
      <c r="E159" s="6" t="s">
        <v>303</v>
      </c>
      <c r="F159" s="6">
        <v>1</v>
      </c>
      <c r="G159" s="6">
        <v>5</v>
      </c>
      <c r="H159" s="6" t="s">
        <v>652</v>
      </c>
      <c r="I159" s="6" t="str">
        <f t="shared" si="7"/>
        <v>MOV A</v>
      </c>
      <c r="J159" s="6" cm="1">
        <f t="array" ref="J159">HlpGetInstructionSize(A159,D159,E159)</f>
        <v>1</v>
      </c>
      <c r="K159" s="6">
        <f t="shared" si="8"/>
        <v>0</v>
      </c>
    </row>
    <row r="160" spans="1:11">
      <c r="A160" s="6" t="s">
        <v>181</v>
      </c>
      <c r="B160" s="49" t="s">
        <v>653</v>
      </c>
      <c r="C160" s="49">
        <f t="shared" si="6"/>
        <v>2</v>
      </c>
      <c r="D160" s="6" t="s">
        <v>146</v>
      </c>
      <c r="E160" s="6" t="s">
        <v>327</v>
      </c>
      <c r="F160" s="6">
        <v>1</v>
      </c>
      <c r="G160" s="6">
        <v>5</v>
      </c>
      <c r="H160" s="6" t="s">
        <v>654</v>
      </c>
      <c r="I160" s="6" t="str">
        <f t="shared" si="7"/>
        <v>MOV A</v>
      </c>
      <c r="J160" s="6" cm="1">
        <f t="array" ref="J160">HlpGetInstructionSize(A160,D160,E160)</f>
        <v>1</v>
      </c>
      <c r="K160" s="6">
        <f t="shared" si="8"/>
        <v>0</v>
      </c>
    </row>
    <row r="161" spans="1:11">
      <c r="A161" s="6" t="s">
        <v>181</v>
      </c>
      <c r="B161" s="49" t="s">
        <v>333</v>
      </c>
      <c r="C161" s="49">
        <f t="shared" si="6"/>
        <v>2</v>
      </c>
      <c r="D161" s="6" t="s">
        <v>146</v>
      </c>
      <c r="E161" s="6" t="s">
        <v>577</v>
      </c>
      <c r="F161" s="6">
        <v>1</v>
      </c>
      <c r="G161" s="6">
        <v>7</v>
      </c>
      <c r="H161" s="6" t="s">
        <v>655</v>
      </c>
      <c r="I161" s="6" t="str">
        <f t="shared" si="7"/>
        <v>MOV A</v>
      </c>
      <c r="J161" s="6" cm="1">
        <f t="array" ref="J161">HlpGetInstructionSize(A161,D161,E161)</f>
        <v>1</v>
      </c>
      <c r="K161" s="6">
        <f t="shared" si="8"/>
        <v>0</v>
      </c>
    </row>
    <row r="162" spans="1:11">
      <c r="A162" s="6" t="s">
        <v>181</v>
      </c>
      <c r="B162" s="49" t="s">
        <v>214</v>
      </c>
      <c r="C162" s="49">
        <f t="shared" si="6"/>
        <v>2</v>
      </c>
      <c r="D162" s="6" t="s">
        <v>146</v>
      </c>
      <c r="E162" s="6" t="s">
        <v>146</v>
      </c>
      <c r="F162" s="6">
        <v>1</v>
      </c>
      <c r="G162" s="6">
        <v>5</v>
      </c>
      <c r="H162" s="6" t="s">
        <v>656</v>
      </c>
      <c r="I162" s="6" t="str">
        <f t="shared" si="7"/>
        <v>MOV A</v>
      </c>
      <c r="J162" s="6" cm="1">
        <f t="array" ref="J162">HlpGetInstructionSize(A162,D162,E162)</f>
        <v>1</v>
      </c>
      <c r="K162" s="6">
        <f t="shared" si="8"/>
        <v>0</v>
      </c>
    </row>
    <row r="163" spans="1:11">
      <c r="A163" s="6" t="s">
        <v>141</v>
      </c>
      <c r="B163" s="49" t="s">
        <v>881</v>
      </c>
      <c r="C163" s="49">
        <f t="shared" si="6"/>
        <v>2</v>
      </c>
      <c r="D163" s="6" t="s">
        <v>144</v>
      </c>
      <c r="E163" s="6" t="s">
        <v>131</v>
      </c>
      <c r="F163" s="6">
        <v>2</v>
      </c>
      <c r="G163" s="6">
        <v>7</v>
      </c>
      <c r="H163" s="6" t="s">
        <v>504</v>
      </c>
      <c r="I163" s="6" t="str">
        <f t="shared" si="7"/>
        <v>MVI B</v>
      </c>
      <c r="J163" s="6" cm="1">
        <f t="array" ref="J163">HlpGetInstructionSize(A163,D163,E163)</f>
        <v>1</v>
      </c>
      <c r="K163" s="6">
        <f t="shared" si="8"/>
        <v>1</v>
      </c>
    </row>
    <row r="164" spans="1:11">
      <c r="A164" s="6" t="s">
        <v>141</v>
      </c>
      <c r="B164" s="49" t="s">
        <v>444</v>
      </c>
      <c r="C164" s="49">
        <f t="shared" si="6"/>
        <v>2</v>
      </c>
      <c r="D164" s="6" t="s">
        <v>182</v>
      </c>
      <c r="E164" s="6" t="s">
        <v>131</v>
      </c>
      <c r="F164" s="6">
        <v>2</v>
      </c>
      <c r="G164" s="6">
        <v>7</v>
      </c>
      <c r="H164" s="6" t="s">
        <v>513</v>
      </c>
      <c r="I164" s="6" t="str">
        <f t="shared" si="7"/>
        <v>MVI C</v>
      </c>
      <c r="J164" s="6" cm="1">
        <f t="array" ref="J164">HlpGetInstructionSize(A164,D164,E164)</f>
        <v>1</v>
      </c>
      <c r="K164" s="6">
        <f t="shared" si="8"/>
        <v>1</v>
      </c>
    </row>
    <row r="165" spans="1:11">
      <c r="A165" s="6" t="s">
        <v>141</v>
      </c>
      <c r="B165" s="49" t="s">
        <v>887</v>
      </c>
      <c r="C165" s="49">
        <f t="shared" si="6"/>
        <v>2</v>
      </c>
      <c r="D165" s="6" t="s">
        <v>183</v>
      </c>
      <c r="E165" s="6" t="s">
        <v>131</v>
      </c>
      <c r="F165" s="6">
        <v>2</v>
      </c>
      <c r="G165" s="6">
        <v>7</v>
      </c>
      <c r="H165" s="6" t="s">
        <v>520</v>
      </c>
      <c r="I165" s="6" t="str">
        <f t="shared" si="7"/>
        <v>MVI D</v>
      </c>
      <c r="J165" s="6" cm="1">
        <f t="array" ref="J165">HlpGetInstructionSize(A165,D165,E165)</f>
        <v>1</v>
      </c>
      <c r="K165" s="6">
        <f t="shared" si="8"/>
        <v>1</v>
      </c>
    </row>
    <row r="166" spans="1:11">
      <c r="A166" s="6" t="s">
        <v>141</v>
      </c>
      <c r="B166" s="49" t="s">
        <v>531</v>
      </c>
      <c r="C166" s="49">
        <f t="shared" si="6"/>
        <v>2</v>
      </c>
      <c r="D166" s="6" t="s">
        <v>265</v>
      </c>
      <c r="E166" s="6" t="s">
        <v>131</v>
      </c>
      <c r="F166" s="6">
        <v>2</v>
      </c>
      <c r="G166" s="6">
        <v>7</v>
      </c>
      <c r="H166" s="6" t="s">
        <v>532</v>
      </c>
      <c r="I166" s="6" t="str">
        <f t="shared" si="7"/>
        <v>MVI E</v>
      </c>
      <c r="J166" s="6" cm="1">
        <f t="array" ref="J166">HlpGetInstructionSize(A166,D166,E166)</f>
        <v>1</v>
      </c>
      <c r="K166" s="6">
        <f t="shared" si="8"/>
        <v>1</v>
      </c>
    </row>
    <row r="167" spans="1:11">
      <c r="A167" s="6" t="s">
        <v>141</v>
      </c>
      <c r="B167" s="49" t="s">
        <v>895</v>
      </c>
      <c r="C167" s="49">
        <f t="shared" si="6"/>
        <v>2</v>
      </c>
      <c r="D167" s="6" t="s">
        <v>303</v>
      </c>
      <c r="E167" s="6" t="s">
        <v>131</v>
      </c>
      <c r="F167" s="6">
        <v>2</v>
      </c>
      <c r="G167" s="6">
        <v>7</v>
      </c>
      <c r="H167" s="6" t="s">
        <v>540</v>
      </c>
      <c r="I167" s="6" t="str">
        <f t="shared" si="7"/>
        <v>MVI H</v>
      </c>
      <c r="J167" s="6" cm="1">
        <f t="array" ref="J167">HlpGetInstructionSize(A167,D167,E167)</f>
        <v>1</v>
      </c>
      <c r="K167" s="6">
        <f t="shared" si="8"/>
        <v>1</v>
      </c>
    </row>
    <row r="168" spans="1:11">
      <c r="A168" s="6" t="s">
        <v>141</v>
      </c>
      <c r="B168" s="49" t="s">
        <v>550</v>
      </c>
      <c r="C168" s="49">
        <f t="shared" si="6"/>
        <v>2</v>
      </c>
      <c r="D168" s="6" t="s">
        <v>327</v>
      </c>
      <c r="E168" s="6" t="s">
        <v>131</v>
      </c>
      <c r="F168" s="6">
        <v>2</v>
      </c>
      <c r="G168" s="6">
        <v>7</v>
      </c>
      <c r="H168" s="6" t="s">
        <v>551</v>
      </c>
      <c r="I168" s="6" t="str">
        <f t="shared" si="7"/>
        <v>MVI L</v>
      </c>
      <c r="J168" s="6" cm="1">
        <f t="array" ref="J168">HlpGetInstructionSize(A168,D168,E168)</f>
        <v>1</v>
      </c>
      <c r="K168" s="6">
        <f>IF(F168&lt;&gt;J168,1,0)</f>
        <v>1</v>
      </c>
    </row>
    <row r="169" spans="1:11">
      <c r="A169" s="6" t="s">
        <v>141</v>
      </c>
      <c r="B169" s="49" t="s">
        <v>903</v>
      </c>
      <c r="C169" s="49">
        <f t="shared" si="6"/>
        <v>2</v>
      </c>
      <c r="D169" s="6" t="s">
        <v>577</v>
      </c>
      <c r="E169" s="6" t="s">
        <v>131</v>
      </c>
      <c r="F169" s="6">
        <v>2</v>
      </c>
      <c r="G169" s="6">
        <v>10</v>
      </c>
      <c r="H169" s="6" t="s">
        <v>559</v>
      </c>
      <c r="I169" s="6" t="str">
        <f t="shared" si="7"/>
        <v>MVI M</v>
      </c>
      <c r="J169" s="6" cm="1">
        <f t="array" ref="J169">HlpGetInstructionSize(A169,D169,E169)</f>
        <v>1</v>
      </c>
      <c r="K169" s="6">
        <f t="shared" si="8"/>
        <v>1</v>
      </c>
    </row>
    <row r="170" spans="1:11">
      <c r="A170" s="6" t="s">
        <v>141</v>
      </c>
      <c r="B170" s="49" t="s">
        <v>568</v>
      </c>
      <c r="C170" s="49">
        <f t="shared" si="6"/>
        <v>2</v>
      </c>
      <c r="D170" s="6" t="s">
        <v>146</v>
      </c>
      <c r="E170" s="6" t="s">
        <v>131</v>
      </c>
      <c r="F170" s="6">
        <v>2</v>
      </c>
      <c r="G170" s="6">
        <v>7</v>
      </c>
      <c r="H170" s="6" t="s">
        <v>569</v>
      </c>
      <c r="I170" s="6" t="str">
        <f t="shared" si="7"/>
        <v>MVI A</v>
      </c>
      <c r="J170" s="6" cm="1">
        <f t="array" ref="J170">HlpGetInstructionSize(A170,D170,E170)</f>
        <v>1</v>
      </c>
      <c r="K170" s="6">
        <f t="shared" si="8"/>
        <v>1</v>
      </c>
    </row>
    <row r="171" spans="1:11">
      <c r="A171" s="6" t="s">
        <v>110</v>
      </c>
      <c r="B171" s="49" t="s">
        <v>215</v>
      </c>
      <c r="C171" s="49">
        <f t="shared" si="6"/>
        <v>1</v>
      </c>
      <c r="D171" s="6" t="s">
        <v>259</v>
      </c>
      <c r="E171" s="6"/>
      <c r="F171" s="6">
        <v>1</v>
      </c>
      <c r="G171" s="6">
        <v>4</v>
      </c>
      <c r="H171" s="6" t="s">
        <v>498</v>
      </c>
      <c r="I171" s="6" t="str">
        <f t="shared" si="7"/>
        <v>NOP</v>
      </c>
      <c r="J171" s="6" cm="1">
        <f t="array" ref="J171">HlpGetInstructionSize(A171,D171,E171)</f>
        <v>1</v>
      </c>
      <c r="K171" s="6">
        <f t="shared" si="8"/>
        <v>0</v>
      </c>
    </row>
    <row r="172" spans="1:11">
      <c r="A172" s="6" t="s">
        <v>110</v>
      </c>
      <c r="B172" s="49" t="s">
        <v>231</v>
      </c>
      <c r="C172" s="49">
        <f t="shared" si="6"/>
        <v>1</v>
      </c>
      <c r="D172" s="6" t="s">
        <v>259</v>
      </c>
      <c r="E172" s="6"/>
      <c r="F172" s="6">
        <v>1</v>
      </c>
      <c r="G172" s="6">
        <v>4</v>
      </c>
      <c r="H172" s="6" t="s">
        <v>498</v>
      </c>
      <c r="I172" s="6" t="str">
        <f t="shared" si="7"/>
        <v>NOP</v>
      </c>
      <c r="J172" s="6" cm="1">
        <f t="array" ref="J172">HlpGetInstructionSize(A172,D172,E172)</f>
        <v>1</v>
      </c>
      <c r="K172" s="6">
        <f t="shared" si="8"/>
        <v>0</v>
      </c>
    </row>
    <row r="173" spans="1:11">
      <c r="A173" s="6" t="s">
        <v>110</v>
      </c>
      <c r="B173" s="49" t="s">
        <v>474</v>
      </c>
      <c r="C173" s="49">
        <f t="shared" si="6"/>
        <v>1</v>
      </c>
      <c r="D173" s="6" t="s">
        <v>259</v>
      </c>
      <c r="E173" s="6"/>
      <c r="F173" s="6">
        <v>1</v>
      </c>
      <c r="G173" s="6">
        <v>4</v>
      </c>
      <c r="H173" s="6" t="s">
        <v>498</v>
      </c>
      <c r="I173" s="6" t="str">
        <f t="shared" si="7"/>
        <v>NOP</v>
      </c>
      <c r="J173" s="6" cm="1">
        <f t="array" ref="J173">HlpGetInstructionSize(A173,D173,E173)</f>
        <v>1</v>
      </c>
      <c r="K173" s="6">
        <f t="shared" si="8"/>
        <v>0</v>
      </c>
    </row>
    <row r="174" spans="1:11">
      <c r="A174" s="6" t="s">
        <v>110</v>
      </c>
      <c r="B174" s="49" t="s">
        <v>890</v>
      </c>
      <c r="C174" s="49">
        <f t="shared" si="6"/>
        <v>1</v>
      </c>
      <c r="D174" s="6" t="s">
        <v>259</v>
      </c>
      <c r="E174" s="6"/>
      <c r="F174" s="6">
        <v>1</v>
      </c>
      <c r="G174" s="6">
        <v>4</v>
      </c>
      <c r="H174" s="6" t="s">
        <v>498</v>
      </c>
      <c r="I174" s="6" t="str">
        <f t="shared" si="7"/>
        <v>NOP</v>
      </c>
      <c r="J174" s="6" cm="1">
        <f t="array" ref="J174">HlpGetInstructionSize(A174,D174,E174)</f>
        <v>1</v>
      </c>
      <c r="K174" s="6">
        <f t="shared" si="8"/>
        <v>0</v>
      </c>
    </row>
    <row r="175" spans="1:11">
      <c r="A175" s="6" t="s">
        <v>110</v>
      </c>
      <c r="B175" s="49" t="s">
        <v>897</v>
      </c>
      <c r="C175" s="49">
        <f t="shared" si="6"/>
        <v>1</v>
      </c>
      <c r="D175" s="6" t="s">
        <v>259</v>
      </c>
      <c r="E175" s="6"/>
      <c r="F175" s="6">
        <v>1</v>
      </c>
      <c r="G175" s="6">
        <v>4</v>
      </c>
      <c r="H175" s="6" t="s">
        <v>498</v>
      </c>
      <c r="I175" s="6" t="str">
        <f t="shared" si="7"/>
        <v>NOP</v>
      </c>
      <c r="J175" s="6" cm="1">
        <f t="array" ref="J175">HlpGetInstructionSize(A175,D175,E175)</f>
        <v>1</v>
      </c>
      <c r="K175" s="6">
        <f t="shared" si="8"/>
        <v>0</v>
      </c>
    </row>
    <row r="176" spans="1:11">
      <c r="A176" s="6" t="s">
        <v>262</v>
      </c>
      <c r="B176" s="49" t="s">
        <v>495</v>
      </c>
      <c r="C176" s="49">
        <f t="shared" si="6"/>
        <v>1</v>
      </c>
      <c r="D176" s="6" t="s">
        <v>144</v>
      </c>
      <c r="E176" s="6"/>
      <c r="F176" s="6">
        <v>1</v>
      </c>
      <c r="G176" s="6">
        <v>4</v>
      </c>
      <c r="H176" s="6" t="s">
        <v>730</v>
      </c>
      <c r="I176" s="6" t="str">
        <f t="shared" si="7"/>
        <v>ORA B</v>
      </c>
      <c r="J176" s="6" t="e" cm="1">
        <f t="array" ref="J176">HlpGetInstructionSize(A176,D176,E176)</f>
        <v>#VALUE!</v>
      </c>
      <c r="K176" s="6" t="e">
        <f t="shared" si="8"/>
        <v>#VALUE!</v>
      </c>
    </row>
    <row r="177" spans="1:11">
      <c r="A177" s="6" t="s">
        <v>262</v>
      </c>
      <c r="B177" s="49" t="s">
        <v>493</v>
      </c>
      <c r="C177" s="49">
        <f t="shared" si="6"/>
        <v>1</v>
      </c>
      <c r="D177" s="6" t="s">
        <v>182</v>
      </c>
      <c r="E177" s="6"/>
      <c r="F177" s="6">
        <v>1</v>
      </c>
      <c r="G177" s="6">
        <v>4</v>
      </c>
      <c r="H177" s="6" t="s">
        <v>731</v>
      </c>
      <c r="I177" s="6" t="str">
        <f t="shared" si="7"/>
        <v>ORA C</v>
      </c>
      <c r="J177" s="6" t="e" cm="1">
        <f t="array" ref="J177">HlpGetInstructionSize(A177,D177,E177)</f>
        <v>#VALUE!</v>
      </c>
      <c r="K177" s="6" t="e">
        <f t="shared" si="8"/>
        <v>#VALUE!</v>
      </c>
    </row>
    <row r="178" spans="1:11">
      <c r="A178" s="6" t="s">
        <v>262</v>
      </c>
      <c r="B178" s="49" t="s">
        <v>492</v>
      </c>
      <c r="C178" s="49">
        <f t="shared" si="6"/>
        <v>1</v>
      </c>
      <c r="D178" s="6" t="s">
        <v>183</v>
      </c>
      <c r="E178" s="6"/>
      <c r="F178" s="6">
        <v>1</v>
      </c>
      <c r="G178" s="6">
        <v>4</v>
      </c>
      <c r="H178" s="6" t="s">
        <v>732</v>
      </c>
      <c r="I178" s="6" t="str">
        <f t="shared" si="7"/>
        <v>ORA D</v>
      </c>
      <c r="J178" s="6" t="e" cm="1">
        <f t="array" ref="J178">HlpGetInstructionSize(A178,D178,E178)</f>
        <v>#VALUE!</v>
      </c>
      <c r="K178" s="6" t="e">
        <f t="shared" si="8"/>
        <v>#VALUE!</v>
      </c>
    </row>
    <row r="179" spans="1:11">
      <c r="A179" s="6" t="s">
        <v>262</v>
      </c>
      <c r="B179" s="49" t="s">
        <v>491</v>
      </c>
      <c r="C179" s="49">
        <f t="shared" si="6"/>
        <v>1</v>
      </c>
      <c r="D179" s="6" t="s">
        <v>265</v>
      </c>
      <c r="E179" s="6"/>
      <c r="F179" s="6">
        <v>1</v>
      </c>
      <c r="G179" s="6">
        <v>4</v>
      </c>
      <c r="H179" s="6" t="s">
        <v>733</v>
      </c>
      <c r="I179" s="6" t="str">
        <f t="shared" si="7"/>
        <v>ORA E</v>
      </c>
      <c r="J179" s="6" t="e" cm="1">
        <f t="array" ref="J179">HlpGetInstructionSize(A179,D179,E179)</f>
        <v>#VALUE!</v>
      </c>
      <c r="K179" s="6" t="e">
        <f t="shared" si="8"/>
        <v>#VALUE!</v>
      </c>
    </row>
    <row r="180" spans="1:11">
      <c r="A180" s="6" t="s">
        <v>262</v>
      </c>
      <c r="B180" s="49" t="s">
        <v>490</v>
      </c>
      <c r="C180" s="49">
        <f t="shared" si="6"/>
        <v>1</v>
      </c>
      <c r="D180" s="6" t="s">
        <v>303</v>
      </c>
      <c r="E180" s="6"/>
      <c r="F180" s="6">
        <v>1</v>
      </c>
      <c r="G180" s="6">
        <v>4</v>
      </c>
      <c r="H180" s="6" t="s">
        <v>734</v>
      </c>
      <c r="I180" s="6" t="str">
        <f t="shared" si="7"/>
        <v>ORA H</v>
      </c>
      <c r="J180" s="6" t="e" cm="1">
        <f t="array" ref="J180">HlpGetInstructionSize(A180,D180,E180)</f>
        <v>#VALUE!</v>
      </c>
      <c r="K180" s="6" t="e">
        <f t="shared" si="8"/>
        <v>#VALUE!</v>
      </c>
    </row>
    <row r="181" spans="1:11">
      <c r="A181" s="6" t="s">
        <v>262</v>
      </c>
      <c r="B181" s="49" t="s">
        <v>489</v>
      </c>
      <c r="C181" s="49">
        <f t="shared" si="6"/>
        <v>1</v>
      </c>
      <c r="D181" s="6" t="s">
        <v>327</v>
      </c>
      <c r="E181" s="6"/>
      <c r="F181" s="6">
        <v>1</v>
      </c>
      <c r="G181" s="6">
        <v>4</v>
      </c>
      <c r="H181" s="6" t="s">
        <v>735</v>
      </c>
      <c r="I181" s="6" t="str">
        <f t="shared" si="7"/>
        <v>ORA L</v>
      </c>
      <c r="J181" s="6" t="e" cm="1">
        <f t="array" ref="J181">HlpGetInstructionSize(A181,D181,E181)</f>
        <v>#VALUE!</v>
      </c>
      <c r="K181" s="6" t="e">
        <f t="shared" si="8"/>
        <v>#VALUE!</v>
      </c>
    </row>
    <row r="182" spans="1:11">
      <c r="A182" s="6" t="s">
        <v>262</v>
      </c>
      <c r="B182" s="49" t="s">
        <v>488</v>
      </c>
      <c r="C182" s="49">
        <f t="shared" si="6"/>
        <v>1</v>
      </c>
      <c r="D182" s="6" t="s">
        <v>577</v>
      </c>
      <c r="E182" s="6"/>
      <c r="F182" s="6">
        <v>1</v>
      </c>
      <c r="G182" s="6">
        <v>7</v>
      </c>
      <c r="H182" s="6" t="s">
        <v>736</v>
      </c>
      <c r="I182" s="6" t="str">
        <f t="shared" si="7"/>
        <v>ORA M</v>
      </c>
      <c r="J182" s="6" t="e" cm="1">
        <f t="array" ref="J182">HlpGetInstructionSize(A182,D182,E182)</f>
        <v>#VALUE!</v>
      </c>
      <c r="K182" s="6" t="e">
        <f t="shared" si="8"/>
        <v>#VALUE!</v>
      </c>
    </row>
    <row r="183" spans="1:11">
      <c r="A183" s="6" t="s">
        <v>262</v>
      </c>
      <c r="B183" s="49" t="s">
        <v>487</v>
      </c>
      <c r="C183" s="49">
        <f t="shared" si="6"/>
        <v>1</v>
      </c>
      <c r="D183" s="6" t="s">
        <v>146</v>
      </c>
      <c r="E183" s="6"/>
      <c r="F183" s="6">
        <v>1</v>
      </c>
      <c r="G183" s="6">
        <v>4</v>
      </c>
      <c r="H183" s="6" t="s">
        <v>737</v>
      </c>
      <c r="I183" s="6" t="str">
        <f t="shared" si="7"/>
        <v>ORA A</v>
      </c>
      <c r="J183" s="6" cm="1">
        <f t="array" ref="J183">HlpGetInstructionSize(A183,D183,E183)</f>
        <v>1</v>
      </c>
      <c r="K183" s="6">
        <f t="shared" si="8"/>
        <v>0</v>
      </c>
    </row>
    <row r="184" spans="1:11">
      <c r="A184" s="6" t="s">
        <v>149</v>
      </c>
      <c r="B184" s="49" t="s">
        <v>976</v>
      </c>
      <c r="C184" s="49">
        <f t="shared" si="6"/>
        <v>1</v>
      </c>
      <c r="D184" s="6" t="s">
        <v>1452</v>
      </c>
      <c r="E184" s="6"/>
      <c r="F184" s="6">
        <v>2</v>
      </c>
      <c r="G184" s="6">
        <v>10</v>
      </c>
      <c r="H184" s="6" t="s">
        <v>977</v>
      </c>
      <c r="I184" s="6" t="str">
        <f t="shared" si="7"/>
        <v>ORI</v>
      </c>
      <c r="J184" s="6" cm="1">
        <f t="array" ref="J184">HlpGetInstructionSize(A184,D184,E184)</f>
        <v>1</v>
      </c>
      <c r="K184" s="6">
        <f t="shared" si="8"/>
        <v>1</v>
      </c>
    </row>
    <row r="185" spans="1:11">
      <c r="A185" s="6" t="s">
        <v>869</v>
      </c>
      <c r="B185" s="49" t="s">
        <v>791</v>
      </c>
      <c r="C185" s="49">
        <f t="shared" si="6"/>
        <v>1</v>
      </c>
      <c r="D185" s="6" t="s">
        <v>1452</v>
      </c>
      <c r="E185" s="6"/>
      <c r="F185" s="6">
        <v>2</v>
      </c>
      <c r="G185" s="6">
        <v>10</v>
      </c>
      <c r="H185" s="6" t="s">
        <v>792</v>
      </c>
      <c r="I185" s="6" t="str">
        <f t="shared" si="7"/>
        <v>OUT</v>
      </c>
      <c r="J185" s="6" cm="1">
        <f t="array" ref="J185">HlpGetInstructionSize(A185,D185,E185)</f>
        <v>1</v>
      </c>
      <c r="K185" s="6">
        <f t="shared" si="8"/>
        <v>1</v>
      </c>
    </row>
    <row r="186" spans="1:11">
      <c r="A186" s="6" t="s">
        <v>88</v>
      </c>
      <c r="B186" s="49" t="s">
        <v>834</v>
      </c>
      <c r="C186" s="49">
        <f t="shared" si="6"/>
        <v>1</v>
      </c>
      <c r="D186" s="6" t="s">
        <v>259</v>
      </c>
      <c r="E186" s="6"/>
      <c r="F186" s="6">
        <v>1</v>
      </c>
      <c r="G186" s="6">
        <v>5</v>
      </c>
      <c r="H186" s="6" t="s">
        <v>835</v>
      </c>
      <c r="I186" s="6" t="str">
        <f t="shared" si="7"/>
        <v>PCHL</v>
      </c>
      <c r="J186" s="6" cm="1">
        <f t="array" ref="J186">HlpGetInstructionSize(A186,D186,E186)</f>
        <v>1</v>
      </c>
      <c r="K186" s="6">
        <f t="shared" si="8"/>
        <v>0</v>
      </c>
    </row>
    <row r="187" spans="1:11">
      <c r="A187" s="6" t="s">
        <v>275</v>
      </c>
      <c r="B187" s="49" t="s">
        <v>756</v>
      </c>
      <c r="C187" s="49">
        <f t="shared" si="6"/>
        <v>1</v>
      </c>
      <c r="D187" s="6" t="s">
        <v>144</v>
      </c>
      <c r="E187" s="6"/>
      <c r="F187" s="6">
        <v>1</v>
      </c>
      <c r="G187" s="6">
        <v>10</v>
      </c>
      <c r="H187" s="6" t="s">
        <v>757</v>
      </c>
      <c r="I187" s="6" t="str">
        <f t="shared" si="7"/>
        <v>POP B</v>
      </c>
      <c r="J187" s="6" cm="1">
        <f t="array" ref="J187">HlpGetInstructionSize(A187,D187,E187)</f>
        <v>1</v>
      </c>
      <c r="K187" s="6">
        <f t="shared" si="8"/>
        <v>0</v>
      </c>
    </row>
    <row r="188" spans="1:11">
      <c r="A188" s="6" t="s">
        <v>275</v>
      </c>
      <c r="B188" s="49" t="s">
        <v>787</v>
      </c>
      <c r="C188" s="49">
        <f t="shared" si="6"/>
        <v>1</v>
      </c>
      <c r="D188" s="6" t="s">
        <v>183</v>
      </c>
      <c r="E188" s="6"/>
      <c r="F188" s="6">
        <v>1</v>
      </c>
      <c r="G188" s="6">
        <v>10</v>
      </c>
      <c r="H188" s="6" t="s">
        <v>788</v>
      </c>
      <c r="I188" s="6" t="str">
        <f t="shared" si="7"/>
        <v>POP D</v>
      </c>
      <c r="J188" s="6" cm="1">
        <f t="array" ref="J188">HlpGetInstructionSize(A188,D188,E188)</f>
        <v>1</v>
      </c>
      <c r="K188" s="6">
        <f t="shared" si="8"/>
        <v>0</v>
      </c>
    </row>
    <row r="189" spans="1:11">
      <c r="A189" s="6" t="s">
        <v>275</v>
      </c>
      <c r="B189" s="49" t="s">
        <v>818</v>
      </c>
      <c r="C189" s="49">
        <f t="shared" si="6"/>
        <v>1</v>
      </c>
      <c r="D189" s="6" t="s">
        <v>303</v>
      </c>
      <c r="E189" s="6"/>
      <c r="F189" s="6">
        <v>1</v>
      </c>
      <c r="G189" s="6">
        <v>10</v>
      </c>
      <c r="H189" s="6" t="s">
        <v>819</v>
      </c>
      <c r="I189" s="6" t="str">
        <f t="shared" si="7"/>
        <v>POP H</v>
      </c>
      <c r="J189" s="6" cm="1">
        <f t="array" ref="J189">HlpGetInstructionSize(A189,D189,E189)</f>
        <v>1</v>
      </c>
      <c r="K189" s="6">
        <f t="shared" si="8"/>
        <v>0</v>
      </c>
    </row>
    <row r="190" spans="1:11">
      <c r="A190" s="6" t="s">
        <v>275</v>
      </c>
      <c r="B190" s="49" t="s">
        <v>848</v>
      </c>
      <c r="C190" s="49">
        <f t="shared" si="6"/>
        <v>1</v>
      </c>
      <c r="D190" s="6" t="s">
        <v>159</v>
      </c>
      <c r="E190" s="6"/>
      <c r="F190" s="6">
        <v>1</v>
      </c>
      <c r="G190" s="6">
        <v>10</v>
      </c>
      <c r="H190" s="6" t="s">
        <v>849</v>
      </c>
      <c r="I190" s="6" t="str">
        <f t="shared" si="7"/>
        <v>POP</v>
      </c>
      <c r="J190" s="6" cm="1">
        <f t="array" ref="J190">HlpGetInstructionSize(A190,D190,E190)</f>
        <v>1</v>
      </c>
      <c r="K190" s="6">
        <f t="shared" si="8"/>
        <v>0</v>
      </c>
    </row>
    <row r="191" spans="1:11">
      <c r="A191" s="6" t="s">
        <v>961</v>
      </c>
      <c r="B191" s="49" t="s">
        <v>899</v>
      </c>
      <c r="C191" s="49">
        <f t="shared" si="6"/>
        <v>1</v>
      </c>
      <c r="D191" s="6" t="s">
        <v>1452</v>
      </c>
      <c r="E191" s="6"/>
      <c r="F191" s="6">
        <v>2</v>
      </c>
      <c r="G191" s="6">
        <v>4</v>
      </c>
      <c r="H191" s="6" t="s">
        <v>968</v>
      </c>
      <c r="I191" s="6" t="str">
        <f t="shared" si="7"/>
        <v>PRI</v>
      </c>
      <c r="J191" s="6" cm="1">
        <f t="array" ref="J191">HlpGetInstructionSize(A191,D191,E191)</f>
        <v>1</v>
      </c>
      <c r="K191" s="6">
        <f t="shared" si="8"/>
        <v>1</v>
      </c>
    </row>
    <row r="192" spans="1:11">
      <c r="A192" s="6" t="s">
        <v>973</v>
      </c>
      <c r="B192" s="49" t="s">
        <v>883</v>
      </c>
      <c r="C192" s="49">
        <f t="shared" ref="C192:C251" si="9">COUNTA(D192:E192)</f>
        <v>1</v>
      </c>
      <c r="D192" s="6" t="s">
        <v>259</v>
      </c>
      <c r="E192" s="6"/>
      <c r="F192" s="6">
        <v>1</v>
      </c>
      <c r="G192" s="6">
        <v>4</v>
      </c>
      <c r="H192" s="6" t="s">
        <v>1454</v>
      </c>
      <c r="I192" s="6" t="str">
        <f t="shared" ref="I192:I251" si="10">A192&amp;IF(IF(D192&lt;&gt;"",IFERROR(FIND(D192,"ABCDEHLMSP"),0),0)=0,""," "&amp;D192)</f>
        <v>PRT</v>
      </c>
      <c r="J192" s="6" cm="1">
        <f t="array" ref="J192">HlpGetInstructionSize(A192,D192,E192)</f>
        <v>1</v>
      </c>
      <c r="K192" s="6">
        <f t="shared" ref="K192:K251" si="11">IF(F192&lt;&gt;J192,1,0)</f>
        <v>0</v>
      </c>
    </row>
    <row r="193" spans="1:11">
      <c r="A193" s="6" t="s">
        <v>143</v>
      </c>
      <c r="B193" s="49" t="s">
        <v>764</v>
      </c>
      <c r="C193" s="49">
        <f t="shared" si="9"/>
        <v>1</v>
      </c>
      <c r="D193" s="6" t="s">
        <v>144</v>
      </c>
      <c r="E193" s="6"/>
      <c r="F193" s="6">
        <v>1</v>
      </c>
      <c r="G193" s="6">
        <v>11</v>
      </c>
      <c r="H193" s="6" t="s">
        <v>765</v>
      </c>
      <c r="I193" s="6" t="str">
        <f t="shared" si="10"/>
        <v>PUSH B</v>
      </c>
      <c r="J193" s="6" cm="1">
        <f t="array" ref="J193">HlpGetInstructionSize(A193,D193,E193)</f>
        <v>1</v>
      </c>
      <c r="K193" s="6">
        <f t="shared" si="11"/>
        <v>0</v>
      </c>
    </row>
    <row r="194" spans="1:11">
      <c r="A194" s="6" t="s">
        <v>143</v>
      </c>
      <c r="B194" s="49" t="s">
        <v>795</v>
      </c>
      <c r="C194" s="49">
        <f t="shared" si="9"/>
        <v>1</v>
      </c>
      <c r="D194" s="6" t="s">
        <v>183</v>
      </c>
      <c r="E194" s="6"/>
      <c r="F194" s="6">
        <v>1</v>
      </c>
      <c r="G194" s="6">
        <v>11</v>
      </c>
      <c r="H194" s="6" t="s">
        <v>796</v>
      </c>
      <c r="I194" s="6" t="str">
        <f t="shared" si="10"/>
        <v>PUSH D</v>
      </c>
      <c r="J194" s="6" cm="1">
        <f t="array" ref="J194">HlpGetInstructionSize(A194,D194,E194)</f>
        <v>1</v>
      </c>
      <c r="K194" s="6">
        <f t="shared" si="11"/>
        <v>0</v>
      </c>
    </row>
    <row r="195" spans="1:11">
      <c r="A195" s="6" t="s">
        <v>143</v>
      </c>
      <c r="B195" s="49" t="s">
        <v>825</v>
      </c>
      <c r="C195" s="49">
        <f t="shared" si="9"/>
        <v>1</v>
      </c>
      <c r="D195" s="6" t="s">
        <v>303</v>
      </c>
      <c r="E195" s="6"/>
      <c r="F195" s="6">
        <v>1</v>
      </c>
      <c r="G195" s="6">
        <v>11</v>
      </c>
      <c r="H195" s="6" t="s">
        <v>826</v>
      </c>
      <c r="I195" s="6" t="str">
        <f t="shared" si="10"/>
        <v>PUSH H</v>
      </c>
      <c r="J195" s="6" cm="1">
        <f t="array" ref="J195">HlpGetInstructionSize(A195,D195,E195)</f>
        <v>1</v>
      </c>
      <c r="K195" s="6">
        <f t="shared" si="11"/>
        <v>0</v>
      </c>
    </row>
    <row r="196" spans="1:11">
      <c r="A196" s="6" t="s">
        <v>143</v>
      </c>
      <c r="B196" s="49" t="s">
        <v>857</v>
      </c>
      <c r="C196" s="49">
        <f t="shared" si="9"/>
        <v>1</v>
      </c>
      <c r="D196" s="6" t="s">
        <v>159</v>
      </c>
      <c r="E196" s="6"/>
      <c r="F196" s="6">
        <v>1</v>
      </c>
      <c r="G196" s="6">
        <v>11</v>
      </c>
      <c r="H196" s="6" t="s">
        <v>858</v>
      </c>
      <c r="I196" s="6" t="str">
        <f t="shared" si="10"/>
        <v>PUSH</v>
      </c>
      <c r="J196" s="6" cm="1">
        <f t="array" ref="J196">HlpGetInstructionSize(A196,D196,E196)</f>
        <v>1</v>
      </c>
      <c r="K196" s="6">
        <f t="shared" si="11"/>
        <v>0</v>
      </c>
    </row>
    <row r="197" spans="1:11">
      <c r="A197" s="6" t="s">
        <v>454</v>
      </c>
      <c r="B197" s="49" t="s">
        <v>888</v>
      </c>
      <c r="C197" s="49">
        <f t="shared" si="9"/>
        <v>1</v>
      </c>
      <c r="D197" s="6" t="s">
        <v>259</v>
      </c>
      <c r="E197" s="6"/>
      <c r="F197" s="6">
        <v>1</v>
      </c>
      <c r="G197" s="6">
        <v>4</v>
      </c>
      <c r="H197" s="6" t="s">
        <v>521</v>
      </c>
      <c r="I197" s="6" t="str">
        <f t="shared" si="10"/>
        <v>RAL</v>
      </c>
      <c r="J197" s="6" cm="1">
        <f t="array" ref="J197">HlpGetInstructionSize(A197,D197,E197)</f>
        <v>1</v>
      </c>
      <c r="K197" s="6">
        <f t="shared" si="11"/>
        <v>0</v>
      </c>
    </row>
    <row r="198" spans="1:11">
      <c r="A198" s="6" t="s">
        <v>151</v>
      </c>
      <c r="B198" s="49" t="s">
        <v>533</v>
      </c>
      <c r="C198" s="49">
        <f t="shared" si="9"/>
        <v>1</v>
      </c>
      <c r="D198" s="6" t="s">
        <v>259</v>
      </c>
      <c r="E198" s="6"/>
      <c r="F198" s="6">
        <v>1</v>
      </c>
      <c r="G198" s="6">
        <v>4</v>
      </c>
      <c r="H198" s="6" t="s">
        <v>534</v>
      </c>
      <c r="I198" s="6" t="str">
        <f t="shared" si="10"/>
        <v>RAR</v>
      </c>
      <c r="J198" s="6" cm="1">
        <f t="array" ref="J198">HlpGetInstructionSize(A198,D198,E198)</f>
        <v>1</v>
      </c>
      <c r="K198" s="6">
        <f t="shared" si="11"/>
        <v>0</v>
      </c>
    </row>
    <row r="199" spans="1:11">
      <c r="A199" s="6" t="s">
        <v>802</v>
      </c>
      <c r="B199" s="49" t="s">
        <v>801</v>
      </c>
      <c r="C199" s="49">
        <f t="shared" si="9"/>
        <v>1</v>
      </c>
      <c r="D199" s="6" t="s">
        <v>259</v>
      </c>
      <c r="E199" s="6"/>
      <c r="F199" s="6">
        <v>1</v>
      </c>
      <c r="G199" s="6">
        <v>5</v>
      </c>
      <c r="H199" s="6" t="s">
        <v>803</v>
      </c>
      <c r="I199" s="6" t="str">
        <f t="shared" si="10"/>
        <v>RC</v>
      </c>
      <c r="J199" s="6" cm="1">
        <f t="array" ref="J199">HlpGetInstructionSize(A199,D199,E199)</f>
        <v>1</v>
      </c>
      <c r="K199" s="6">
        <f t="shared" si="11"/>
        <v>0</v>
      </c>
    </row>
    <row r="200" spans="1:11">
      <c r="A200" s="6" t="s">
        <v>84</v>
      </c>
      <c r="B200" s="49" t="s">
        <v>772</v>
      </c>
      <c r="C200" s="49">
        <f t="shared" si="9"/>
        <v>1</v>
      </c>
      <c r="D200" s="6" t="s">
        <v>259</v>
      </c>
      <c r="E200" s="6"/>
      <c r="F200" s="6">
        <v>1</v>
      </c>
      <c r="G200" s="6">
        <v>10</v>
      </c>
      <c r="H200" s="6" t="s">
        <v>773</v>
      </c>
      <c r="I200" s="6" t="str">
        <f t="shared" si="10"/>
        <v>RET</v>
      </c>
      <c r="J200" s="6" cm="1">
        <f t="array" ref="J200">HlpGetInstructionSize(A200,D200,E200)</f>
        <v>1</v>
      </c>
      <c r="K200" s="6">
        <f t="shared" si="11"/>
        <v>0</v>
      </c>
    </row>
    <row r="201" spans="1:11">
      <c r="A201" s="6" t="s">
        <v>84</v>
      </c>
      <c r="B201" s="49" t="s">
        <v>804</v>
      </c>
      <c r="C201" s="49">
        <f t="shared" si="9"/>
        <v>1</v>
      </c>
      <c r="D201" s="6" t="s">
        <v>259</v>
      </c>
      <c r="E201" s="6"/>
      <c r="F201" s="6">
        <v>1</v>
      </c>
      <c r="G201" s="6">
        <v>10</v>
      </c>
      <c r="H201" s="6" t="s">
        <v>773</v>
      </c>
      <c r="I201" s="6" t="str">
        <f t="shared" si="10"/>
        <v>RET</v>
      </c>
      <c r="J201" s="6" cm="1">
        <f t="array" ref="J201">HlpGetInstructionSize(A201,D201,E201)</f>
        <v>1</v>
      </c>
      <c r="K201" s="6">
        <f t="shared" si="11"/>
        <v>0</v>
      </c>
    </row>
    <row r="202" spans="1:11">
      <c r="A202" s="6" t="s">
        <v>452</v>
      </c>
      <c r="B202" s="49" t="s">
        <v>882</v>
      </c>
      <c r="C202" s="49">
        <f t="shared" si="9"/>
        <v>1</v>
      </c>
      <c r="D202" s="6" t="s">
        <v>259</v>
      </c>
      <c r="E202" s="6"/>
      <c r="F202" s="6">
        <v>1</v>
      </c>
      <c r="G202" s="6">
        <v>4</v>
      </c>
      <c r="H202" s="6" t="s">
        <v>505</v>
      </c>
      <c r="I202" s="6" t="str">
        <f t="shared" si="10"/>
        <v>RLC</v>
      </c>
      <c r="J202" s="6" cm="1">
        <f t="array" ref="J202">HlpGetInstructionSize(A202,D202,E202)</f>
        <v>1</v>
      </c>
      <c r="K202" s="6">
        <f t="shared" si="11"/>
        <v>0</v>
      </c>
    </row>
    <row r="203" spans="1:11">
      <c r="A203" s="6" t="s">
        <v>1108</v>
      </c>
      <c r="B203" s="49" t="s">
        <v>1116</v>
      </c>
      <c r="C203" s="49">
        <f t="shared" si="9"/>
        <v>1</v>
      </c>
      <c r="D203" s="6" t="s">
        <v>1453</v>
      </c>
      <c r="E203" s="6"/>
      <c r="F203" s="6">
        <v>1</v>
      </c>
      <c r="G203" s="6">
        <v>10</v>
      </c>
      <c r="H203" s="6" t="s">
        <v>1117</v>
      </c>
      <c r="I203" s="6" t="str">
        <f t="shared" si="10"/>
        <v>RM</v>
      </c>
      <c r="J203" s="6" cm="1">
        <f t="array" ref="J203">HlpGetInstructionSize(A203,D203,E203)</f>
        <v>1</v>
      </c>
      <c r="K203" s="6">
        <f t="shared" si="11"/>
        <v>0</v>
      </c>
    </row>
    <row r="204" spans="1:11">
      <c r="A204" s="6" t="s">
        <v>785</v>
      </c>
      <c r="B204" s="49" t="s">
        <v>784</v>
      </c>
      <c r="C204" s="49">
        <f t="shared" si="9"/>
        <v>1</v>
      </c>
      <c r="D204" s="6" t="s">
        <v>259</v>
      </c>
      <c r="E204" s="6"/>
      <c r="F204" s="6">
        <v>1</v>
      </c>
      <c r="G204" s="6">
        <v>5</v>
      </c>
      <c r="H204" s="6" t="s">
        <v>786</v>
      </c>
      <c r="I204" s="6" t="str">
        <f t="shared" si="10"/>
        <v>RNC</v>
      </c>
      <c r="J204" s="6" cm="1">
        <f t="array" ref="J204">HlpGetInstructionSize(A204,D204,E204)</f>
        <v>1</v>
      </c>
      <c r="K204" s="6">
        <f t="shared" si="11"/>
        <v>0</v>
      </c>
    </row>
    <row r="205" spans="1:11">
      <c r="A205" s="6" t="s">
        <v>754</v>
      </c>
      <c r="B205" s="49" t="s">
        <v>753</v>
      </c>
      <c r="C205" s="49">
        <f t="shared" si="9"/>
        <v>1</v>
      </c>
      <c r="D205" s="6" t="s">
        <v>259</v>
      </c>
      <c r="E205" s="6"/>
      <c r="F205" s="6">
        <v>1</v>
      </c>
      <c r="G205" s="6">
        <v>11</v>
      </c>
      <c r="H205" s="6" t="s">
        <v>755</v>
      </c>
      <c r="I205" s="6" t="str">
        <f t="shared" si="10"/>
        <v>RNZ</v>
      </c>
      <c r="J205" s="6" cm="1">
        <f t="array" ref="J205">HlpGetInstructionSize(A205,D205,E205)</f>
        <v>1</v>
      </c>
      <c r="K205" s="6">
        <f t="shared" si="11"/>
        <v>0</v>
      </c>
    </row>
    <row r="206" spans="1:11">
      <c r="A206" s="6" t="s">
        <v>846</v>
      </c>
      <c r="B206" s="49" t="s">
        <v>264</v>
      </c>
      <c r="C206" s="49">
        <f t="shared" si="9"/>
        <v>1</v>
      </c>
      <c r="D206" s="6" t="s">
        <v>259</v>
      </c>
      <c r="E206" s="6"/>
      <c r="F206" s="6">
        <v>1</v>
      </c>
      <c r="G206" s="6">
        <v>5</v>
      </c>
      <c r="H206" s="6" t="s">
        <v>847</v>
      </c>
      <c r="I206" s="6" t="str">
        <f t="shared" si="10"/>
        <v>RP</v>
      </c>
      <c r="J206" s="6" cm="1">
        <f t="array" ref="J206">HlpGetInstructionSize(A206,D206,E206)</f>
        <v>1</v>
      </c>
      <c r="K206" s="6">
        <f t="shared" si="11"/>
        <v>0</v>
      </c>
    </row>
    <row r="207" spans="1:11">
      <c r="A207" s="6" t="s">
        <v>832</v>
      </c>
      <c r="B207" s="49" t="s">
        <v>831</v>
      </c>
      <c r="C207" s="49">
        <f t="shared" si="9"/>
        <v>1</v>
      </c>
      <c r="D207" s="6" t="s">
        <v>259</v>
      </c>
      <c r="E207" s="6"/>
      <c r="F207" s="6">
        <v>1</v>
      </c>
      <c r="G207" s="6">
        <v>5</v>
      </c>
      <c r="H207" s="6" t="s">
        <v>833</v>
      </c>
      <c r="I207" s="6" t="str">
        <f t="shared" si="10"/>
        <v>RPE</v>
      </c>
      <c r="J207" s="6" cm="1">
        <f t="array" ref="J207">HlpGetInstructionSize(A207,D207,E207)</f>
        <v>1</v>
      </c>
      <c r="K207" s="6">
        <f t="shared" si="11"/>
        <v>0</v>
      </c>
    </row>
    <row r="208" spans="1:11">
      <c r="A208" s="6" t="s">
        <v>816</v>
      </c>
      <c r="B208" s="49" t="s">
        <v>815</v>
      </c>
      <c r="C208" s="49">
        <f t="shared" si="9"/>
        <v>1</v>
      </c>
      <c r="D208" s="6" t="s">
        <v>259</v>
      </c>
      <c r="E208" s="6"/>
      <c r="F208" s="6">
        <v>1</v>
      </c>
      <c r="G208" s="6">
        <v>5</v>
      </c>
      <c r="H208" s="6" t="s">
        <v>817</v>
      </c>
      <c r="I208" s="6" t="str">
        <f t="shared" si="10"/>
        <v>RPO</v>
      </c>
      <c r="J208" s="6" cm="1">
        <f t="array" ref="J208">HlpGetInstructionSize(A208,D208,E208)</f>
        <v>1</v>
      </c>
      <c r="K208" s="6">
        <f t="shared" si="11"/>
        <v>0</v>
      </c>
    </row>
    <row r="209" spans="1:11">
      <c r="A209" s="6" t="s">
        <v>153</v>
      </c>
      <c r="B209" s="49" t="s">
        <v>263</v>
      </c>
      <c r="C209" s="49">
        <f t="shared" si="9"/>
        <v>1</v>
      </c>
      <c r="D209" s="6" t="s">
        <v>259</v>
      </c>
      <c r="E209" s="6"/>
      <c r="F209" s="6">
        <v>1</v>
      </c>
      <c r="G209" s="6">
        <v>4</v>
      </c>
      <c r="H209" s="6" t="s">
        <v>514</v>
      </c>
      <c r="I209" s="6" t="str">
        <f t="shared" si="10"/>
        <v>RRC</v>
      </c>
      <c r="J209" s="6" cm="1">
        <f t="array" ref="J209">HlpGetInstructionSize(A209,D209,E209)</f>
        <v>1</v>
      </c>
      <c r="K209" s="6">
        <f t="shared" si="11"/>
        <v>0</v>
      </c>
    </row>
    <row r="210" spans="1:11">
      <c r="A210" s="6" t="s">
        <v>867</v>
      </c>
      <c r="B210" s="49" t="s">
        <v>768</v>
      </c>
      <c r="C210" s="49">
        <f t="shared" si="9"/>
        <v>1</v>
      </c>
      <c r="D210" s="6" t="s">
        <v>209</v>
      </c>
      <c r="E210" s="6"/>
      <c r="F210" s="6">
        <v>1</v>
      </c>
      <c r="G210" s="6">
        <v>11</v>
      </c>
      <c r="H210" s="6" t="s">
        <v>769</v>
      </c>
      <c r="I210" s="6" t="str">
        <f t="shared" si="10"/>
        <v>RST</v>
      </c>
      <c r="J210" s="6" cm="1">
        <f t="array" ref="J210">HlpGetInstructionSize(A210,D210,E210)</f>
        <v>1</v>
      </c>
      <c r="K210" s="6">
        <f t="shared" si="11"/>
        <v>0</v>
      </c>
    </row>
    <row r="211" spans="1:11">
      <c r="A211" s="6" t="s">
        <v>867</v>
      </c>
      <c r="B211" s="49" t="s">
        <v>782</v>
      </c>
      <c r="C211" s="49">
        <f t="shared" si="9"/>
        <v>1</v>
      </c>
      <c r="D211" s="6" t="s">
        <v>210</v>
      </c>
      <c r="E211" s="6"/>
      <c r="F211" s="6">
        <v>1</v>
      </c>
      <c r="G211" s="6">
        <v>11</v>
      </c>
      <c r="H211" s="6" t="s">
        <v>783</v>
      </c>
      <c r="I211" s="6" t="str">
        <f t="shared" si="10"/>
        <v>RST</v>
      </c>
      <c r="J211" s="6" cm="1">
        <f t="array" ref="J211">HlpGetInstructionSize(A211,D211,E211)</f>
        <v>1</v>
      </c>
      <c r="K211" s="6">
        <f t="shared" si="11"/>
        <v>0</v>
      </c>
    </row>
    <row r="212" spans="1:11">
      <c r="A212" s="6" t="s">
        <v>867</v>
      </c>
      <c r="B212" s="49" t="s">
        <v>799</v>
      </c>
      <c r="C212" s="49">
        <f t="shared" si="9"/>
        <v>1</v>
      </c>
      <c r="D212" s="6" t="s">
        <v>234</v>
      </c>
      <c r="E212" s="6"/>
      <c r="F212" s="6">
        <v>1</v>
      </c>
      <c r="G212" s="6">
        <v>11</v>
      </c>
      <c r="H212" s="6" t="s">
        <v>800</v>
      </c>
      <c r="I212" s="6" t="str">
        <f t="shared" si="10"/>
        <v>RST</v>
      </c>
      <c r="J212" s="6" cm="1">
        <f t="array" ref="J212">HlpGetInstructionSize(A212,D212,E212)</f>
        <v>1</v>
      </c>
      <c r="K212" s="6">
        <f t="shared" si="11"/>
        <v>0</v>
      </c>
    </row>
    <row r="213" spans="1:11">
      <c r="A213" s="6" t="s">
        <v>867</v>
      </c>
      <c r="B213" s="49" t="s">
        <v>813</v>
      </c>
      <c r="C213" s="49">
        <f t="shared" si="9"/>
        <v>1</v>
      </c>
      <c r="D213" s="6" t="s">
        <v>233</v>
      </c>
      <c r="E213" s="6"/>
      <c r="F213" s="6">
        <v>1</v>
      </c>
      <c r="G213" s="6">
        <v>11</v>
      </c>
      <c r="H213" s="6" t="s">
        <v>814</v>
      </c>
      <c r="I213" s="6" t="str">
        <f t="shared" si="10"/>
        <v>RST</v>
      </c>
      <c r="J213" s="6" cm="1">
        <f t="array" ref="J213">HlpGetInstructionSize(A213,D213,E213)</f>
        <v>1</v>
      </c>
      <c r="K213" s="6">
        <f t="shared" si="11"/>
        <v>0</v>
      </c>
    </row>
    <row r="214" spans="1:11">
      <c r="A214" s="6" t="s">
        <v>867</v>
      </c>
      <c r="B214" s="49" t="s">
        <v>829</v>
      </c>
      <c r="C214" s="49">
        <f t="shared" si="9"/>
        <v>1</v>
      </c>
      <c r="D214" s="6" t="s">
        <v>1246</v>
      </c>
      <c r="E214" s="6"/>
      <c r="F214" s="6">
        <v>1</v>
      </c>
      <c r="G214" s="6">
        <v>11</v>
      </c>
      <c r="H214" s="6" t="s">
        <v>830</v>
      </c>
      <c r="I214" s="6" t="str">
        <f t="shared" si="10"/>
        <v>RST</v>
      </c>
      <c r="J214" s="6" cm="1">
        <f t="array" ref="J214">HlpGetInstructionSize(A214,D214,E214)</f>
        <v>1</v>
      </c>
      <c r="K214" s="6">
        <f t="shared" si="11"/>
        <v>0</v>
      </c>
    </row>
    <row r="215" spans="1:11">
      <c r="A215" s="6" t="s">
        <v>867</v>
      </c>
      <c r="B215" s="49" t="s">
        <v>844</v>
      </c>
      <c r="C215" s="49">
        <f t="shared" si="9"/>
        <v>1</v>
      </c>
      <c r="D215" s="6" t="s">
        <v>253</v>
      </c>
      <c r="E215" s="6"/>
      <c r="F215" s="6">
        <v>1</v>
      </c>
      <c r="G215" s="6">
        <v>11</v>
      </c>
      <c r="H215" s="6" t="s">
        <v>845</v>
      </c>
      <c r="I215" s="6" t="str">
        <f t="shared" si="10"/>
        <v>RST</v>
      </c>
      <c r="J215" s="6" cm="1">
        <f t="array" ref="J215">HlpGetInstructionSize(A215,D215,E215)</f>
        <v>1</v>
      </c>
      <c r="K215" s="6">
        <f t="shared" si="11"/>
        <v>0</v>
      </c>
    </row>
    <row r="216" spans="1:11">
      <c r="A216" s="6" t="s">
        <v>485</v>
      </c>
      <c r="B216" s="49" t="s">
        <v>770</v>
      </c>
      <c r="C216" s="49">
        <f t="shared" si="9"/>
        <v>1</v>
      </c>
      <c r="D216" s="6" t="s">
        <v>259</v>
      </c>
      <c r="E216" s="6"/>
      <c r="F216" s="6">
        <v>1</v>
      </c>
      <c r="G216" s="6">
        <v>11</v>
      </c>
      <c r="H216" s="6" t="s">
        <v>771</v>
      </c>
      <c r="I216" s="6" t="str">
        <f t="shared" si="10"/>
        <v>RZ</v>
      </c>
      <c r="J216" s="6" cm="1">
        <f t="array" ref="J216">HlpGetInstructionSize(A216,D216,E216)</f>
        <v>1</v>
      </c>
      <c r="K216" s="6">
        <f t="shared" si="11"/>
        <v>0</v>
      </c>
    </row>
    <row r="217" spans="1:11">
      <c r="A217" s="6" t="s">
        <v>443</v>
      </c>
      <c r="B217" s="49" t="s">
        <v>960</v>
      </c>
      <c r="C217" s="49">
        <f t="shared" si="9"/>
        <v>1</v>
      </c>
      <c r="D217" s="6" t="s">
        <v>144</v>
      </c>
      <c r="E217" s="6"/>
      <c r="F217" s="6">
        <v>1</v>
      </c>
      <c r="G217" s="6">
        <v>4</v>
      </c>
      <c r="H217" s="6" t="s">
        <v>687</v>
      </c>
      <c r="I217" s="6" t="str">
        <f t="shared" si="10"/>
        <v>SBB B</v>
      </c>
      <c r="J217" s="6" cm="1">
        <f t="array" ref="J217">HlpGetInstructionSize(A217,D217,E217)</f>
        <v>1</v>
      </c>
      <c r="K217" s="6">
        <f t="shared" si="11"/>
        <v>0</v>
      </c>
    </row>
    <row r="218" spans="1:11">
      <c r="A218" s="6" t="s">
        <v>443</v>
      </c>
      <c r="B218" s="49" t="s">
        <v>361</v>
      </c>
      <c r="C218" s="49">
        <f t="shared" si="9"/>
        <v>1</v>
      </c>
      <c r="D218" s="6" t="s">
        <v>182</v>
      </c>
      <c r="E218" s="6"/>
      <c r="F218" s="6">
        <v>1</v>
      </c>
      <c r="G218" s="6">
        <v>4</v>
      </c>
      <c r="H218" s="6" t="s">
        <v>688</v>
      </c>
      <c r="I218" s="6" t="str">
        <f t="shared" si="10"/>
        <v>SBB C</v>
      </c>
      <c r="J218" s="6" cm="1">
        <f t="array" ref="J218">HlpGetInstructionSize(A218,D218,E218)</f>
        <v>1</v>
      </c>
      <c r="K218" s="6">
        <f t="shared" si="11"/>
        <v>0</v>
      </c>
    </row>
    <row r="219" spans="1:11">
      <c r="A219" s="6" t="s">
        <v>443</v>
      </c>
      <c r="B219" s="49" t="s">
        <v>689</v>
      </c>
      <c r="C219" s="49">
        <f t="shared" si="9"/>
        <v>1</v>
      </c>
      <c r="D219" s="6" t="s">
        <v>183</v>
      </c>
      <c r="E219" s="6"/>
      <c r="F219" s="6">
        <v>1</v>
      </c>
      <c r="G219" s="6">
        <v>4</v>
      </c>
      <c r="H219" s="6" t="s">
        <v>690</v>
      </c>
      <c r="I219" s="6" t="str">
        <f t="shared" si="10"/>
        <v>SBB D</v>
      </c>
      <c r="J219" s="6" cm="1">
        <f t="array" ref="J219">HlpGetInstructionSize(A219,D219,E219)</f>
        <v>1</v>
      </c>
      <c r="K219" s="6">
        <f t="shared" si="11"/>
        <v>0</v>
      </c>
    </row>
    <row r="220" spans="1:11">
      <c r="A220" s="6" t="s">
        <v>443</v>
      </c>
      <c r="B220" s="49" t="s">
        <v>691</v>
      </c>
      <c r="C220" s="49">
        <f t="shared" si="9"/>
        <v>1</v>
      </c>
      <c r="D220" s="6" t="s">
        <v>265</v>
      </c>
      <c r="E220" s="6"/>
      <c r="F220" s="6">
        <v>1</v>
      </c>
      <c r="G220" s="6">
        <v>4</v>
      </c>
      <c r="H220" s="6" t="s">
        <v>692</v>
      </c>
      <c r="I220" s="6" t="str">
        <f t="shared" si="10"/>
        <v>SBB E</v>
      </c>
      <c r="J220" s="6" cm="1">
        <f t="array" ref="J220">HlpGetInstructionSize(A220,D220,E220)</f>
        <v>1</v>
      </c>
      <c r="K220" s="6">
        <f t="shared" si="11"/>
        <v>0</v>
      </c>
    </row>
    <row r="221" spans="1:11">
      <c r="A221" s="6" t="s">
        <v>443</v>
      </c>
      <c r="B221" s="49" t="s">
        <v>693</v>
      </c>
      <c r="C221" s="49">
        <f t="shared" si="9"/>
        <v>1</v>
      </c>
      <c r="D221" s="6" t="s">
        <v>303</v>
      </c>
      <c r="E221" s="6"/>
      <c r="F221" s="6">
        <v>1</v>
      </c>
      <c r="G221" s="6">
        <v>4</v>
      </c>
      <c r="H221" s="6" t="s">
        <v>694</v>
      </c>
      <c r="I221" s="6" t="str">
        <f t="shared" si="10"/>
        <v>SBB H</v>
      </c>
      <c r="J221" s="6" cm="1">
        <f t="array" ref="J221">HlpGetInstructionSize(A221,D221,E221)</f>
        <v>1</v>
      </c>
      <c r="K221" s="6">
        <f t="shared" si="11"/>
        <v>0</v>
      </c>
    </row>
    <row r="222" spans="1:11">
      <c r="A222" s="6" t="s">
        <v>443</v>
      </c>
      <c r="B222" s="49" t="s">
        <v>695</v>
      </c>
      <c r="C222" s="49">
        <f t="shared" si="9"/>
        <v>1</v>
      </c>
      <c r="D222" s="6" t="s">
        <v>327</v>
      </c>
      <c r="E222" s="6"/>
      <c r="F222" s="6">
        <v>1</v>
      </c>
      <c r="G222" s="6">
        <v>4</v>
      </c>
      <c r="H222" s="6" t="s">
        <v>696</v>
      </c>
      <c r="I222" s="6" t="str">
        <f t="shared" si="10"/>
        <v>SBB L</v>
      </c>
      <c r="J222" s="6" cm="1">
        <f t="array" ref="J222">HlpGetInstructionSize(A222,D222,E222)</f>
        <v>1</v>
      </c>
      <c r="K222" s="6">
        <f t="shared" si="11"/>
        <v>0</v>
      </c>
    </row>
    <row r="223" spans="1:11">
      <c r="A223" s="6" t="s">
        <v>443</v>
      </c>
      <c r="B223" s="49" t="s">
        <v>697</v>
      </c>
      <c r="C223" s="49">
        <f t="shared" si="9"/>
        <v>1</v>
      </c>
      <c r="D223" s="6" t="s">
        <v>577</v>
      </c>
      <c r="E223" s="6"/>
      <c r="F223" s="6">
        <v>1</v>
      </c>
      <c r="G223" s="6">
        <v>7</v>
      </c>
      <c r="H223" s="6" t="s">
        <v>698</v>
      </c>
      <c r="I223" s="6" t="str">
        <f t="shared" si="10"/>
        <v>SBB M</v>
      </c>
      <c r="J223" s="6" cm="1">
        <f t="array" ref="J223">HlpGetInstructionSize(A223,D223,E223)</f>
        <v>1</v>
      </c>
      <c r="K223" s="6">
        <f t="shared" si="11"/>
        <v>0</v>
      </c>
    </row>
    <row r="224" spans="1:11">
      <c r="A224" s="6" t="s">
        <v>443</v>
      </c>
      <c r="B224" s="49" t="s">
        <v>699</v>
      </c>
      <c r="C224" s="49">
        <f t="shared" si="9"/>
        <v>1</v>
      </c>
      <c r="D224" s="6" t="s">
        <v>146</v>
      </c>
      <c r="E224" s="6"/>
      <c r="F224" s="6">
        <v>1</v>
      </c>
      <c r="G224" s="6">
        <v>4</v>
      </c>
      <c r="H224" s="6" t="s">
        <v>700</v>
      </c>
      <c r="I224" s="6" t="str">
        <f t="shared" si="10"/>
        <v>SBB A</v>
      </c>
      <c r="J224" s="6" cm="1">
        <f t="array" ref="J224">HlpGetInstructionSize(A224,D224,E224)</f>
        <v>1</v>
      </c>
      <c r="K224" s="6">
        <f t="shared" si="11"/>
        <v>0</v>
      </c>
    </row>
    <row r="225" spans="1:11">
      <c r="A225" s="6" t="s">
        <v>446</v>
      </c>
      <c r="B225" s="49" t="s">
        <v>811</v>
      </c>
      <c r="C225" s="49">
        <f t="shared" si="9"/>
        <v>1</v>
      </c>
      <c r="D225" s="6" t="s">
        <v>1452</v>
      </c>
      <c r="E225" s="6"/>
      <c r="F225" s="6">
        <v>2</v>
      </c>
      <c r="G225" s="6">
        <v>7</v>
      </c>
      <c r="H225" s="6" t="s">
        <v>812</v>
      </c>
      <c r="I225" s="6" t="str">
        <f t="shared" si="10"/>
        <v>SBI</v>
      </c>
      <c r="J225" s="6" cm="1">
        <f t="array" ref="J225">HlpGetInstructionSize(A225,D225,E225)</f>
        <v>1</v>
      </c>
      <c r="K225" s="6">
        <f t="shared" si="11"/>
        <v>1</v>
      </c>
    </row>
    <row r="226" spans="1:11">
      <c r="A226" s="6" t="s">
        <v>861</v>
      </c>
      <c r="B226" s="49" t="s">
        <v>202</v>
      </c>
      <c r="C226" s="49">
        <f t="shared" si="9"/>
        <v>1</v>
      </c>
      <c r="D226" s="6" t="s">
        <v>1453</v>
      </c>
      <c r="E226" s="6"/>
      <c r="F226" s="6">
        <v>3</v>
      </c>
      <c r="G226" s="6">
        <v>16</v>
      </c>
      <c r="H226" s="6" t="s">
        <v>536</v>
      </c>
      <c r="I226" s="6" t="str">
        <f t="shared" si="10"/>
        <v>SHLD</v>
      </c>
      <c r="J226" s="6" cm="1">
        <f t="array" ref="J226">HlpGetInstructionSize(A226,D226,E226)</f>
        <v>1</v>
      </c>
      <c r="K226" s="6">
        <f t="shared" si="11"/>
        <v>1</v>
      </c>
    </row>
    <row r="227" spans="1:11">
      <c r="A227" s="6" t="s">
        <v>100</v>
      </c>
      <c r="B227" s="49" t="s">
        <v>978</v>
      </c>
      <c r="C227" s="49">
        <f t="shared" si="9"/>
        <v>1</v>
      </c>
      <c r="D227" s="6" t="s">
        <v>259</v>
      </c>
      <c r="E227" s="6"/>
      <c r="F227" s="6">
        <v>1</v>
      </c>
      <c r="G227" s="6">
        <v>10</v>
      </c>
      <c r="H227" s="6" t="s">
        <v>979</v>
      </c>
      <c r="I227" s="6" t="str">
        <f t="shared" si="10"/>
        <v>SPHL</v>
      </c>
      <c r="J227" s="6" cm="1">
        <f t="array" ref="J227">HlpGetInstructionSize(A227,D227,E227)</f>
        <v>1</v>
      </c>
      <c r="K227" s="6">
        <f t="shared" si="11"/>
        <v>0</v>
      </c>
    </row>
    <row r="228" spans="1:11">
      <c r="A228" s="6" t="s">
        <v>863</v>
      </c>
      <c r="B228" s="49" t="s">
        <v>901</v>
      </c>
      <c r="C228" s="49">
        <f t="shared" si="9"/>
        <v>1</v>
      </c>
      <c r="D228" s="6" t="s">
        <v>1453</v>
      </c>
      <c r="E228" s="6"/>
      <c r="F228" s="6">
        <v>3</v>
      </c>
      <c r="G228" s="6">
        <v>13</v>
      </c>
      <c r="H228" s="6" t="s">
        <v>555</v>
      </c>
      <c r="I228" s="6" t="str">
        <f t="shared" si="10"/>
        <v>STA</v>
      </c>
      <c r="J228" s="6" t="e" cm="1">
        <f t="array" ref="J228">HlpGetInstructionSize(A228,D228,E228)</f>
        <v>#VALUE!</v>
      </c>
      <c r="K228" s="6" t="e">
        <f t="shared" si="11"/>
        <v>#VALUE!</v>
      </c>
    </row>
    <row r="229" spans="1:11">
      <c r="A229" s="6" t="s">
        <v>859</v>
      </c>
      <c r="B229" s="49" t="s">
        <v>878</v>
      </c>
      <c r="C229" s="49">
        <f t="shared" si="9"/>
        <v>1</v>
      </c>
      <c r="D229" s="6" t="s">
        <v>144</v>
      </c>
      <c r="E229" s="6"/>
      <c r="F229" s="6">
        <v>1</v>
      </c>
      <c r="G229" s="6">
        <v>7</v>
      </c>
      <c r="H229" s="6" t="s">
        <v>500</v>
      </c>
      <c r="I229" s="6" t="str">
        <f t="shared" si="10"/>
        <v>STAX B</v>
      </c>
      <c r="J229" s="6" cm="1">
        <f t="array" ref="J229">HlpGetInstructionSize(A229,D229,E229)</f>
        <v>1</v>
      </c>
      <c r="K229" s="6">
        <f t="shared" si="11"/>
        <v>0</v>
      </c>
    </row>
    <row r="230" spans="1:11">
      <c r="A230" s="6" t="s">
        <v>859</v>
      </c>
      <c r="B230" s="49" t="s">
        <v>458</v>
      </c>
      <c r="C230" s="49">
        <f t="shared" si="9"/>
        <v>1</v>
      </c>
      <c r="D230" s="6" t="s">
        <v>183</v>
      </c>
      <c r="E230" s="6"/>
      <c r="F230" s="6">
        <v>1</v>
      </c>
      <c r="G230" s="6">
        <v>7</v>
      </c>
      <c r="H230" s="6" t="s">
        <v>516</v>
      </c>
      <c r="I230" s="6" t="str">
        <f t="shared" si="10"/>
        <v>STAX D</v>
      </c>
      <c r="J230" s="6" cm="1">
        <f t="array" ref="J230">HlpGetInstructionSize(A230,D230,E230)</f>
        <v>1</v>
      </c>
      <c r="K230" s="6">
        <f t="shared" si="11"/>
        <v>0</v>
      </c>
    </row>
    <row r="231" spans="1:11">
      <c r="A231" s="6" t="s">
        <v>72</v>
      </c>
      <c r="B231" s="49" t="s">
        <v>904</v>
      </c>
      <c r="C231" s="49">
        <f t="shared" si="9"/>
        <v>1</v>
      </c>
      <c r="D231" s="6" t="s">
        <v>259</v>
      </c>
      <c r="E231" s="6"/>
      <c r="F231" s="6">
        <v>1</v>
      </c>
      <c r="G231" s="6">
        <v>4</v>
      </c>
      <c r="H231" s="6" t="s">
        <v>560</v>
      </c>
      <c r="I231" s="6" t="str">
        <f t="shared" si="10"/>
        <v>STC</v>
      </c>
      <c r="J231" s="6" cm="1">
        <f t="array" ref="J231">HlpGetInstructionSize(A231,D231,E231)</f>
        <v>1</v>
      </c>
      <c r="K231" s="6">
        <f t="shared" si="11"/>
        <v>0</v>
      </c>
    </row>
    <row r="232" spans="1:11">
      <c r="A232" s="6" t="s">
        <v>430</v>
      </c>
      <c r="B232" s="49" t="s">
        <v>952</v>
      </c>
      <c r="C232" s="49">
        <f t="shared" si="9"/>
        <v>1</v>
      </c>
      <c r="D232" s="6" t="s">
        <v>144</v>
      </c>
      <c r="E232" s="6"/>
      <c r="F232" s="6">
        <v>1</v>
      </c>
      <c r="G232" s="6">
        <v>4</v>
      </c>
      <c r="H232" s="6" t="s">
        <v>679</v>
      </c>
      <c r="I232" s="6" t="str">
        <f t="shared" si="10"/>
        <v>SUB B</v>
      </c>
      <c r="J232" s="6" cm="1">
        <f t="array" ref="J232">HlpGetInstructionSize(A232,D232,E232)</f>
        <v>1</v>
      </c>
      <c r="K232" s="6">
        <f t="shared" si="11"/>
        <v>0</v>
      </c>
    </row>
    <row r="233" spans="1:11">
      <c r="A233" s="6" t="s">
        <v>430</v>
      </c>
      <c r="B233" s="49" t="s">
        <v>953</v>
      </c>
      <c r="C233" s="49">
        <f t="shared" si="9"/>
        <v>1</v>
      </c>
      <c r="D233" s="6" t="s">
        <v>182</v>
      </c>
      <c r="E233" s="6"/>
      <c r="F233" s="6">
        <v>1</v>
      </c>
      <c r="G233" s="6">
        <v>4</v>
      </c>
      <c r="H233" s="6" t="s">
        <v>680</v>
      </c>
      <c r="I233" s="6" t="str">
        <f t="shared" si="10"/>
        <v>SUB C</v>
      </c>
      <c r="J233" s="6" cm="1">
        <f t="array" ref="J233">HlpGetInstructionSize(A233,D233,E233)</f>
        <v>1</v>
      </c>
      <c r="K233" s="6">
        <f t="shared" si="11"/>
        <v>0</v>
      </c>
    </row>
    <row r="234" spans="1:11">
      <c r="A234" s="6" t="s">
        <v>430</v>
      </c>
      <c r="B234" s="49" t="s">
        <v>954</v>
      </c>
      <c r="C234" s="49">
        <f t="shared" si="9"/>
        <v>1</v>
      </c>
      <c r="D234" s="6" t="s">
        <v>183</v>
      </c>
      <c r="E234" s="6"/>
      <c r="F234" s="6">
        <v>1</v>
      </c>
      <c r="G234" s="6">
        <v>4</v>
      </c>
      <c r="H234" s="6" t="s">
        <v>681</v>
      </c>
      <c r="I234" s="6" t="str">
        <f t="shared" si="10"/>
        <v>SUB D</v>
      </c>
      <c r="J234" s="6" cm="1">
        <f t="array" ref="J234">HlpGetInstructionSize(A234,D234,E234)</f>
        <v>1</v>
      </c>
      <c r="K234" s="6">
        <f t="shared" si="11"/>
        <v>0</v>
      </c>
    </row>
    <row r="235" spans="1:11">
      <c r="A235" s="6" t="s">
        <v>430</v>
      </c>
      <c r="B235" s="49" t="s">
        <v>955</v>
      </c>
      <c r="C235" s="49">
        <f t="shared" si="9"/>
        <v>1</v>
      </c>
      <c r="D235" s="6" t="s">
        <v>265</v>
      </c>
      <c r="E235" s="6"/>
      <c r="F235" s="6">
        <v>1</v>
      </c>
      <c r="G235" s="6">
        <v>4</v>
      </c>
      <c r="H235" s="6" t="s">
        <v>682</v>
      </c>
      <c r="I235" s="6" t="str">
        <f t="shared" si="10"/>
        <v>SUB E</v>
      </c>
      <c r="J235" s="6" cm="1">
        <f t="array" ref="J235">HlpGetInstructionSize(A235,D235,E235)</f>
        <v>1</v>
      </c>
      <c r="K235" s="6">
        <f t="shared" si="11"/>
        <v>0</v>
      </c>
    </row>
    <row r="236" spans="1:11">
      <c r="A236" s="6" t="s">
        <v>430</v>
      </c>
      <c r="B236" s="49" t="s">
        <v>956</v>
      </c>
      <c r="C236" s="49">
        <f t="shared" si="9"/>
        <v>1</v>
      </c>
      <c r="D236" s="6" t="s">
        <v>303</v>
      </c>
      <c r="E236" s="6"/>
      <c r="F236" s="6">
        <v>1</v>
      </c>
      <c r="G236" s="6">
        <v>4</v>
      </c>
      <c r="H236" s="6" t="s">
        <v>683</v>
      </c>
      <c r="I236" s="6" t="str">
        <f t="shared" si="10"/>
        <v>SUB H</v>
      </c>
      <c r="J236" s="6" cm="1">
        <f t="array" ref="J236">HlpGetInstructionSize(A236,D236,E236)</f>
        <v>1</v>
      </c>
      <c r="K236" s="6">
        <f t="shared" si="11"/>
        <v>0</v>
      </c>
    </row>
    <row r="237" spans="1:11">
      <c r="A237" s="6" t="s">
        <v>430</v>
      </c>
      <c r="B237" s="49" t="s">
        <v>957</v>
      </c>
      <c r="C237" s="49">
        <f t="shared" si="9"/>
        <v>1</v>
      </c>
      <c r="D237" s="6" t="s">
        <v>327</v>
      </c>
      <c r="E237" s="6"/>
      <c r="F237" s="6">
        <v>1</v>
      </c>
      <c r="G237" s="6">
        <v>4</v>
      </c>
      <c r="H237" s="6" t="s">
        <v>684</v>
      </c>
      <c r="I237" s="6" t="str">
        <f t="shared" si="10"/>
        <v>SUB L</v>
      </c>
      <c r="J237" s="6" cm="1">
        <f t="array" ref="J237">HlpGetInstructionSize(A237,D237,E237)</f>
        <v>1</v>
      </c>
      <c r="K237" s="6">
        <f t="shared" si="11"/>
        <v>0</v>
      </c>
    </row>
    <row r="238" spans="1:11">
      <c r="A238" s="6" t="s">
        <v>430</v>
      </c>
      <c r="B238" s="49" t="s">
        <v>958</v>
      </c>
      <c r="C238" s="49">
        <f t="shared" si="9"/>
        <v>1</v>
      </c>
      <c r="D238" s="6" t="s">
        <v>577</v>
      </c>
      <c r="E238" s="6"/>
      <c r="F238" s="6">
        <v>1</v>
      </c>
      <c r="G238" s="6">
        <v>7</v>
      </c>
      <c r="H238" s="6" t="s">
        <v>685</v>
      </c>
      <c r="I238" s="6" t="str">
        <f t="shared" si="10"/>
        <v>SUB M</v>
      </c>
      <c r="J238" s="6" cm="1">
        <f t="array" ref="J238">HlpGetInstructionSize(A238,D238,E238)</f>
        <v>1</v>
      </c>
      <c r="K238" s="6">
        <f t="shared" si="11"/>
        <v>0</v>
      </c>
    </row>
    <row r="239" spans="1:11">
      <c r="A239" s="6" t="s">
        <v>430</v>
      </c>
      <c r="B239" s="49" t="s">
        <v>959</v>
      </c>
      <c r="C239" s="49">
        <f t="shared" si="9"/>
        <v>1</v>
      </c>
      <c r="D239" s="6" t="s">
        <v>146</v>
      </c>
      <c r="E239" s="6"/>
      <c r="F239" s="6">
        <v>1</v>
      </c>
      <c r="G239" s="6">
        <v>4</v>
      </c>
      <c r="H239" s="6" t="s">
        <v>686</v>
      </c>
      <c r="I239" s="6" t="str">
        <f t="shared" si="10"/>
        <v>SUB A</v>
      </c>
      <c r="J239" s="6" cm="1">
        <f t="array" ref="J239">HlpGetInstructionSize(A239,D239,E239)</f>
        <v>1</v>
      </c>
      <c r="K239" s="6">
        <f t="shared" si="11"/>
        <v>0</v>
      </c>
    </row>
    <row r="240" spans="1:11">
      <c r="A240" s="6" t="s">
        <v>432</v>
      </c>
      <c r="B240" s="49" t="s">
        <v>797</v>
      </c>
      <c r="C240" s="49">
        <f t="shared" si="9"/>
        <v>1</v>
      </c>
      <c r="D240" s="6" t="s">
        <v>1452</v>
      </c>
      <c r="E240" s="6"/>
      <c r="F240" s="6">
        <v>2</v>
      </c>
      <c r="G240" s="6">
        <v>7</v>
      </c>
      <c r="H240" s="6" t="s">
        <v>798</v>
      </c>
      <c r="I240" s="6" t="str">
        <f t="shared" si="10"/>
        <v>SUI</v>
      </c>
      <c r="J240" s="6" cm="1">
        <f t="array" ref="J240">HlpGetInstructionSize(A240,D240,E240)</f>
        <v>1</v>
      </c>
      <c r="K240" s="6">
        <f t="shared" si="11"/>
        <v>1</v>
      </c>
    </row>
    <row r="241" spans="1:11">
      <c r="A241" s="6" t="s">
        <v>22</v>
      </c>
      <c r="B241" s="49" t="s">
        <v>838</v>
      </c>
      <c r="C241" s="49">
        <f t="shared" si="9"/>
        <v>1</v>
      </c>
      <c r="D241" s="6" t="s">
        <v>259</v>
      </c>
      <c r="E241" s="6"/>
      <c r="F241" s="6">
        <v>1</v>
      </c>
      <c r="G241" s="6">
        <v>4</v>
      </c>
      <c r="H241" s="6" t="s">
        <v>839</v>
      </c>
      <c r="I241" s="6" t="str">
        <f t="shared" si="10"/>
        <v>XCHG</v>
      </c>
      <c r="J241" s="6" cm="1">
        <f t="array" ref="J241">HlpGetInstructionSize(A241,D241,E241)</f>
        <v>1</v>
      </c>
      <c r="K241" s="6">
        <f t="shared" si="11"/>
        <v>0</v>
      </c>
    </row>
    <row r="242" spans="1:11">
      <c r="A242" s="6" t="s">
        <v>448</v>
      </c>
      <c r="B242" s="49" t="s">
        <v>717</v>
      </c>
      <c r="C242" s="49">
        <f t="shared" si="9"/>
        <v>1</v>
      </c>
      <c r="D242" s="6" t="s">
        <v>144</v>
      </c>
      <c r="E242" s="6"/>
      <c r="F242" s="6">
        <v>1</v>
      </c>
      <c r="G242" s="6">
        <v>4</v>
      </c>
      <c r="H242" s="6" t="s">
        <v>718</v>
      </c>
      <c r="I242" s="6" t="str">
        <f t="shared" si="10"/>
        <v>XRA B</v>
      </c>
      <c r="J242" s="6" cm="1">
        <f t="array" ref="J242">HlpGetInstructionSize(A242,D242,E242)</f>
        <v>1</v>
      </c>
      <c r="K242" s="6">
        <f t="shared" si="11"/>
        <v>0</v>
      </c>
    </row>
    <row r="243" spans="1:11">
      <c r="A243" s="6" t="s">
        <v>448</v>
      </c>
      <c r="B243" s="49" t="s">
        <v>719</v>
      </c>
      <c r="C243" s="49">
        <f t="shared" si="9"/>
        <v>1</v>
      </c>
      <c r="D243" s="6" t="s">
        <v>182</v>
      </c>
      <c r="E243" s="6"/>
      <c r="F243" s="6">
        <v>1</v>
      </c>
      <c r="G243" s="6">
        <v>4</v>
      </c>
      <c r="H243" s="6" t="s">
        <v>720</v>
      </c>
      <c r="I243" s="6" t="str">
        <f t="shared" si="10"/>
        <v>XRA C</v>
      </c>
      <c r="J243" s="6" cm="1">
        <f t="array" ref="J243">HlpGetInstructionSize(A243,D243,E243)</f>
        <v>1</v>
      </c>
      <c r="K243" s="6">
        <f t="shared" si="11"/>
        <v>0</v>
      </c>
    </row>
    <row r="244" spans="1:11">
      <c r="A244" s="6" t="s">
        <v>448</v>
      </c>
      <c r="B244" s="49" t="s">
        <v>180</v>
      </c>
      <c r="C244" s="49">
        <f t="shared" si="9"/>
        <v>1</v>
      </c>
      <c r="D244" s="6" t="s">
        <v>183</v>
      </c>
      <c r="E244" s="6"/>
      <c r="F244" s="6">
        <v>1</v>
      </c>
      <c r="G244" s="6">
        <v>4</v>
      </c>
      <c r="H244" s="6" t="s">
        <v>721</v>
      </c>
      <c r="I244" s="6" t="str">
        <f t="shared" si="10"/>
        <v>XRA D</v>
      </c>
      <c r="J244" s="6" cm="1">
        <f t="array" ref="J244">HlpGetInstructionSize(A244,D244,E244)</f>
        <v>1</v>
      </c>
      <c r="K244" s="6">
        <f t="shared" si="11"/>
        <v>0</v>
      </c>
    </row>
    <row r="245" spans="1:11">
      <c r="A245" s="6" t="s">
        <v>448</v>
      </c>
      <c r="B245" s="49" t="s">
        <v>326</v>
      </c>
      <c r="C245" s="49">
        <f t="shared" si="9"/>
        <v>1</v>
      </c>
      <c r="D245" s="6" t="s">
        <v>265</v>
      </c>
      <c r="E245" s="6"/>
      <c r="F245" s="6">
        <v>1</v>
      </c>
      <c r="G245" s="6">
        <v>4</v>
      </c>
      <c r="H245" s="6" t="s">
        <v>722</v>
      </c>
      <c r="I245" s="6" t="str">
        <f t="shared" si="10"/>
        <v>XRA E</v>
      </c>
      <c r="J245" s="6" cm="1">
        <f t="array" ref="J245">HlpGetInstructionSize(A245,D245,E245)</f>
        <v>1</v>
      </c>
      <c r="K245" s="6">
        <f t="shared" si="11"/>
        <v>0</v>
      </c>
    </row>
    <row r="246" spans="1:11">
      <c r="A246" s="6" t="s">
        <v>448</v>
      </c>
      <c r="B246" s="49" t="s">
        <v>122</v>
      </c>
      <c r="C246" s="49">
        <f t="shared" si="9"/>
        <v>1</v>
      </c>
      <c r="D246" s="6" t="s">
        <v>303</v>
      </c>
      <c r="E246" s="6"/>
      <c r="F246" s="6">
        <v>1</v>
      </c>
      <c r="G246" s="6">
        <v>4</v>
      </c>
      <c r="H246" s="6" t="s">
        <v>723</v>
      </c>
      <c r="I246" s="6" t="str">
        <f t="shared" si="10"/>
        <v>XRA H</v>
      </c>
      <c r="J246" s="6" cm="1">
        <f t="array" ref="J246">HlpGetInstructionSize(A246,D246,E246)</f>
        <v>1</v>
      </c>
      <c r="K246" s="6">
        <f t="shared" si="11"/>
        <v>0</v>
      </c>
    </row>
    <row r="247" spans="1:11">
      <c r="A247" s="6" t="s">
        <v>448</v>
      </c>
      <c r="B247" s="49" t="s">
        <v>724</v>
      </c>
      <c r="C247" s="49">
        <f t="shared" si="9"/>
        <v>1</v>
      </c>
      <c r="D247" s="6" t="s">
        <v>327</v>
      </c>
      <c r="E247" s="6"/>
      <c r="F247" s="6">
        <v>1</v>
      </c>
      <c r="G247" s="6">
        <v>4</v>
      </c>
      <c r="H247" s="6" t="s">
        <v>725</v>
      </c>
      <c r="I247" s="6" t="str">
        <f t="shared" si="10"/>
        <v>XRA L</v>
      </c>
      <c r="J247" s="6" cm="1">
        <f t="array" ref="J247">HlpGetInstructionSize(A247,D247,E247)</f>
        <v>1</v>
      </c>
      <c r="K247" s="6">
        <f t="shared" si="11"/>
        <v>0</v>
      </c>
    </row>
    <row r="248" spans="1:11">
      <c r="A248" s="6" t="s">
        <v>448</v>
      </c>
      <c r="B248" s="49" t="s">
        <v>726</v>
      </c>
      <c r="C248" s="49">
        <f t="shared" si="9"/>
        <v>1</v>
      </c>
      <c r="D248" s="6" t="s">
        <v>577</v>
      </c>
      <c r="E248" s="6"/>
      <c r="F248" s="6">
        <v>1</v>
      </c>
      <c r="G248" s="6">
        <v>7</v>
      </c>
      <c r="H248" s="6" t="s">
        <v>727</v>
      </c>
      <c r="I248" s="6" t="str">
        <f t="shared" si="10"/>
        <v>XRA M</v>
      </c>
      <c r="J248" s="6" cm="1">
        <f t="array" ref="J248">HlpGetInstructionSize(A248,D248,E248)</f>
        <v>1</v>
      </c>
      <c r="K248" s="6">
        <f t="shared" si="11"/>
        <v>0</v>
      </c>
    </row>
    <row r="249" spans="1:11">
      <c r="A249" s="6" t="s">
        <v>448</v>
      </c>
      <c r="B249" s="49" t="s">
        <v>728</v>
      </c>
      <c r="C249" s="49">
        <f t="shared" si="9"/>
        <v>1</v>
      </c>
      <c r="D249" s="6" t="s">
        <v>146</v>
      </c>
      <c r="E249" s="6"/>
      <c r="F249" s="6">
        <v>1</v>
      </c>
      <c r="G249" s="6">
        <v>4</v>
      </c>
      <c r="H249" s="6" t="s">
        <v>729</v>
      </c>
      <c r="I249" s="6" t="str">
        <f t="shared" si="10"/>
        <v>XRA A</v>
      </c>
      <c r="J249" s="6" cm="1">
        <f t="array" ref="J249">HlpGetInstructionSize(A249,D249,E249)</f>
        <v>1</v>
      </c>
      <c r="K249" s="6">
        <f t="shared" si="11"/>
        <v>0</v>
      </c>
    </row>
    <row r="250" spans="1:11">
      <c r="A250" s="6" t="s">
        <v>155</v>
      </c>
      <c r="B250" s="49" t="s">
        <v>200</v>
      </c>
      <c r="C250" s="49">
        <f t="shared" si="9"/>
        <v>1</v>
      </c>
      <c r="D250" s="6" t="s">
        <v>1452</v>
      </c>
      <c r="E250" s="6"/>
      <c r="F250" s="6">
        <v>2</v>
      </c>
      <c r="G250" s="6">
        <v>7</v>
      </c>
      <c r="H250" s="6" t="s">
        <v>843</v>
      </c>
      <c r="I250" s="6" t="str">
        <f t="shared" si="10"/>
        <v>XRI</v>
      </c>
      <c r="J250" s="6" cm="1">
        <f t="array" ref="J250">HlpGetInstructionSize(A250,D250,E250)</f>
        <v>1</v>
      </c>
      <c r="K250" s="6">
        <f t="shared" si="11"/>
        <v>1</v>
      </c>
    </row>
    <row r="251" spans="1:11">
      <c r="A251" s="6" t="s">
        <v>98</v>
      </c>
      <c r="B251" s="49" t="s">
        <v>822</v>
      </c>
      <c r="C251" s="49">
        <f t="shared" si="9"/>
        <v>1</v>
      </c>
      <c r="D251" s="6" t="s">
        <v>259</v>
      </c>
      <c r="E251" s="6"/>
      <c r="F251" s="6">
        <v>1</v>
      </c>
      <c r="G251" s="6">
        <v>18</v>
      </c>
      <c r="H251" s="6" t="s">
        <v>99</v>
      </c>
      <c r="I251" s="6" t="str">
        <f t="shared" si="10"/>
        <v>XTHL</v>
      </c>
      <c r="J251" s="6" cm="1">
        <f t="array" ref="J251">HlpGetInstructionSize(A251,D251,E251)</f>
        <v>1</v>
      </c>
      <c r="K251" s="6">
        <f t="shared" si="11"/>
        <v>0</v>
      </c>
    </row>
    <row r="252" spans="1:11">
      <c r="B252"/>
      <c r="C252"/>
    </row>
    <row r="253" spans="1:11">
      <c r="B253"/>
      <c r="C253"/>
    </row>
  </sheetData>
  <autoFilter ref="A1:K251" xr:uid="{E98BA271-5408-4066-89C1-21113520246E}"/>
  <sortState xmlns:xlrd2="http://schemas.microsoft.com/office/spreadsheetml/2017/richdata2" ref="A2:H253">
    <sortCondition ref="B146:B253"/>
  </sortState>
  <conditionalFormatting sqref="K2:K251">
    <cfRule type="cellIs" dxfId="2" priority="1" operator="not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89B23-42AD-4040-AC8A-B2FEA5D8583E}">
  <sheetPr codeName="Sheet10"/>
  <dimension ref="A1:L637"/>
  <sheetViews>
    <sheetView workbookViewId="0">
      <pane ySplit="1" topLeftCell="A316" activePane="bottomLeft" state="frozen"/>
      <selection pane="bottomLeft" activeCell="A324" sqref="A324"/>
    </sheetView>
  </sheetViews>
  <sheetFormatPr defaultRowHeight="15"/>
  <cols>
    <col min="1" max="1" width="10.5703125" bestFit="1" customWidth="1"/>
    <col min="2" max="3" width="11.5703125" bestFit="1" customWidth="1"/>
    <col min="4" max="4" width="6.140625" style="156" bestFit="1" customWidth="1"/>
    <col min="5" max="5" width="5.85546875" style="180" bestFit="1" customWidth="1"/>
    <col min="6" max="6" width="34.85546875" bestFit="1" customWidth="1"/>
    <col min="7" max="7" width="20.5703125" bestFit="1" customWidth="1"/>
    <col min="8" max="8" width="8.28515625" style="45" bestFit="1" customWidth="1"/>
    <col min="9" max="9" width="13.140625" bestFit="1" customWidth="1"/>
  </cols>
  <sheetData>
    <row r="1" spans="1:12">
      <c r="A1" s="174" t="s">
        <v>2</v>
      </c>
      <c r="B1" s="174" t="s">
        <v>123</v>
      </c>
      <c r="C1" s="174" t="s">
        <v>124</v>
      </c>
      <c r="D1" s="176" t="s">
        <v>132</v>
      </c>
      <c r="E1" s="178" t="s">
        <v>496</v>
      </c>
      <c r="F1" s="174" t="s">
        <v>3</v>
      </c>
      <c r="G1" s="174" t="s">
        <v>1125</v>
      </c>
      <c r="H1" s="174" t="s">
        <v>1206</v>
      </c>
      <c r="I1" s="174" t="s">
        <v>1207</v>
      </c>
      <c r="J1" s="182">
        <v>8080</v>
      </c>
      <c r="K1" s="182" t="s">
        <v>206</v>
      </c>
      <c r="L1" s="182" t="s">
        <v>135</v>
      </c>
    </row>
    <row r="2" spans="1:12">
      <c r="A2" s="175" t="s">
        <v>426</v>
      </c>
      <c r="B2" s="175" t="s">
        <v>146</v>
      </c>
      <c r="C2" s="175" t="s">
        <v>1238</v>
      </c>
      <c r="D2" s="177" t="s">
        <v>675</v>
      </c>
      <c r="E2" s="179">
        <v>1</v>
      </c>
      <c r="F2" s="175" t="s">
        <v>1265</v>
      </c>
      <c r="G2" s="175" t="s">
        <v>1211</v>
      </c>
      <c r="H2" s="181"/>
      <c r="I2" s="175" t="s">
        <v>675</v>
      </c>
      <c r="J2" s="6">
        <f>IF(ISERROR(VLOOKUP(A2,'8080 Op to Hex'!$A:$A,1,0)),0,1)</f>
        <v>1</v>
      </c>
      <c r="K2" s="6" cm="1">
        <f t="array" ref="K2">HlpGetInstructionSize(A2,B2,C2)</f>
        <v>1</v>
      </c>
      <c r="L2" s="6">
        <f>IF(E2&lt;&gt;K2,1,0)</f>
        <v>0</v>
      </c>
    </row>
    <row r="3" spans="1:12">
      <c r="A3" s="175" t="s">
        <v>426</v>
      </c>
      <c r="B3" s="175" t="s">
        <v>146</v>
      </c>
      <c r="C3" s="175" t="s">
        <v>146</v>
      </c>
      <c r="D3" s="177" t="s">
        <v>677</v>
      </c>
      <c r="E3" s="179">
        <v>1</v>
      </c>
      <c r="F3" s="175" t="s">
        <v>678</v>
      </c>
      <c r="G3" s="175" t="s">
        <v>1127</v>
      </c>
      <c r="H3" s="181"/>
      <c r="I3" s="175" t="s">
        <v>677</v>
      </c>
      <c r="J3" s="6">
        <f>IF(ISERROR(VLOOKUP(A3,'8080 Op to Hex'!$A:$A,1,0)),0,1)</f>
        <v>1</v>
      </c>
      <c r="K3" s="6" cm="1">
        <f t="array" ref="K3">HlpGetInstructionSize(A3,B3,C3)</f>
        <v>1</v>
      </c>
      <c r="L3" s="6">
        <f t="shared" ref="L3:L65" si="0">IF(E3&lt;&gt;K3,1,0)</f>
        <v>0</v>
      </c>
    </row>
    <row r="4" spans="1:12">
      <c r="A4" s="175" t="s">
        <v>426</v>
      </c>
      <c r="B4" s="175" t="s">
        <v>146</v>
      </c>
      <c r="C4" s="175" t="s">
        <v>144</v>
      </c>
      <c r="D4" s="177" t="s">
        <v>950</v>
      </c>
      <c r="E4" s="179">
        <v>1</v>
      </c>
      <c r="F4" s="175" t="s">
        <v>665</v>
      </c>
      <c r="G4" s="175" t="s">
        <v>1127</v>
      </c>
      <c r="H4" s="181"/>
      <c r="I4" s="175" t="s">
        <v>950</v>
      </c>
      <c r="J4" s="6">
        <f>IF(ISERROR(VLOOKUP(A4,'8080 Op to Hex'!$A:$A,1,0)),0,1)</f>
        <v>1</v>
      </c>
      <c r="K4" s="6" cm="1">
        <f t="array" ref="K4">HlpGetInstructionSize(A4,B4,C4)</f>
        <v>1</v>
      </c>
      <c r="L4" s="6">
        <f t="shared" si="0"/>
        <v>0</v>
      </c>
    </row>
    <row r="5" spans="1:12">
      <c r="A5" s="175" t="s">
        <v>426</v>
      </c>
      <c r="B5" s="175" t="s">
        <v>146</v>
      </c>
      <c r="C5" s="175" t="s">
        <v>182</v>
      </c>
      <c r="D5" s="177" t="s">
        <v>951</v>
      </c>
      <c r="E5" s="179">
        <v>1</v>
      </c>
      <c r="F5" s="175" t="s">
        <v>666</v>
      </c>
      <c r="G5" s="175" t="s">
        <v>1127</v>
      </c>
      <c r="H5" s="181"/>
      <c r="I5" s="175" t="s">
        <v>951</v>
      </c>
      <c r="J5" s="6">
        <f>IF(ISERROR(VLOOKUP(A5,'8080 Op to Hex'!$A:$A,1,0)),0,1)</f>
        <v>1</v>
      </c>
      <c r="K5" s="6" cm="1">
        <f t="array" ref="K5">HlpGetInstructionSize(A5,B5,C5)</f>
        <v>1</v>
      </c>
      <c r="L5" s="6">
        <f t="shared" si="0"/>
        <v>0</v>
      </c>
    </row>
    <row r="6" spans="1:12">
      <c r="A6" s="175" t="s">
        <v>426</v>
      </c>
      <c r="B6" s="175" t="s">
        <v>146</v>
      </c>
      <c r="C6" s="175" t="s">
        <v>183</v>
      </c>
      <c r="D6" s="177" t="s">
        <v>667</v>
      </c>
      <c r="E6" s="179">
        <v>1</v>
      </c>
      <c r="F6" s="175" t="s">
        <v>668</v>
      </c>
      <c r="G6" s="175" t="s">
        <v>1127</v>
      </c>
      <c r="H6" s="181"/>
      <c r="I6" s="175" t="s">
        <v>667</v>
      </c>
      <c r="J6" s="6">
        <f>IF(ISERROR(VLOOKUP(A6,'8080 Op to Hex'!$A:$A,1,0)),0,1)</f>
        <v>1</v>
      </c>
      <c r="K6" s="6" cm="1">
        <f t="array" ref="K6">HlpGetInstructionSize(A6,B6,C6)</f>
        <v>1</v>
      </c>
      <c r="L6" s="6">
        <f t="shared" si="0"/>
        <v>0</v>
      </c>
    </row>
    <row r="7" spans="1:12">
      <c r="A7" s="175" t="s">
        <v>426</v>
      </c>
      <c r="B7" s="175" t="s">
        <v>146</v>
      </c>
      <c r="C7" s="175" t="s">
        <v>265</v>
      </c>
      <c r="D7" s="177" t="s">
        <v>669</v>
      </c>
      <c r="E7" s="179">
        <v>1</v>
      </c>
      <c r="F7" s="175" t="s">
        <v>670</v>
      </c>
      <c r="G7" s="175" t="s">
        <v>1127</v>
      </c>
      <c r="H7" s="181"/>
      <c r="I7" s="175" t="s">
        <v>669</v>
      </c>
      <c r="J7" s="6">
        <f>IF(ISERROR(VLOOKUP(A7,'8080 Op to Hex'!$A:$A,1,0)),0,1)</f>
        <v>1</v>
      </c>
      <c r="K7" s="6" cm="1">
        <f t="array" ref="K7">HlpGetInstructionSize(A7,B7,C7)</f>
        <v>1</v>
      </c>
      <c r="L7" s="6">
        <f t="shared" si="0"/>
        <v>0</v>
      </c>
    </row>
    <row r="8" spans="1:12">
      <c r="A8" s="175" t="s">
        <v>426</v>
      </c>
      <c r="B8" s="175" t="s">
        <v>146</v>
      </c>
      <c r="C8" s="175" t="s">
        <v>303</v>
      </c>
      <c r="D8" s="177" t="s">
        <v>671</v>
      </c>
      <c r="E8" s="179">
        <v>1</v>
      </c>
      <c r="F8" s="175" t="s">
        <v>672</v>
      </c>
      <c r="G8" s="175" t="s">
        <v>1127</v>
      </c>
      <c r="H8" s="181"/>
      <c r="I8" s="175" t="s">
        <v>671</v>
      </c>
      <c r="J8" s="6">
        <f>IF(ISERROR(VLOOKUP(A8,'8080 Op to Hex'!$A:$A,1,0)),0,1)</f>
        <v>1</v>
      </c>
      <c r="K8" s="6" cm="1">
        <f t="array" ref="K8">HlpGetInstructionSize(A8,B8,C8)</f>
        <v>1</v>
      </c>
      <c r="L8" s="6">
        <f t="shared" si="0"/>
        <v>0</v>
      </c>
    </row>
    <row r="9" spans="1:12">
      <c r="A9" s="175" t="s">
        <v>426</v>
      </c>
      <c r="B9" s="175" t="s">
        <v>146</v>
      </c>
      <c r="C9" s="175" t="s">
        <v>327</v>
      </c>
      <c r="D9" s="177" t="s">
        <v>673</v>
      </c>
      <c r="E9" s="179">
        <v>1</v>
      </c>
      <c r="F9" s="175" t="s">
        <v>674</v>
      </c>
      <c r="G9" s="175" t="s">
        <v>1127</v>
      </c>
      <c r="H9" s="181"/>
      <c r="I9" s="175" t="s">
        <v>673</v>
      </c>
      <c r="J9" s="6">
        <f>IF(ISERROR(VLOOKUP(A9,'8080 Op to Hex'!$A:$A,1,0)),0,1)</f>
        <v>1</v>
      </c>
      <c r="K9" s="6" cm="1">
        <f t="array" ref="K9">HlpGetInstructionSize(A9,B9,C9)</f>
        <v>1</v>
      </c>
      <c r="L9" s="6">
        <f t="shared" si="0"/>
        <v>0</v>
      </c>
    </row>
    <row r="10" spans="1:12">
      <c r="A10" s="175" t="s">
        <v>426</v>
      </c>
      <c r="B10" s="175" t="s">
        <v>146</v>
      </c>
      <c r="C10" s="175" t="s">
        <v>1452</v>
      </c>
      <c r="D10" s="177" t="s">
        <v>780</v>
      </c>
      <c r="E10" s="179">
        <v>2</v>
      </c>
      <c r="F10" s="175" t="s">
        <v>781</v>
      </c>
      <c r="G10" s="175" t="s">
        <v>1127</v>
      </c>
      <c r="H10" s="181"/>
      <c r="I10" s="175" t="s">
        <v>780</v>
      </c>
      <c r="J10" s="6">
        <f>IF(ISERROR(VLOOKUP(A10,'8080 Op to Hex'!$A:$A,1,0)),0,1)</f>
        <v>1</v>
      </c>
      <c r="K10" s="6" cm="1">
        <f t="array" ref="K10">HlpGetInstructionSize(A10,B10,C10)</f>
        <v>1</v>
      </c>
      <c r="L10" s="6">
        <f t="shared" si="0"/>
        <v>1</v>
      </c>
    </row>
    <row r="11" spans="1:12">
      <c r="A11" s="175" t="s">
        <v>426</v>
      </c>
      <c r="B11" s="175" t="s">
        <v>146</v>
      </c>
      <c r="C11" s="175" t="s">
        <v>1377</v>
      </c>
      <c r="D11" s="177" t="s">
        <v>1455</v>
      </c>
      <c r="E11" s="179">
        <v>4</v>
      </c>
      <c r="F11" s="175" t="s">
        <v>1456</v>
      </c>
      <c r="G11" s="175" t="s">
        <v>126</v>
      </c>
      <c r="H11" s="181" t="s">
        <v>810</v>
      </c>
      <c r="I11" s="175" t="s">
        <v>675</v>
      </c>
      <c r="J11" s="6">
        <f>IF(ISERROR(VLOOKUP(A11,'8080 Op to Hex'!$A:$A,1,0)),0,1)</f>
        <v>1</v>
      </c>
      <c r="K11" s="6" cm="1">
        <f t="array" ref="K11">HlpGetInstructionSize(A11,B11,C11)</f>
        <v>1</v>
      </c>
      <c r="L11" s="6">
        <f>IF(E11&lt;&gt;K11,1,0)</f>
        <v>1</v>
      </c>
    </row>
    <row r="12" spans="1:12">
      <c r="A12" s="175" t="s">
        <v>426</v>
      </c>
      <c r="B12" s="175" t="s">
        <v>146</v>
      </c>
      <c r="C12" s="175" t="s">
        <v>1380</v>
      </c>
      <c r="D12" s="177" t="s">
        <v>1457</v>
      </c>
      <c r="E12" s="179">
        <v>4</v>
      </c>
      <c r="F12" s="175" t="s">
        <v>1458</v>
      </c>
      <c r="G12" s="175" t="s">
        <v>126</v>
      </c>
      <c r="H12" s="181" t="s">
        <v>1025</v>
      </c>
      <c r="I12" s="175" t="s">
        <v>675</v>
      </c>
      <c r="J12" s="6">
        <f>IF(ISERROR(VLOOKUP(A12,'8080 Op to Hex'!$A:$A,1,0)),0,1)</f>
        <v>1</v>
      </c>
      <c r="K12" s="6" cm="1">
        <f t="array" ref="K12">HlpGetInstructionSize(A12,B12,C12)</f>
        <v>1</v>
      </c>
      <c r="L12" s="6">
        <f t="shared" si="0"/>
        <v>1</v>
      </c>
    </row>
    <row r="13" spans="1:12">
      <c r="A13" s="175" t="s">
        <v>426</v>
      </c>
      <c r="B13" s="175" t="s">
        <v>1221</v>
      </c>
      <c r="C13" s="175" t="s">
        <v>336</v>
      </c>
      <c r="D13" s="177" t="s">
        <v>1459</v>
      </c>
      <c r="E13" s="179">
        <v>2</v>
      </c>
      <c r="F13" s="175" t="s">
        <v>1460</v>
      </c>
      <c r="G13" s="175" t="s">
        <v>1213</v>
      </c>
      <c r="H13" s="181" t="s">
        <v>842</v>
      </c>
      <c r="I13" s="175" t="s">
        <v>582</v>
      </c>
      <c r="J13" s="6">
        <f>IF(ISERROR(VLOOKUP(A13,'8080 Op to Hex'!$A:$A,1,0)),0,1)</f>
        <v>1</v>
      </c>
      <c r="K13" s="6" t="e" cm="1">
        <f t="array" ref="K13">HlpGetInstructionSize(A13,B13,C13)</f>
        <v>#VALUE!</v>
      </c>
      <c r="L13" s="6" t="e">
        <f t="shared" si="0"/>
        <v>#VALUE!</v>
      </c>
    </row>
    <row r="14" spans="1:12">
      <c r="A14" s="175" t="s">
        <v>426</v>
      </c>
      <c r="B14" s="175" t="s">
        <v>1221</v>
      </c>
      <c r="C14" s="175" t="s">
        <v>811</v>
      </c>
      <c r="D14" s="177" t="s">
        <v>1461</v>
      </c>
      <c r="E14" s="179">
        <v>2</v>
      </c>
      <c r="F14" s="175" t="s">
        <v>1462</v>
      </c>
      <c r="G14" s="175" t="s">
        <v>1213</v>
      </c>
      <c r="H14" s="181" t="s">
        <v>842</v>
      </c>
      <c r="I14" s="175" t="s">
        <v>358</v>
      </c>
      <c r="J14" s="6">
        <f>IF(ISERROR(VLOOKUP(A14,'8080 Op to Hex'!$A:$A,1,0)),0,1)</f>
        <v>1</v>
      </c>
      <c r="K14" s="6" t="e" cm="1">
        <f t="array" ref="K14">HlpGetInstructionSize(A14,B14,C14)</f>
        <v>#VALUE!</v>
      </c>
      <c r="L14" s="6" t="e">
        <f t="shared" si="0"/>
        <v>#VALUE!</v>
      </c>
    </row>
    <row r="15" spans="1:12">
      <c r="A15" s="175" t="s">
        <v>426</v>
      </c>
      <c r="B15" s="175" t="s">
        <v>1221</v>
      </c>
      <c r="C15" s="175" t="s">
        <v>1221</v>
      </c>
      <c r="D15" s="177" t="s">
        <v>1463</v>
      </c>
      <c r="E15" s="179">
        <v>2</v>
      </c>
      <c r="F15" s="175" t="s">
        <v>1464</v>
      </c>
      <c r="G15" s="175" t="s">
        <v>1213</v>
      </c>
      <c r="H15" s="181" t="s">
        <v>842</v>
      </c>
      <c r="I15" s="175" t="s">
        <v>625</v>
      </c>
      <c r="J15" s="6">
        <f>IF(ISERROR(VLOOKUP(A15,'8080 Op to Hex'!$A:$A,1,0)),0,1)</f>
        <v>1</v>
      </c>
      <c r="K15" s="6" t="e" cm="1">
        <f t="array" ref="K15">HlpGetInstructionSize(A15,B15,C15)</f>
        <v>#VALUE!</v>
      </c>
      <c r="L15" s="6" t="e">
        <f t="shared" si="0"/>
        <v>#VALUE!</v>
      </c>
    </row>
    <row r="16" spans="1:12">
      <c r="A16" s="175" t="s">
        <v>426</v>
      </c>
      <c r="B16" s="175" t="s">
        <v>1221</v>
      </c>
      <c r="C16" s="175" t="s">
        <v>114</v>
      </c>
      <c r="D16" s="177" t="s">
        <v>1465</v>
      </c>
      <c r="E16" s="179">
        <v>2</v>
      </c>
      <c r="F16" s="175" t="s">
        <v>1466</v>
      </c>
      <c r="G16" s="175" t="s">
        <v>1213</v>
      </c>
      <c r="H16" s="181" t="s">
        <v>842</v>
      </c>
      <c r="I16" s="175" t="s">
        <v>647</v>
      </c>
      <c r="J16" s="6">
        <f>IF(ISERROR(VLOOKUP(A16,'8080 Op to Hex'!$A:$A,1,0)),0,1)</f>
        <v>1</v>
      </c>
      <c r="K16" s="6" t="e" cm="1">
        <f t="array" ref="K16">HlpGetInstructionSize(A16,B16,C16)</f>
        <v>#VALUE!</v>
      </c>
      <c r="L16" s="6" t="e">
        <f t="shared" si="0"/>
        <v>#VALUE!</v>
      </c>
    </row>
    <row r="17" spans="1:12">
      <c r="A17" s="175" t="s">
        <v>392</v>
      </c>
      <c r="B17" s="175" t="s">
        <v>146</v>
      </c>
      <c r="C17" s="175" t="s">
        <v>1238</v>
      </c>
      <c r="D17" s="177" t="s">
        <v>948</v>
      </c>
      <c r="E17" s="179">
        <v>1</v>
      </c>
      <c r="F17" s="175" t="s">
        <v>1264</v>
      </c>
      <c r="G17" s="175" t="s">
        <v>1211</v>
      </c>
      <c r="H17" s="181"/>
      <c r="I17" s="175" t="s">
        <v>948</v>
      </c>
      <c r="J17" s="6">
        <f>IF(ISERROR(VLOOKUP(A17,'8080 Op to Hex'!$A:$A,1,0)),0,1)</f>
        <v>1</v>
      </c>
      <c r="K17" s="6" cm="1">
        <f t="array" ref="K17">HlpGetInstructionSize(A17,B17,C17)</f>
        <v>1</v>
      </c>
      <c r="L17" s="6">
        <f t="shared" si="0"/>
        <v>0</v>
      </c>
    </row>
    <row r="18" spans="1:12">
      <c r="A18" s="175" t="s">
        <v>392</v>
      </c>
      <c r="B18" s="175" t="s">
        <v>146</v>
      </c>
      <c r="C18" s="175" t="s">
        <v>1377</v>
      </c>
      <c r="D18" s="177" t="s">
        <v>1383</v>
      </c>
      <c r="E18" s="179">
        <v>4</v>
      </c>
      <c r="F18" s="175" t="s">
        <v>1419</v>
      </c>
      <c r="G18" s="175" t="s">
        <v>126</v>
      </c>
      <c r="H18" s="181" t="s">
        <v>810</v>
      </c>
      <c r="I18" s="175" t="s">
        <v>948</v>
      </c>
      <c r="J18" s="6">
        <f>IF(ISERROR(VLOOKUP(A18,'8080 Op to Hex'!$A:$A,1,0)),0,1)</f>
        <v>1</v>
      </c>
      <c r="K18" s="6" cm="1">
        <f t="array" ref="K18">HlpGetInstructionSize(A18,B18,C18)</f>
        <v>1</v>
      </c>
      <c r="L18" s="6">
        <f t="shared" si="0"/>
        <v>1</v>
      </c>
    </row>
    <row r="19" spans="1:12">
      <c r="A19" s="175" t="s">
        <v>392</v>
      </c>
      <c r="B19" s="175" t="s">
        <v>146</v>
      </c>
      <c r="C19" s="175" t="s">
        <v>1380</v>
      </c>
      <c r="D19" s="177" t="s">
        <v>1420</v>
      </c>
      <c r="E19" s="179">
        <v>4</v>
      </c>
      <c r="F19" s="175" t="s">
        <v>1421</v>
      </c>
      <c r="G19" s="175" t="s">
        <v>126</v>
      </c>
      <c r="H19" s="181" t="s">
        <v>1025</v>
      </c>
      <c r="I19" s="175" t="s">
        <v>948</v>
      </c>
      <c r="J19" s="6">
        <f>IF(ISERROR(VLOOKUP(A19,'8080 Op to Hex'!$A:$A,1,0)),0,1)</f>
        <v>1</v>
      </c>
      <c r="K19" s="6" cm="1">
        <f t="array" ref="K19">HlpGetInstructionSize(A19,B19,C19)</f>
        <v>1</v>
      </c>
      <c r="L19" s="6">
        <f t="shared" si="0"/>
        <v>1</v>
      </c>
    </row>
    <row r="20" spans="1:12">
      <c r="A20" s="175" t="s">
        <v>392</v>
      </c>
      <c r="B20" s="175" t="s">
        <v>146</v>
      </c>
      <c r="C20" s="175" t="s">
        <v>146</v>
      </c>
      <c r="D20" s="177" t="s">
        <v>949</v>
      </c>
      <c r="E20" s="179">
        <v>1</v>
      </c>
      <c r="F20" s="175" t="s">
        <v>664</v>
      </c>
      <c r="G20" s="175" t="s">
        <v>1127</v>
      </c>
      <c r="H20" s="181"/>
      <c r="I20" s="175" t="s">
        <v>949</v>
      </c>
      <c r="J20" s="6">
        <f>IF(ISERROR(VLOOKUP(A20,'8080 Op to Hex'!$A:$A,1,0)),0,1)</f>
        <v>1</v>
      </c>
      <c r="K20" s="6" cm="1">
        <f t="array" ref="K20">HlpGetInstructionSize(A20,B20,C20)</f>
        <v>1</v>
      </c>
      <c r="L20" s="6">
        <f t="shared" si="0"/>
        <v>0</v>
      </c>
    </row>
    <row r="21" spans="1:12">
      <c r="A21" s="175" t="s">
        <v>392</v>
      </c>
      <c r="B21" s="175" t="s">
        <v>146</v>
      </c>
      <c r="C21" s="175" t="s">
        <v>144</v>
      </c>
      <c r="D21" s="177" t="s">
        <v>216</v>
      </c>
      <c r="E21" s="179">
        <v>1</v>
      </c>
      <c r="F21" s="175" t="s">
        <v>657</v>
      </c>
      <c r="G21" s="175" t="s">
        <v>1127</v>
      </c>
      <c r="H21" s="181"/>
      <c r="I21" s="175" t="s">
        <v>216</v>
      </c>
      <c r="J21" s="6">
        <f>IF(ISERROR(VLOOKUP(A21,'8080 Op to Hex'!$A:$A,1,0)),0,1)</f>
        <v>1</v>
      </c>
      <c r="K21" s="6" cm="1">
        <f t="array" ref="K21">HlpGetInstructionSize(A21,B21,C21)</f>
        <v>1</v>
      </c>
      <c r="L21" s="6">
        <f t="shared" si="0"/>
        <v>0</v>
      </c>
    </row>
    <row r="22" spans="1:12">
      <c r="A22" s="175" t="s">
        <v>392</v>
      </c>
      <c r="B22" s="175" t="s">
        <v>146</v>
      </c>
      <c r="C22" s="175" t="s">
        <v>182</v>
      </c>
      <c r="D22" s="177" t="s">
        <v>449</v>
      </c>
      <c r="E22" s="179">
        <v>1</v>
      </c>
      <c r="F22" s="175" t="s">
        <v>658</v>
      </c>
      <c r="G22" s="175" t="s">
        <v>1127</v>
      </c>
      <c r="H22" s="181"/>
      <c r="I22" s="175" t="s">
        <v>449</v>
      </c>
      <c r="J22" s="6">
        <f>IF(ISERROR(VLOOKUP(A22,'8080 Op to Hex'!$A:$A,1,0)),0,1)</f>
        <v>1</v>
      </c>
      <c r="K22" s="6" cm="1">
        <f t="array" ref="K22">HlpGetInstructionSize(A22,B22,C22)</f>
        <v>1</v>
      </c>
      <c r="L22" s="6">
        <f t="shared" si="0"/>
        <v>0</v>
      </c>
    </row>
    <row r="23" spans="1:12">
      <c r="A23" s="175" t="s">
        <v>392</v>
      </c>
      <c r="B23" s="175" t="s">
        <v>146</v>
      </c>
      <c r="C23" s="175" t="s">
        <v>183</v>
      </c>
      <c r="D23" s="177" t="s">
        <v>276</v>
      </c>
      <c r="E23" s="179">
        <v>1</v>
      </c>
      <c r="F23" s="175" t="s">
        <v>659</v>
      </c>
      <c r="G23" s="175" t="s">
        <v>1127</v>
      </c>
      <c r="H23" s="181"/>
      <c r="I23" s="175" t="s">
        <v>276</v>
      </c>
      <c r="J23" s="6">
        <f>IF(ISERROR(VLOOKUP(A23,'8080 Op to Hex'!$A:$A,1,0)),0,1)</f>
        <v>1</v>
      </c>
      <c r="K23" s="6" cm="1">
        <f t="array" ref="K23">HlpGetInstructionSize(A23,B23,C23)</f>
        <v>1</v>
      </c>
      <c r="L23" s="6">
        <f t="shared" si="0"/>
        <v>0</v>
      </c>
    </row>
    <row r="24" spans="1:12">
      <c r="A24" s="175" t="s">
        <v>392</v>
      </c>
      <c r="B24" s="175" t="s">
        <v>146</v>
      </c>
      <c r="C24" s="175" t="s">
        <v>265</v>
      </c>
      <c r="D24" s="177" t="s">
        <v>945</v>
      </c>
      <c r="E24" s="179">
        <v>1</v>
      </c>
      <c r="F24" s="175" t="s">
        <v>660</v>
      </c>
      <c r="G24" s="175" t="s">
        <v>1127</v>
      </c>
      <c r="H24" s="181"/>
      <c r="I24" s="175" t="s">
        <v>945</v>
      </c>
      <c r="J24" s="6">
        <f>IF(ISERROR(VLOOKUP(A24,'8080 Op to Hex'!$A:$A,1,0)),0,1)</f>
        <v>1</v>
      </c>
      <c r="K24" s="6" cm="1">
        <f t="array" ref="K24">HlpGetInstructionSize(A24,B24,C24)</f>
        <v>1</v>
      </c>
      <c r="L24" s="6">
        <f t="shared" si="0"/>
        <v>0</v>
      </c>
    </row>
    <row r="25" spans="1:12">
      <c r="A25" s="175" t="s">
        <v>392</v>
      </c>
      <c r="B25" s="175" t="s">
        <v>146</v>
      </c>
      <c r="C25" s="175" t="s">
        <v>303</v>
      </c>
      <c r="D25" s="177" t="s">
        <v>946</v>
      </c>
      <c r="E25" s="179">
        <v>1</v>
      </c>
      <c r="F25" s="175" t="s">
        <v>661</v>
      </c>
      <c r="G25" s="175" t="s">
        <v>1127</v>
      </c>
      <c r="H25" s="181"/>
      <c r="I25" s="175" t="s">
        <v>946</v>
      </c>
      <c r="J25" s="6">
        <f>IF(ISERROR(VLOOKUP(A25,'8080 Op to Hex'!$A:$A,1,0)),0,1)</f>
        <v>1</v>
      </c>
      <c r="K25" s="6" cm="1">
        <f t="array" ref="K25">HlpGetInstructionSize(A25,B25,C25)</f>
        <v>1</v>
      </c>
      <c r="L25" s="6">
        <f t="shared" si="0"/>
        <v>0</v>
      </c>
    </row>
    <row r="26" spans="1:12">
      <c r="A26" s="175" t="s">
        <v>392</v>
      </c>
      <c r="B26" s="175" t="s">
        <v>146</v>
      </c>
      <c r="C26" s="175" t="s">
        <v>327</v>
      </c>
      <c r="D26" s="177" t="s">
        <v>947</v>
      </c>
      <c r="E26" s="179">
        <v>1</v>
      </c>
      <c r="F26" s="175" t="s">
        <v>662</v>
      </c>
      <c r="G26" s="175" t="s">
        <v>1127</v>
      </c>
      <c r="H26" s="181"/>
      <c r="I26" s="175" t="s">
        <v>947</v>
      </c>
      <c r="J26" s="6">
        <f>IF(ISERROR(VLOOKUP(A26,'8080 Op to Hex'!$A:$A,1,0)),0,1)</f>
        <v>1</v>
      </c>
      <c r="K26" s="6" cm="1">
        <f t="array" ref="K26">HlpGetInstructionSize(A26,B26,C26)</f>
        <v>1</v>
      </c>
      <c r="L26" s="6">
        <f t="shared" si="0"/>
        <v>0</v>
      </c>
    </row>
    <row r="27" spans="1:12">
      <c r="A27" s="175" t="s">
        <v>392</v>
      </c>
      <c r="B27" s="175" t="s">
        <v>146</v>
      </c>
      <c r="C27" s="175" t="s">
        <v>1452</v>
      </c>
      <c r="D27" s="177" t="s">
        <v>766</v>
      </c>
      <c r="E27" s="179">
        <v>2</v>
      </c>
      <c r="F27" s="175" t="s">
        <v>767</v>
      </c>
      <c r="G27" s="175" t="s">
        <v>1127</v>
      </c>
      <c r="H27" s="181"/>
      <c r="I27" s="175" t="s">
        <v>766</v>
      </c>
      <c r="J27" s="6">
        <f>IF(ISERROR(VLOOKUP(A27,'8080 Op to Hex'!$A:$A,1,0)),0,1)</f>
        <v>1</v>
      </c>
      <c r="K27" s="6" cm="1">
        <f t="array" ref="K27">HlpGetInstructionSize(A27,B27,C27)</f>
        <v>1</v>
      </c>
      <c r="L27" s="6">
        <f t="shared" si="0"/>
        <v>1</v>
      </c>
    </row>
    <row r="28" spans="1:12">
      <c r="A28" s="175" t="s">
        <v>392</v>
      </c>
      <c r="B28" s="175" t="s">
        <v>1221</v>
      </c>
      <c r="C28" s="175" t="s">
        <v>336</v>
      </c>
      <c r="D28" s="177" t="s">
        <v>457</v>
      </c>
      <c r="E28" s="179">
        <v>1</v>
      </c>
      <c r="F28" s="175" t="s">
        <v>506</v>
      </c>
      <c r="G28" s="175" t="s">
        <v>1213</v>
      </c>
      <c r="H28" s="181"/>
      <c r="I28" s="175" t="s">
        <v>457</v>
      </c>
      <c r="J28" s="6">
        <f>IF(ISERROR(VLOOKUP(A28,'8080 Op to Hex'!$A:$A,1,0)),0,1)</f>
        <v>1</v>
      </c>
      <c r="K28" s="6" cm="1">
        <f t="array" ref="K28">HlpGetInstructionSize(A28,B28,C28)</f>
        <v>1</v>
      </c>
      <c r="L28" s="6">
        <f t="shared" si="0"/>
        <v>0</v>
      </c>
    </row>
    <row r="29" spans="1:12">
      <c r="A29" s="175" t="s">
        <v>392</v>
      </c>
      <c r="B29" s="175" t="s">
        <v>1221</v>
      </c>
      <c r="C29" s="175" t="s">
        <v>811</v>
      </c>
      <c r="D29" s="177" t="s">
        <v>889</v>
      </c>
      <c r="E29" s="179">
        <v>1</v>
      </c>
      <c r="F29" s="175" t="s">
        <v>522</v>
      </c>
      <c r="G29" s="175" t="s">
        <v>1213</v>
      </c>
      <c r="H29" s="181"/>
      <c r="I29" s="175" t="s">
        <v>889</v>
      </c>
      <c r="J29" s="6">
        <f>IF(ISERROR(VLOOKUP(A29,'8080 Op to Hex'!$A:$A,1,0)),0,1)</f>
        <v>1</v>
      </c>
      <c r="K29" s="6" cm="1">
        <f t="array" ref="K29">HlpGetInstructionSize(A29,B29,C29)</f>
        <v>1</v>
      </c>
      <c r="L29" s="6">
        <f t="shared" si="0"/>
        <v>0</v>
      </c>
    </row>
    <row r="30" spans="1:12">
      <c r="A30" s="175" t="s">
        <v>392</v>
      </c>
      <c r="B30" s="175" t="s">
        <v>1221</v>
      </c>
      <c r="C30" s="175" t="s">
        <v>1221</v>
      </c>
      <c r="D30" s="177" t="s">
        <v>898</v>
      </c>
      <c r="E30" s="179">
        <v>1</v>
      </c>
      <c r="F30" s="175" t="s">
        <v>542</v>
      </c>
      <c r="G30" s="175" t="s">
        <v>1213</v>
      </c>
      <c r="H30" s="181"/>
      <c r="I30" s="175" t="s">
        <v>898</v>
      </c>
      <c r="J30" s="6">
        <f>IF(ISERROR(VLOOKUP(A30,'8080 Op to Hex'!$A:$A,1,0)),0,1)</f>
        <v>1</v>
      </c>
      <c r="K30" s="6" cm="1">
        <f t="array" ref="K30">HlpGetInstructionSize(A30,B30,C30)</f>
        <v>1</v>
      </c>
      <c r="L30" s="6">
        <f t="shared" si="0"/>
        <v>0</v>
      </c>
    </row>
    <row r="31" spans="1:12">
      <c r="A31" s="175" t="s">
        <v>392</v>
      </c>
      <c r="B31" s="175" t="s">
        <v>1221</v>
      </c>
      <c r="C31" s="175" t="s">
        <v>114</v>
      </c>
      <c r="D31" s="177" t="s">
        <v>906</v>
      </c>
      <c r="E31" s="179">
        <v>1</v>
      </c>
      <c r="F31" s="175" t="s">
        <v>561</v>
      </c>
      <c r="G31" s="175" t="s">
        <v>1213</v>
      </c>
      <c r="H31" s="181"/>
      <c r="I31" s="175" t="s">
        <v>906</v>
      </c>
      <c r="J31" s="6">
        <f>IF(ISERROR(VLOOKUP(A31,'8080 Op to Hex'!$A:$A,1,0)),0,1)</f>
        <v>1</v>
      </c>
      <c r="K31" s="6" cm="1">
        <f t="array" ref="K31">HlpGetInstructionSize(A31,B31,C31)</f>
        <v>1</v>
      </c>
      <c r="L31" s="6">
        <f t="shared" si="0"/>
        <v>0</v>
      </c>
    </row>
    <row r="32" spans="1:12">
      <c r="A32" s="175" t="s">
        <v>392</v>
      </c>
      <c r="B32" s="175" t="s">
        <v>1149</v>
      </c>
      <c r="C32" s="175" t="s">
        <v>336</v>
      </c>
      <c r="D32" s="177" t="s">
        <v>1467</v>
      </c>
      <c r="E32" s="179">
        <v>2</v>
      </c>
      <c r="F32" s="175" t="s">
        <v>1468</v>
      </c>
      <c r="G32" s="175" t="s">
        <v>1213</v>
      </c>
      <c r="H32" s="181" t="s">
        <v>810</v>
      </c>
      <c r="I32" s="175" t="s">
        <v>457</v>
      </c>
      <c r="J32" s="6">
        <f>IF(ISERROR(VLOOKUP(A32,'8080 Op to Hex'!$A:$A,1,0)),0,1)</f>
        <v>1</v>
      </c>
      <c r="K32" s="6" cm="1">
        <f t="array" ref="K32">HlpGetInstructionSize(A32,B32,C32)</f>
        <v>1</v>
      </c>
      <c r="L32" s="6">
        <f t="shared" si="0"/>
        <v>1</v>
      </c>
    </row>
    <row r="33" spans="1:12">
      <c r="A33" s="175" t="s">
        <v>392</v>
      </c>
      <c r="B33" s="175" t="s">
        <v>1149</v>
      </c>
      <c r="C33" s="175" t="s">
        <v>811</v>
      </c>
      <c r="D33" s="177" t="s">
        <v>1469</v>
      </c>
      <c r="E33" s="179">
        <v>2</v>
      </c>
      <c r="F33" s="175" t="s">
        <v>1470</v>
      </c>
      <c r="G33" s="175" t="s">
        <v>1213</v>
      </c>
      <c r="H33" s="181" t="s">
        <v>810</v>
      </c>
      <c r="I33" s="175" t="s">
        <v>889</v>
      </c>
      <c r="J33" s="6">
        <f>IF(ISERROR(VLOOKUP(A33,'8080 Op to Hex'!$A:$A,1,0)),0,1)</f>
        <v>1</v>
      </c>
      <c r="K33" s="6" cm="1">
        <f t="array" ref="K33">HlpGetInstructionSize(A33,B33,C33)</f>
        <v>1</v>
      </c>
      <c r="L33" s="6">
        <f t="shared" si="0"/>
        <v>1</v>
      </c>
    </row>
    <row r="34" spans="1:12">
      <c r="A34" s="175" t="s">
        <v>392</v>
      </c>
      <c r="B34" s="175" t="s">
        <v>1149</v>
      </c>
      <c r="C34" s="175" t="s">
        <v>1149</v>
      </c>
      <c r="D34" s="177" t="s">
        <v>1471</v>
      </c>
      <c r="E34" s="179">
        <v>2</v>
      </c>
      <c r="F34" s="175" t="s">
        <v>1472</v>
      </c>
      <c r="G34" s="175" t="s">
        <v>1213</v>
      </c>
      <c r="H34" s="181" t="s">
        <v>810</v>
      </c>
      <c r="I34" s="175" t="s">
        <v>898</v>
      </c>
      <c r="J34" s="6">
        <f>IF(ISERROR(VLOOKUP(A34,'8080 Op to Hex'!$A:$A,1,0)),0,1)</f>
        <v>1</v>
      </c>
      <c r="K34" s="6" cm="1">
        <f t="array" ref="K34">HlpGetInstructionSize(A34,B34,C34)</f>
        <v>1</v>
      </c>
      <c r="L34" s="6">
        <f t="shared" si="0"/>
        <v>1</v>
      </c>
    </row>
    <row r="35" spans="1:12">
      <c r="A35" s="175" t="s">
        <v>392</v>
      </c>
      <c r="B35" s="175" t="s">
        <v>1149</v>
      </c>
      <c r="C35" s="175" t="s">
        <v>114</v>
      </c>
      <c r="D35" s="177" t="s">
        <v>1473</v>
      </c>
      <c r="E35" s="179">
        <v>2</v>
      </c>
      <c r="F35" s="175" t="s">
        <v>1474</v>
      </c>
      <c r="G35" s="175" t="s">
        <v>1213</v>
      </c>
      <c r="H35" s="181" t="s">
        <v>810</v>
      </c>
      <c r="I35" s="175" t="s">
        <v>906</v>
      </c>
      <c r="J35" s="6">
        <f>IF(ISERROR(VLOOKUP(A35,'8080 Op to Hex'!$A:$A,1,0)),0,1)</f>
        <v>1</v>
      </c>
      <c r="K35" s="6" cm="1">
        <f t="array" ref="K35">HlpGetInstructionSize(A35,B35,C35)</f>
        <v>1</v>
      </c>
      <c r="L35" s="6">
        <f t="shared" si="0"/>
        <v>1</v>
      </c>
    </row>
    <row r="36" spans="1:12">
      <c r="A36" s="175" t="s">
        <v>392</v>
      </c>
      <c r="B36" s="175" t="s">
        <v>1400</v>
      </c>
      <c r="C36" s="175" t="s">
        <v>336</v>
      </c>
      <c r="D36" s="177" t="s">
        <v>1475</v>
      </c>
      <c r="E36" s="179">
        <v>2</v>
      </c>
      <c r="F36" s="175" t="s">
        <v>1476</v>
      </c>
      <c r="G36" s="175" t="s">
        <v>1213</v>
      </c>
      <c r="H36" s="181" t="s">
        <v>1025</v>
      </c>
      <c r="I36" s="175" t="s">
        <v>457</v>
      </c>
      <c r="J36" s="6">
        <f>IF(ISERROR(VLOOKUP(A36,'8080 Op to Hex'!$A:$A,1,0)),0,1)</f>
        <v>1</v>
      </c>
      <c r="K36" s="6" cm="1">
        <f t="array" ref="K36">HlpGetInstructionSize(A36,B36,C36)</f>
        <v>1</v>
      </c>
      <c r="L36" s="6">
        <f t="shared" si="0"/>
        <v>1</v>
      </c>
    </row>
    <row r="37" spans="1:12">
      <c r="A37" s="175" t="s">
        <v>392</v>
      </c>
      <c r="B37" s="175" t="s">
        <v>1400</v>
      </c>
      <c r="C37" s="175" t="s">
        <v>811</v>
      </c>
      <c r="D37" s="177" t="s">
        <v>1477</v>
      </c>
      <c r="E37" s="179">
        <v>2</v>
      </c>
      <c r="F37" s="175" t="s">
        <v>1478</v>
      </c>
      <c r="G37" s="175" t="s">
        <v>1213</v>
      </c>
      <c r="H37" s="181" t="s">
        <v>1025</v>
      </c>
      <c r="I37" s="175" t="s">
        <v>889</v>
      </c>
      <c r="J37" s="6">
        <f>IF(ISERROR(VLOOKUP(A37,'8080 Op to Hex'!$A:$A,1,0)),0,1)</f>
        <v>1</v>
      </c>
      <c r="K37" s="6" cm="1">
        <f t="array" ref="K37">HlpGetInstructionSize(A37,B37,C37)</f>
        <v>1</v>
      </c>
      <c r="L37" s="6">
        <f t="shared" si="0"/>
        <v>1</v>
      </c>
    </row>
    <row r="38" spans="1:12">
      <c r="A38" s="175" t="s">
        <v>392</v>
      </c>
      <c r="B38" s="175" t="s">
        <v>1400</v>
      </c>
      <c r="C38" s="175" t="s">
        <v>1400</v>
      </c>
      <c r="D38" s="177" t="s">
        <v>1479</v>
      </c>
      <c r="E38" s="179">
        <v>2</v>
      </c>
      <c r="F38" s="175" t="s">
        <v>1480</v>
      </c>
      <c r="G38" s="175" t="s">
        <v>1213</v>
      </c>
      <c r="H38" s="181" t="s">
        <v>1025</v>
      </c>
      <c r="I38" s="175" t="s">
        <v>898</v>
      </c>
      <c r="J38" s="6">
        <f>IF(ISERROR(VLOOKUP(A38,'8080 Op to Hex'!$A:$A,1,0)),0,1)</f>
        <v>1</v>
      </c>
      <c r="K38" s="6" cm="1">
        <f t="array" ref="K38">HlpGetInstructionSize(A38,B38,C38)</f>
        <v>1</v>
      </c>
      <c r="L38" s="6">
        <f t="shared" si="0"/>
        <v>1</v>
      </c>
    </row>
    <row r="39" spans="1:12">
      <c r="A39" s="175" t="s">
        <v>392</v>
      </c>
      <c r="B39" s="175" t="s">
        <v>1400</v>
      </c>
      <c r="C39" s="175" t="s">
        <v>114</v>
      </c>
      <c r="D39" s="177" t="s">
        <v>1481</v>
      </c>
      <c r="E39" s="179">
        <v>2</v>
      </c>
      <c r="F39" s="175" t="s">
        <v>1482</v>
      </c>
      <c r="G39" s="175" t="s">
        <v>1213</v>
      </c>
      <c r="H39" s="181" t="s">
        <v>1025</v>
      </c>
      <c r="I39" s="175" t="s">
        <v>906</v>
      </c>
      <c r="J39" s="6">
        <f>IF(ISERROR(VLOOKUP(A39,'8080 Op to Hex'!$A:$A,1,0)),0,1)</f>
        <v>1</v>
      </c>
      <c r="K39" s="6" cm="1">
        <f t="array" ref="K39">HlpGetInstructionSize(A39,B39,C39)</f>
        <v>1</v>
      </c>
      <c r="L39" s="6">
        <f t="shared" si="0"/>
        <v>1</v>
      </c>
    </row>
    <row r="40" spans="1:12">
      <c r="A40" s="175" t="s">
        <v>1276</v>
      </c>
      <c r="B40" s="175" t="s">
        <v>146</v>
      </c>
      <c r="C40" s="175" t="s">
        <v>1238</v>
      </c>
      <c r="D40" s="177" t="s">
        <v>713</v>
      </c>
      <c r="E40" s="179">
        <v>1</v>
      </c>
      <c r="F40" s="175" t="s">
        <v>1283</v>
      </c>
      <c r="G40" s="175" t="s">
        <v>1211</v>
      </c>
      <c r="H40" s="181"/>
      <c r="I40" s="175" t="s">
        <v>713</v>
      </c>
      <c r="J40" s="6">
        <f>IF(ISERROR(VLOOKUP(A40,'8080 Op to Hex'!$A:$A,1,0)),0,1)</f>
        <v>0</v>
      </c>
      <c r="K40" s="6" cm="1">
        <f t="array" ref="K40">HlpGetInstructionSize(A40,B40,C40)</f>
        <v>1</v>
      </c>
      <c r="L40" s="6">
        <f t="shared" si="0"/>
        <v>0</v>
      </c>
    </row>
    <row r="41" spans="1:12">
      <c r="A41" s="175" t="s">
        <v>1276</v>
      </c>
      <c r="B41" s="175" t="s">
        <v>146</v>
      </c>
      <c r="C41" s="175" t="s">
        <v>1377</v>
      </c>
      <c r="D41" s="177" t="s">
        <v>1422</v>
      </c>
      <c r="E41" s="179">
        <v>4</v>
      </c>
      <c r="F41" s="175" t="s">
        <v>1423</v>
      </c>
      <c r="G41" s="175" t="s">
        <v>126</v>
      </c>
      <c r="H41" s="181" t="s">
        <v>810</v>
      </c>
      <c r="I41" s="175" t="s">
        <v>713</v>
      </c>
      <c r="J41" s="6">
        <f>IF(ISERROR(VLOOKUP(A41,'8080 Op to Hex'!$A:$A,1,0)),0,1)</f>
        <v>0</v>
      </c>
      <c r="K41" s="6" cm="1">
        <f t="array" ref="K41">HlpGetInstructionSize(A41,B41,C41)</f>
        <v>1</v>
      </c>
      <c r="L41" s="6">
        <f t="shared" si="0"/>
        <v>1</v>
      </c>
    </row>
    <row r="42" spans="1:12">
      <c r="A42" s="175" t="s">
        <v>1276</v>
      </c>
      <c r="B42" s="175" t="s">
        <v>146</v>
      </c>
      <c r="C42" s="175" t="s">
        <v>1380</v>
      </c>
      <c r="D42" s="177" t="s">
        <v>1424</v>
      </c>
      <c r="E42" s="179">
        <v>4</v>
      </c>
      <c r="F42" s="175" t="s">
        <v>1425</v>
      </c>
      <c r="G42" s="175" t="s">
        <v>126</v>
      </c>
      <c r="H42" s="181" t="s">
        <v>1025</v>
      </c>
      <c r="I42" s="175" t="s">
        <v>713</v>
      </c>
      <c r="J42" s="6">
        <f>IF(ISERROR(VLOOKUP(A42,'8080 Op to Hex'!$A:$A,1,0)),0,1)</f>
        <v>0</v>
      </c>
      <c r="K42" s="6" cm="1">
        <f t="array" ref="K42">HlpGetInstructionSize(A42,B42,C42)</f>
        <v>1</v>
      </c>
      <c r="L42" s="6">
        <f t="shared" si="0"/>
        <v>1</v>
      </c>
    </row>
    <row r="43" spans="1:12">
      <c r="A43" s="175" t="s">
        <v>1276</v>
      </c>
      <c r="B43" s="175" t="s">
        <v>146</v>
      </c>
      <c r="C43" s="175" t="s">
        <v>146</v>
      </c>
      <c r="D43" s="177" t="s">
        <v>715</v>
      </c>
      <c r="E43" s="179">
        <v>1</v>
      </c>
      <c r="F43" s="175" t="s">
        <v>1284</v>
      </c>
      <c r="G43" s="175" t="s">
        <v>172</v>
      </c>
      <c r="H43" s="181"/>
      <c r="I43" s="175" t="s">
        <v>715</v>
      </c>
      <c r="J43" s="6">
        <f>IF(ISERROR(VLOOKUP(A43,'8080 Op to Hex'!$A:$A,1,0)),0,1)</f>
        <v>0</v>
      </c>
      <c r="K43" s="6" cm="1">
        <f t="array" ref="K43">HlpGetInstructionSize(A43,B43,C43)</f>
        <v>1</v>
      </c>
      <c r="L43" s="6">
        <f t="shared" si="0"/>
        <v>0</v>
      </c>
    </row>
    <row r="44" spans="1:12">
      <c r="A44" s="175" t="s">
        <v>1276</v>
      </c>
      <c r="B44" s="175" t="s">
        <v>146</v>
      </c>
      <c r="C44" s="175" t="s">
        <v>144</v>
      </c>
      <c r="D44" s="177" t="s">
        <v>701</v>
      </c>
      <c r="E44" s="179">
        <v>1</v>
      </c>
      <c r="F44" s="175" t="s">
        <v>1277</v>
      </c>
      <c r="G44" s="175" t="s">
        <v>172</v>
      </c>
      <c r="H44" s="181"/>
      <c r="I44" s="175" t="s">
        <v>701</v>
      </c>
      <c r="J44" s="6">
        <f>IF(ISERROR(VLOOKUP(A44,'8080 Op to Hex'!$A:$A,1,0)),0,1)</f>
        <v>0</v>
      </c>
      <c r="K44" s="6" cm="1">
        <f t="array" ref="K44">HlpGetInstructionSize(A44,B44,C44)</f>
        <v>1</v>
      </c>
      <c r="L44" s="6">
        <f t="shared" si="0"/>
        <v>0</v>
      </c>
    </row>
    <row r="45" spans="1:12">
      <c r="A45" s="175" t="s">
        <v>1276</v>
      </c>
      <c r="B45" s="175" t="s">
        <v>146</v>
      </c>
      <c r="C45" s="175" t="s">
        <v>182</v>
      </c>
      <c r="D45" s="177" t="s">
        <v>703</v>
      </c>
      <c r="E45" s="179">
        <v>1</v>
      </c>
      <c r="F45" s="175" t="s">
        <v>1278</v>
      </c>
      <c r="G45" s="175" t="s">
        <v>172</v>
      </c>
      <c r="H45" s="181"/>
      <c r="I45" s="175" t="s">
        <v>703</v>
      </c>
      <c r="J45" s="6">
        <f>IF(ISERROR(VLOOKUP(A45,'8080 Op to Hex'!$A:$A,1,0)),0,1)</f>
        <v>0</v>
      </c>
      <c r="K45" s="6" cm="1">
        <f t="array" ref="K45">HlpGetInstructionSize(A45,B45,C45)</f>
        <v>1</v>
      </c>
      <c r="L45" s="6">
        <f t="shared" si="0"/>
        <v>0</v>
      </c>
    </row>
    <row r="46" spans="1:12">
      <c r="A46" s="175" t="s">
        <v>1276</v>
      </c>
      <c r="B46" s="175" t="s">
        <v>146</v>
      </c>
      <c r="C46" s="175" t="s">
        <v>183</v>
      </c>
      <c r="D46" s="177" t="s">
        <v>705</v>
      </c>
      <c r="E46" s="179">
        <v>1</v>
      </c>
      <c r="F46" s="175" t="s">
        <v>1279</v>
      </c>
      <c r="G46" s="175" t="s">
        <v>172</v>
      </c>
      <c r="H46" s="181"/>
      <c r="I46" s="175" t="s">
        <v>705</v>
      </c>
      <c r="J46" s="6">
        <f>IF(ISERROR(VLOOKUP(A46,'8080 Op to Hex'!$A:$A,1,0)),0,1)</f>
        <v>0</v>
      </c>
      <c r="K46" s="6" cm="1">
        <f t="array" ref="K46">HlpGetInstructionSize(A46,B46,C46)</f>
        <v>1</v>
      </c>
      <c r="L46" s="6">
        <f t="shared" si="0"/>
        <v>0</v>
      </c>
    </row>
    <row r="47" spans="1:12">
      <c r="A47" s="175" t="s">
        <v>1276</v>
      </c>
      <c r="B47" s="175" t="s">
        <v>146</v>
      </c>
      <c r="C47" s="175" t="s">
        <v>265</v>
      </c>
      <c r="D47" s="177" t="s">
        <v>707</v>
      </c>
      <c r="E47" s="179">
        <v>1</v>
      </c>
      <c r="F47" s="175" t="s">
        <v>1280</v>
      </c>
      <c r="G47" s="175" t="s">
        <v>172</v>
      </c>
      <c r="H47" s="181"/>
      <c r="I47" s="175" t="s">
        <v>707</v>
      </c>
      <c r="J47" s="6">
        <f>IF(ISERROR(VLOOKUP(A47,'8080 Op to Hex'!$A:$A,1,0)),0,1)</f>
        <v>0</v>
      </c>
      <c r="K47" s="6" cm="1">
        <f t="array" ref="K47">HlpGetInstructionSize(A47,B47,C47)</f>
        <v>1</v>
      </c>
      <c r="L47" s="6">
        <f t="shared" si="0"/>
        <v>0</v>
      </c>
    </row>
    <row r="48" spans="1:12">
      <c r="A48" s="175" t="s">
        <v>1276</v>
      </c>
      <c r="B48" s="175" t="s">
        <v>146</v>
      </c>
      <c r="C48" s="175" t="s">
        <v>303</v>
      </c>
      <c r="D48" s="177" t="s">
        <v>709</v>
      </c>
      <c r="E48" s="179">
        <v>1</v>
      </c>
      <c r="F48" s="175" t="s">
        <v>1281</v>
      </c>
      <c r="G48" s="175" t="s">
        <v>172</v>
      </c>
      <c r="H48" s="181"/>
      <c r="I48" s="175" t="s">
        <v>709</v>
      </c>
      <c r="J48" s="6">
        <f>IF(ISERROR(VLOOKUP(A48,'8080 Op to Hex'!$A:$A,1,0)),0,1)</f>
        <v>0</v>
      </c>
      <c r="K48" s="6" cm="1">
        <f t="array" ref="K48">HlpGetInstructionSize(A48,B48,C48)</f>
        <v>1</v>
      </c>
      <c r="L48" s="6">
        <f t="shared" si="0"/>
        <v>0</v>
      </c>
    </row>
    <row r="49" spans="1:12">
      <c r="A49" s="175" t="s">
        <v>1276</v>
      </c>
      <c r="B49" s="175" t="s">
        <v>146</v>
      </c>
      <c r="C49" s="175" t="s">
        <v>327</v>
      </c>
      <c r="D49" s="177" t="s">
        <v>711</v>
      </c>
      <c r="E49" s="179">
        <v>1</v>
      </c>
      <c r="F49" s="175" t="s">
        <v>1282</v>
      </c>
      <c r="G49" s="175" t="s">
        <v>172</v>
      </c>
      <c r="H49" s="181"/>
      <c r="I49" s="175" t="s">
        <v>711</v>
      </c>
      <c r="J49" s="6">
        <f>IF(ISERROR(VLOOKUP(A49,'8080 Op to Hex'!$A:$A,1,0)),0,1)</f>
        <v>0</v>
      </c>
      <c r="K49" s="6" cm="1">
        <f t="array" ref="K49">HlpGetInstructionSize(A49,B49,C49)</f>
        <v>1</v>
      </c>
      <c r="L49" s="6">
        <f t="shared" si="0"/>
        <v>0</v>
      </c>
    </row>
    <row r="50" spans="1:12">
      <c r="A50" s="175" t="s">
        <v>1276</v>
      </c>
      <c r="B50" s="175" t="s">
        <v>146</v>
      </c>
      <c r="C50" s="175" t="s">
        <v>1452</v>
      </c>
      <c r="D50" s="177" t="s">
        <v>827</v>
      </c>
      <c r="E50" s="179">
        <v>2</v>
      </c>
      <c r="F50" s="175" t="s">
        <v>1324</v>
      </c>
      <c r="G50" s="175" t="s">
        <v>172</v>
      </c>
      <c r="H50" s="181"/>
      <c r="I50" s="175" t="s">
        <v>827</v>
      </c>
      <c r="J50" s="6">
        <f>IF(ISERROR(VLOOKUP(A50,'8080 Op to Hex'!$A:$A,1,0)),0,1)</f>
        <v>0</v>
      </c>
      <c r="K50" s="6" cm="1">
        <f t="array" ref="K50">HlpGetInstructionSize(A50,B50,C50)</f>
        <v>1</v>
      </c>
      <c r="L50" s="6">
        <f t="shared" si="0"/>
        <v>1</v>
      </c>
    </row>
    <row r="51" spans="1:12">
      <c r="A51" s="175" t="s">
        <v>1143</v>
      </c>
      <c r="B51" s="175" t="s">
        <v>209</v>
      </c>
      <c r="C51" s="175" t="s">
        <v>1238</v>
      </c>
      <c r="D51" s="177" t="s">
        <v>1483</v>
      </c>
      <c r="E51" s="179">
        <v>2</v>
      </c>
      <c r="F51" s="175" t="s">
        <v>1343</v>
      </c>
      <c r="G51" s="175" t="s">
        <v>118</v>
      </c>
      <c r="H51" s="181" t="s">
        <v>776</v>
      </c>
      <c r="I51" s="175" t="s">
        <v>912</v>
      </c>
      <c r="J51" s="6">
        <f>IF(ISERROR(VLOOKUP(A51,'8080 Op to Hex'!$A:$A,1,0)),0,1)</f>
        <v>0</v>
      </c>
      <c r="K51" s="6" t="e" cm="1">
        <f t="array" ref="K51">HlpGetInstructionSize(A51,B51,C51)</f>
        <v>#VALUE!</v>
      </c>
      <c r="L51" s="6" t="e">
        <f t="shared" si="0"/>
        <v>#VALUE!</v>
      </c>
    </row>
    <row r="52" spans="1:12">
      <c r="A52" s="175" t="s">
        <v>1143</v>
      </c>
      <c r="B52" s="175" t="s">
        <v>209</v>
      </c>
      <c r="C52" s="175" t="s">
        <v>146</v>
      </c>
      <c r="D52" s="177" t="s">
        <v>1484</v>
      </c>
      <c r="E52" s="179">
        <v>2</v>
      </c>
      <c r="F52" s="175" t="s">
        <v>1351</v>
      </c>
      <c r="G52" s="175" t="s">
        <v>118</v>
      </c>
      <c r="H52" s="181" t="s">
        <v>776</v>
      </c>
      <c r="I52" s="175" t="s">
        <v>913</v>
      </c>
      <c r="J52" s="6">
        <f>IF(ISERROR(VLOOKUP(A52,'8080 Op to Hex'!$A:$A,1,0)),0,1)</f>
        <v>0</v>
      </c>
      <c r="K52" s="6" t="e" cm="1">
        <f t="array" ref="K52">HlpGetInstructionSize(A52,B52,C52)</f>
        <v>#VALUE!</v>
      </c>
      <c r="L52" s="6" t="e">
        <f t="shared" si="0"/>
        <v>#VALUE!</v>
      </c>
    </row>
    <row r="53" spans="1:12">
      <c r="A53" s="175" t="s">
        <v>1143</v>
      </c>
      <c r="B53" s="175" t="s">
        <v>209</v>
      </c>
      <c r="C53" s="175" t="s">
        <v>144</v>
      </c>
      <c r="D53" s="177" t="s">
        <v>1485</v>
      </c>
      <c r="E53" s="179">
        <v>2</v>
      </c>
      <c r="F53" s="175" t="s">
        <v>1486</v>
      </c>
      <c r="G53" s="175" t="s">
        <v>118</v>
      </c>
      <c r="H53" s="181" t="s">
        <v>776</v>
      </c>
      <c r="I53" s="175" t="s">
        <v>907</v>
      </c>
      <c r="J53" s="6">
        <f>IF(ISERROR(VLOOKUP(A53,'8080 Op to Hex'!$A:$A,1,0)),0,1)</f>
        <v>0</v>
      </c>
      <c r="K53" s="6" t="e" cm="1">
        <f t="array" ref="K53">HlpGetInstructionSize(A53,B53,C53)</f>
        <v>#VALUE!</v>
      </c>
      <c r="L53" s="6" t="e">
        <f t="shared" si="0"/>
        <v>#VALUE!</v>
      </c>
    </row>
    <row r="54" spans="1:12">
      <c r="A54" s="175" t="s">
        <v>1143</v>
      </c>
      <c r="B54" s="175" t="s">
        <v>209</v>
      </c>
      <c r="C54" s="175" t="s">
        <v>182</v>
      </c>
      <c r="D54" s="177" t="s">
        <v>1487</v>
      </c>
      <c r="E54" s="179">
        <v>2</v>
      </c>
      <c r="F54" s="175" t="s">
        <v>1488</v>
      </c>
      <c r="G54" s="175" t="s">
        <v>118</v>
      </c>
      <c r="H54" s="181" t="s">
        <v>776</v>
      </c>
      <c r="I54" s="175" t="s">
        <v>908</v>
      </c>
      <c r="J54" s="6">
        <f>IF(ISERROR(VLOOKUP(A54,'8080 Op to Hex'!$A:$A,1,0)),0,1)</f>
        <v>0</v>
      </c>
      <c r="K54" s="6" t="e" cm="1">
        <f t="array" ref="K54">HlpGetInstructionSize(A54,B54,C54)</f>
        <v>#VALUE!</v>
      </c>
      <c r="L54" s="6" t="e">
        <f t="shared" si="0"/>
        <v>#VALUE!</v>
      </c>
    </row>
    <row r="55" spans="1:12">
      <c r="A55" s="175" t="s">
        <v>1143</v>
      </c>
      <c r="B55" s="175" t="s">
        <v>209</v>
      </c>
      <c r="C55" s="175" t="s">
        <v>183</v>
      </c>
      <c r="D55" s="177" t="s">
        <v>1489</v>
      </c>
      <c r="E55" s="179">
        <v>2</v>
      </c>
      <c r="F55" s="175" t="s">
        <v>1490</v>
      </c>
      <c r="G55" s="175" t="s">
        <v>118</v>
      </c>
      <c r="H55" s="181" t="s">
        <v>776</v>
      </c>
      <c r="I55" s="175" t="s">
        <v>482</v>
      </c>
      <c r="J55" s="6">
        <f>IF(ISERROR(VLOOKUP(A55,'8080 Op to Hex'!$A:$A,1,0)),0,1)</f>
        <v>0</v>
      </c>
      <c r="K55" s="6" t="e" cm="1">
        <f t="array" ref="K55">HlpGetInstructionSize(A55,B55,C55)</f>
        <v>#VALUE!</v>
      </c>
      <c r="L55" s="6" t="e">
        <f t="shared" si="0"/>
        <v>#VALUE!</v>
      </c>
    </row>
    <row r="56" spans="1:12">
      <c r="A56" s="175" t="s">
        <v>1143</v>
      </c>
      <c r="B56" s="175" t="s">
        <v>209</v>
      </c>
      <c r="C56" s="175" t="s">
        <v>265</v>
      </c>
      <c r="D56" s="177" t="s">
        <v>1491</v>
      </c>
      <c r="E56" s="179">
        <v>2</v>
      </c>
      <c r="F56" s="175" t="s">
        <v>1492</v>
      </c>
      <c r="G56" s="175" t="s">
        <v>118</v>
      </c>
      <c r="H56" s="181" t="s">
        <v>776</v>
      </c>
      <c r="I56" s="175" t="s">
        <v>909</v>
      </c>
      <c r="J56" s="6">
        <f>IF(ISERROR(VLOOKUP(A56,'8080 Op to Hex'!$A:$A,1,0)),0,1)</f>
        <v>0</v>
      </c>
      <c r="K56" s="6" t="e" cm="1">
        <f t="array" ref="K56">HlpGetInstructionSize(A56,B56,C56)</f>
        <v>#VALUE!</v>
      </c>
      <c r="L56" s="6" t="e">
        <f t="shared" si="0"/>
        <v>#VALUE!</v>
      </c>
    </row>
    <row r="57" spans="1:12">
      <c r="A57" s="175" t="s">
        <v>1143</v>
      </c>
      <c r="B57" s="175" t="s">
        <v>209</v>
      </c>
      <c r="C57" s="175" t="s">
        <v>303</v>
      </c>
      <c r="D57" s="177" t="s">
        <v>1493</v>
      </c>
      <c r="E57" s="179">
        <v>2</v>
      </c>
      <c r="F57" s="175" t="s">
        <v>1494</v>
      </c>
      <c r="G57" s="175" t="s">
        <v>118</v>
      </c>
      <c r="H57" s="181" t="s">
        <v>776</v>
      </c>
      <c r="I57" s="175" t="s">
        <v>910</v>
      </c>
      <c r="J57" s="6">
        <f>IF(ISERROR(VLOOKUP(A57,'8080 Op to Hex'!$A:$A,1,0)),0,1)</f>
        <v>0</v>
      </c>
      <c r="K57" s="6" t="e" cm="1">
        <f t="array" ref="K57">HlpGetInstructionSize(A57,B57,C57)</f>
        <v>#VALUE!</v>
      </c>
      <c r="L57" s="6" t="e">
        <f t="shared" si="0"/>
        <v>#VALUE!</v>
      </c>
    </row>
    <row r="58" spans="1:12">
      <c r="A58" s="175" t="s">
        <v>1143</v>
      </c>
      <c r="B58" s="175" t="s">
        <v>209</v>
      </c>
      <c r="C58" s="175" t="s">
        <v>327</v>
      </c>
      <c r="D58" s="177" t="s">
        <v>1495</v>
      </c>
      <c r="E58" s="179">
        <v>2</v>
      </c>
      <c r="F58" s="175" t="s">
        <v>1496</v>
      </c>
      <c r="G58" s="175" t="s">
        <v>118</v>
      </c>
      <c r="H58" s="181" t="s">
        <v>776</v>
      </c>
      <c r="I58" s="175" t="s">
        <v>911</v>
      </c>
      <c r="J58" s="6">
        <f>IF(ISERROR(VLOOKUP(A58,'8080 Op to Hex'!$A:$A,1,0)),0,1)</f>
        <v>0</v>
      </c>
      <c r="K58" s="6" t="e" cm="1">
        <f t="array" ref="K58">HlpGetInstructionSize(A58,B58,C58)</f>
        <v>#VALUE!</v>
      </c>
      <c r="L58" s="6" t="e">
        <f t="shared" si="0"/>
        <v>#VALUE!</v>
      </c>
    </row>
    <row r="59" spans="1:12">
      <c r="A59" s="175" t="s">
        <v>1143</v>
      </c>
      <c r="B59" s="175" t="s">
        <v>210</v>
      </c>
      <c r="C59" s="175" t="s">
        <v>1238</v>
      </c>
      <c r="D59" s="177" t="s">
        <v>1497</v>
      </c>
      <c r="E59" s="179">
        <v>2</v>
      </c>
      <c r="F59" s="175" t="s">
        <v>1344</v>
      </c>
      <c r="G59" s="175" t="s">
        <v>118</v>
      </c>
      <c r="H59" s="181" t="s">
        <v>776</v>
      </c>
      <c r="I59" s="175" t="s">
        <v>590</v>
      </c>
      <c r="J59" s="6">
        <f>IF(ISERROR(VLOOKUP(A59,'8080 Op to Hex'!$A:$A,1,0)),0,1)</f>
        <v>0</v>
      </c>
      <c r="K59" s="6" t="e" cm="1">
        <f t="array" ref="K59">HlpGetInstructionSize(A59,B59,C59)</f>
        <v>#VALUE!</v>
      </c>
      <c r="L59" s="6" t="e">
        <f t="shared" si="0"/>
        <v>#VALUE!</v>
      </c>
    </row>
    <row r="60" spans="1:12">
      <c r="A60" s="175" t="s">
        <v>1143</v>
      </c>
      <c r="B60" s="175" t="s">
        <v>210</v>
      </c>
      <c r="C60" s="175" t="s">
        <v>146</v>
      </c>
      <c r="D60" s="177" t="s">
        <v>1498</v>
      </c>
      <c r="E60" s="179">
        <v>2</v>
      </c>
      <c r="F60" s="175" t="s">
        <v>1352</v>
      </c>
      <c r="G60" s="175" t="s">
        <v>118</v>
      </c>
      <c r="H60" s="181" t="s">
        <v>776</v>
      </c>
      <c r="I60" s="175" t="s">
        <v>592</v>
      </c>
      <c r="J60" s="6">
        <f>IF(ISERROR(VLOOKUP(A60,'8080 Op to Hex'!$A:$A,1,0)),0,1)</f>
        <v>0</v>
      </c>
      <c r="K60" s="6" t="e" cm="1">
        <f t="array" ref="K60">HlpGetInstructionSize(A60,B60,C60)</f>
        <v>#VALUE!</v>
      </c>
      <c r="L60" s="6" t="e">
        <f t="shared" si="0"/>
        <v>#VALUE!</v>
      </c>
    </row>
    <row r="61" spans="1:12">
      <c r="A61" s="175" t="s">
        <v>1143</v>
      </c>
      <c r="B61" s="175" t="s">
        <v>210</v>
      </c>
      <c r="C61" s="175" t="s">
        <v>144</v>
      </c>
      <c r="D61" s="177" t="s">
        <v>1499</v>
      </c>
      <c r="E61" s="179">
        <v>2</v>
      </c>
      <c r="F61" s="175" t="s">
        <v>1500</v>
      </c>
      <c r="G61" s="175" t="s">
        <v>118</v>
      </c>
      <c r="H61" s="181" t="s">
        <v>776</v>
      </c>
      <c r="I61" s="175" t="s">
        <v>914</v>
      </c>
      <c r="J61" s="6">
        <f>IF(ISERROR(VLOOKUP(A61,'8080 Op to Hex'!$A:$A,1,0)),0,1)</f>
        <v>0</v>
      </c>
      <c r="K61" s="6" t="e" cm="1">
        <f t="array" ref="K61">HlpGetInstructionSize(A61,B61,C61)</f>
        <v>#VALUE!</v>
      </c>
      <c r="L61" s="6" t="e">
        <f t="shared" si="0"/>
        <v>#VALUE!</v>
      </c>
    </row>
    <row r="62" spans="1:12">
      <c r="A62" s="175" t="s">
        <v>1143</v>
      </c>
      <c r="B62" s="175" t="s">
        <v>210</v>
      </c>
      <c r="C62" s="175" t="s">
        <v>182</v>
      </c>
      <c r="D62" s="177" t="s">
        <v>1501</v>
      </c>
      <c r="E62" s="179">
        <v>2</v>
      </c>
      <c r="F62" s="175" t="s">
        <v>1502</v>
      </c>
      <c r="G62" s="175" t="s">
        <v>118</v>
      </c>
      <c r="H62" s="181" t="s">
        <v>776</v>
      </c>
      <c r="I62" s="175" t="s">
        <v>915</v>
      </c>
      <c r="J62" s="6">
        <f>IF(ISERROR(VLOOKUP(A62,'8080 Op to Hex'!$A:$A,1,0)),0,1)</f>
        <v>0</v>
      </c>
      <c r="K62" s="6" t="e" cm="1">
        <f t="array" ref="K62">HlpGetInstructionSize(A62,B62,C62)</f>
        <v>#VALUE!</v>
      </c>
      <c r="L62" s="6" t="e">
        <f t="shared" si="0"/>
        <v>#VALUE!</v>
      </c>
    </row>
    <row r="63" spans="1:12">
      <c r="A63" s="175" t="s">
        <v>1143</v>
      </c>
      <c r="B63" s="175" t="s">
        <v>210</v>
      </c>
      <c r="C63" s="175" t="s">
        <v>183</v>
      </c>
      <c r="D63" s="177" t="s">
        <v>1503</v>
      </c>
      <c r="E63" s="179">
        <v>2</v>
      </c>
      <c r="F63" s="175" t="s">
        <v>1504</v>
      </c>
      <c r="G63" s="175" t="s">
        <v>118</v>
      </c>
      <c r="H63" s="181" t="s">
        <v>776</v>
      </c>
      <c r="I63" s="175" t="s">
        <v>582</v>
      </c>
      <c r="J63" s="6">
        <f>IF(ISERROR(VLOOKUP(A63,'8080 Op to Hex'!$A:$A,1,0)),0,1)</f>
        <v>0</v>
      </c>
      <c r="K63" s="6" t="e" cm="1">
        <f t="array" ref="K63">HlpGetInstructionSize(A63,B63,C63)</f>
        <v>#VALUE!</v>
      </c>
      <c r="L63" s="6" t="e">
        <f t="shared" si="0"/>
        <v>#VALUE!</v>
      </c>
    </row>
    <row r="64" spans="1:12">
      <c r="A64" s="175" t="s">
        <v>1143</v>
      </c>
      <c r="B64" s="175" t="s">
        <v>210</v>
      </c>
      <c r="C64" s="175" t="s">
        <v>265</v>
      </c>
      <c r="D64" s="177" t="s">
        <v>1505</v>
      </c>
      <c r="E64" s="179">
        <v>2</v>
      </c>
      <c r="F64" s="175" t="s">
        <v>1506</v>
      </c>
      <c r="G64" s="175" t="s">
        <v>118</v>
      </c>
      <c r="H64" s="181" t="s">
        <v>776</v>
      </c>
      <c r="I64" s="175" t="s">
        <v>584</v>
      </c>
      <c r="J64" s="6">
        <f>IF(ISERROR(VLOOKUP(A64,'8080 Op to Hex'!$A:$A,1,0)),0,1)</f>
        <v>0</v>
      </c>
      <c r="K64" s="6" t="e" cm="1">
        <f t="array" ref="K64">HlpGetInstructionSize(A64,B64,C64)</f>
        <v>#VALUE!</v>
      </c>
      <c r="L64" s="6" t="e">
        <f t="shared" si="0"/>
        <v>#VALUE!</v>
      </c>
    </row>
    <row r="65" spans="1:12">
      <c r="A65" s="175" t="s">
        <v>1143</v>
      </c>
      <c r="B65" s="175" t="s">
        <v>210</v>
      </c>
      <c r="C65" s="175" t="s">
        <v>303</v>
      </c>
      <c r="D65" s="177" t="s">
        <v>1507</v>
      </c>
      <c r="E65" s="179">
        <v>2</v>
      </c>
      <c r="F65" s="175" t="s">
        <v>1508</v>
      </c>
      <c r="G65" s="175" t="s">
        <v>118</v>
      </c>
      <c r="H65" s="181" t="s">
        <v>776</v>
      </c>
      <c r="I65" s="175" t="s">
        <v>586</v>
      </c>
      <c r="J65" s="6">
        <f>IF(ISERROR(VLOOKUP(A65,'8080 Op to Hex'!$A:$A,1,0)),0,1)</f>
        <v>0</v>
      </c>
      <c r="K65" s="6" t="e" cm="1">
        <f t="array" ref="K65">HlpGetInstructionSize(A65,B65,C65)</f>
        <v>#VALUE!</v>
      </c>
      <c r="L65" s="6" t="e">
        <f t="shared" si="0"/>
        <v>#VALUE!</v>
      </c>
    </row>
    <row r="66" spans="1:12">
      <c r="A66" s="175" t="s">
        <v>1143</v>
      </c>
      <c r="B66" s="175" t="s">
        <v>210</v>
      </c>
      <c r="C66" s="175" t="s">
        <v>327</v>
      </c>
      <c r="D66" s="177" t="s">
        <v>1509</v>
      </c>
      <c r="E66" s="179">
        <v>2</v>
      </c>
      <c r="F66" s="175" t="s">
        <v>1510</v>
      </c>
      <c r="G66" s="175" t="s">
        <v>118</v>
      </c>
      <c r="H66" s="181" t="s">
        <v>776</v>
      </c>
      <c r="I66" s="175" t="s">
        <v>588</v>
      </c>
      <c r="J66" s="6">
        <f>IF(ISERROR(VLOOKUP(A66,'8080 Op to Hex'!$A:$A,1,0)),0,1)</f>
        <v>0</v>
      </c>
      <c r="K66" s="6" t="e" cm="1">
        <f t="array" ref="K66">HlpGetInstructionSize(A66,B66,C66)</f>
        <v>#VALUE!</v>
      </c>
      <c r="L66" s="6" t="e">
        <f t="shared" ref="L66:L129" si="1">IF(E66&lt;&gt;K66,1,0)</f>
        <v>#VALUE!</v>
      </c>
    </row>
    <row r="67" spans="1:12">
      <c r="A67" s="175" t="s">
        <v>1143</v>
      </c>
      <c r="B67" s="175" t="s">
        <v>234</v>
      </c>
      <c r="C67" s="175" t="s">
        <v>1238</v>
      </c>
      <c r="D67" s="177" t="s">
        <v>1511</v>
      </c>
      <c r="E67" s="179">
        <v>2</v>
      </c>
      <c r="F67" s="175" t="s">
        <v>1345</v>
      </c>
      <c r="G67" s="175" t="s">
        <v>118</v>
      </c>
      <c r="H67" s="181" t="s">
        <v>776</v>
      </c>
      <c r="I67" s="175" t="s">
        <v>921</v>
      </c>
      <c r="J67" s="6">
        <f>IF(ISERROR(VLOOKUP(A67,'8080 Op to Hex'!$A:$A,1,0)),0,1)</f>
        <v>0</v>
      </c>
      <c r="K67" s="6" t="e" cm="1">
        <f t="array" ref="K67">HlpGetInstructionSize(A67,B67,C67)</f>
        <v>#VALUE!</v>
      </c>
      <c r="L67" s="6" t="e">
        <f t="shared" si="1"/>
        <v>#VALUE!</v>
      </c>
    </row>
    <row r="68" spans="1:12">
      <c r="A68" s="175" t="s">
        <v>1143</v>
      </c>
      <c r="B68" s="175" t="s">
        <v>234</v>
      </c>
      <c r="C68" s="175" t="s">
        <v>146</v>
      </c>
      <c r="D68" s="177" t="s">
        <v>1512</v>
      </c>
      <c r="E68" s="179">
        <v>2</v>
      </c>
      <c r="F68" s="175" t="s">
        <v>1353</v>
      </c>
      <c r="G68" s="175" t="s">
        <v>118</v>
      </c>
      <c r="H68" s="181" t="s">
        <v>776</v>
      </c>
      <c r="I68" s="175" t="s">
        <v>922</v>
      </c>
      <c r="J68" s="6">
        <f>IF(ISERROR(VLOOKUP(A68,'8080 Op to Hex'!$A:$A,1,0)),0,1)</f>
        <v>0</v>
      </c>
      <c r="K68" s="6" t="e" cm="1">
        <f t="array" ref="K68">HlpGetInstructionSize(A68,B68,C68)</f>
        <v>#VALUE!</v>
      </c>
      <c r="L68" s="6" t="e">
        <f t="shared" si="1"/>
        <v>#VALUE!</v>
      </c>
    </row>
    <row r="69" spans="1:12">
      <c r="A69" s="175" t="s">
        <v>1143</v>
      </c>
      <c r="B69" s="175" t="s">
        <v>234</v>
      </c>
      <c r="C69" s="175" t="s">
        <v>144</v>
      </c>
      <c r="D69" s="177" t="s">
        <v>1513</v>
      </c>
      <c r="E69" s="179">
        <v>2</v>
      </c>
      <c r="F69" s="175" t="s">
        <v>1514</v>
      </c>
      <c r="G69" s="175" t="s">
        <v>118</v>
      </c>
      <c r="H69" s="181" t="s">
        <v>776</v>
      </c>
      <c r="I69" s="175" t="s">
        <v>916</v>
      </c>
      <c r="J69" s="6">
        <f>IF(ISERROR(VLOOKUP(A69,'8080 Op to Hex'!$A:$A,1,0)),0,1)</f>
        <v>0</v>
      </c>
      <c r="K69" s="6" t="e" cm="1">
        <f t="array" ref="K69">HlpGetInstructionSize(A69,B69,C69)</f>
        <v>#VALUE!</v>
      </c>
      <c r="L69" s="6" t="e">
        <f t="shared" si="1"/>
        <v>#VALUE!</v>
      </c>
    </row>
    <row r="70" spans="1:12">
      <c r="A70" s="175" t="s">
        <v>1143</v>
      </c>
      <c r="B70" s="175" t="s">
        <v>234</v>
      </c>
      <c r="C70" s="175" t="s">
        <v>182</v>
      </c>
      <c r="D70" s="177" t="s">
        <v>1515</v>
      </c>
      <c r="E70" s="179">
        <v>2</v>
      </c>
      <c r="F70" s="175" t="s">
        <v>1516</v>
      </c>
      <c r="G70" s="175" t="s">
        <v>118</v>
      </c>
      <c r="H70" s="181" t="s">
        <v>776</v>
      </c>
      <c r="I70" s="175" t="s">
        <v>917</v>
      </c>
      <c r="J70" s="6">
        <f>IF(ISERROR(VLOOKUP(A70,'8080 Op to Hex'!$A:$A,1,0)),0,1)</f>
        <v>0</v>
      </c>
      <c r="K70" s="6" t="e" cm="1">
        <f t="array" ref="K70">HlpGetInstructionSize(A70,B70,C70)</f>
        <v>#VALUE!</v>
      </c>
      <c r="L70" s="6" t="e">
        <f t="shared" si="1"/>
        <v>#VALUE!</v>
      </c>
    </row>
    <row r="71" spans="1:12">
      <c r="A71" s="175" t="s">
        <v>1143</v>
      </c>
      <c r="B71" s="175" t="s">
        <v>234</v>
      </c>
      <c r="C71" s="175" t="s">
        <v>183</v>
      </c>
      <c r="D71" s="177" t="s">
        <v>1517</v>
      </c>
      <c r="E71" s="179">
        <v>2</v>
      </c>
      <c r="F71" s="175" t="s">
        <v>1518</v>
      </c>
      <c r="G71" s="175" t="s">
        <v>118</v>
      </c>
      <c r="H71" s="181" t="s">
        <v>776</v>
      </c>
      <c r="I71" s="175" t="s">
        <v>918</v>
      </c>
      <c r="J71" s="6">
        <f>IF(ISERROR(VLOOKUP(A71,'8080 Op to Hex'!$A:$A,1,0)),0,1)</f>
        <v>0</v>
      </c>
      <c r="K71" s="6" t="e" cm="1">
        <f t="array" ref="K71">HlpGetInstructionSize(A71,B71,C71)</f>
        <v>#VALUE!</v>
      </c>
      <c r="L71" s="6" t="e">
        <f t="shared" si="1"/>
        <v>#VALUE!</v>
      </c>
    </row>
    <row r="72" spans="1:12">
      <c r="A72" s="175" t="s">
        <v>1143</v>
      </c>
      <c r="B72" s="175" t="s">
        <v>234</v>
      </c>
      <c r="C72" s="175" t="s">
        <v>265</v>
      </c>
      <c r="D72" s="177" t="s">
        <v>1519</v>
      </c>
      <c r="E72" s="179">
        <v>2</v>
      </c>
      <c r="F72" s="175" t="s">
        <v>1520</v>
      </c>
      <c r="G72" s="175" t="s">
        <v>118</v>
      </c>
      <c r="H72" s="181" t="s">
        <v>776</v>
      </c>
      <c r="I72" s="175" t="s">
        <v>919</v>
      </c>
      <c r="J72" s="6">
        <f>IF(ISERROR(VLOOKUP(A72,'8080 Op to Hex'!$A:$A,1,0)),0,1)</f>
        <v>0</v>
      </c>
      <c r="K72" s="6" t="e" cm="1">
        <f t="array" ref="K72">HlpGetInstructionSize(A72,B72,C72)</f>
        <v>#VALUE!</v>
      </c>
      <c r="L72" s="6" t="e">
        <f t="shared" si="1"/>
        <v>#VALUE!</v>
      </c>
    </row>
    <row r="73" spans="1:12">
      <c r="A73" s="175" t="s">
        <v>1143</v>
      </c>
      <c r="B73" s="175" t="s">
        <v>234</v>
      </c>
      <c r="C73" s="175" t="s">
        <v>303</v>
      </c>
      <c r="D73" s="177" t="s">
        <v>1521</v>
      </c>
      <c r="E73" s="179">
        <v>2</v>
      </c>
      <c r="F73" s="175" t="s">
        <v>1522</v>
      </c>
      <c r="G73" s="175" t="s">
        <v>118</v>
      </c>
      <c r="H73" s="181" t="s">
        <v>776</v>
      </c>
      <c r="I73" s="175" t="s">
        <v>920</v>
      </c>
      <c r="J73" s="6">
        <f>IF(ISERROR(VLOOKUP(A73,'8080 Op to Hex'!$A:$A,1,0)),0,1)</f>
        <v>0</v>
      </c>
      <c r="K73" s="6" t="e" cm="1">
        <f t="array" ref="K73">HlpGetInstructionSize(A73,B73,C73)</f>
        <v>#VALUE!</v>
      </c>
      <c r="L73" s="6" t="e">
        <f t="shared" si="1"/>
        <v>#VALUE!</v>
      </c>
    </row>
    <row r="74" spans="1:12">
      <c r="A74" s="175" t="s">
        <v>1143</v>
      </c>
      <c r="B74" s="175" t="s">
        <v>234</v>
      </c>
      <c r="C74" s="175" t="s">
        <v>327</v>
      </c>
      <c r="D74" s="177" t="s">
        <v>1523</v>
      </c>
      <c r="E74" s="179">
        <v>2</v>
      </c>
      <c r="F74" s="175" t="s">
        <v>1524</v>
      </c>
      <c r="G74" s="175" t="s">
        <v>118</v>
      </c>
      <c r="H74" s="181" t="s">
        <v>776</v>
      </c>
      <c r="I74" s="175" t="s">
        <v>185</v>
      </c>
      <c r="J74" s="6">
        <f>IF(ISERROR(VLOOKUP(A74,'8080 Op to Hex'!$A:$A,1,0)),0,1)</f>
        <v>0</v>
      </c>
      <c r="K74" s="6" t="e" cm="1">
        <f t="array" ref="K74">HlpGetInstructionSize(A74,B74,C74)</f>
        <v>#VALUE!</v>
      </c>
      <c r="L74" s="6" t="e">
        <f t="shared" si="1"/>
        <v>#VALUE!</v>
      </c>
    </row>
    <row r="75" spans="1:12">
      <c r="A75" s="175" t="s">
        <v>1143</v>
      </c>
      <c r="B75" s="175" t="s">
        <v>233</v>
      </c>
      <c r="C75" s="175" t="s">
        <v>1238</v>
      </c>
      <c r="D75" s="177" t="s">
        <v>1525</v>
      </c>
      <c r="E75" s="179">
        <v>2</v>
      </c>
      <c r="F75" s="175" t="s">
        <v>1346</v>
      </c>
      <c r="G75" s="175" t="s">
        <v>118</v>
      </c>
      <c r="H75" s="181" t="s">
        <v>776</v>
      </c>
      <c r="I75" s="175" t="s">
        <v>611</v>
      </c>
      <c r="J75" s="6">
        <f>IF(ISERROR(VLOOKUP(A75,'8080 Op to Hex'!$A:$A,1,0)),0,1)</f>
        <v>0</v>
      </c>
      <c r="K75" s="6" t="e" cm="1">
        <f t="array" ref="K75">HlpGetInstructionSize(A75,B75,C75)</f>
        <v>#VALUE!</v>
      </c>
      <c r="L75" s="6" t="e">
        <f t="shared" si="1"/>
        <v>#VALUE!</v>
      </c>
    </row>
    <row r="76" spans="1:12">
      <c r="A76" s="175" t="s">
        <v>1143</v>
      </c>
      <c r="B76" s="175" t="s">
        <v>233</v>
      </c>
      <c r="C76" s="175" t="s">
        <v>146</v>
      </c>
      <c r="D76" s="177" t="s">
        <v>1526</v>
      </c>
      <c r="E76" s="179">
        <v>2</v>
      </c>
      <c r="F76" s="175" t="s">
        <v>1354</v>
      </c>
      <c r="G76" s="175" t="s">
        <v>118</v>
      </c>
      <c r="H76" s="181" t="s">
        <v>776</v>
      </c>
      <c r="I76" s="175" t="s">
        <v>613</v>
      </c>
      <c r="J76" s="6">
        <f>IF(ISERROR(VLOOKUP(A76,'8080 Op to Hex'!$A:$A,1,0)),0,1)</f>
        <v>0</v>
      </c>
      <c r="K76" s="6" t="e" cm="1">
        <f t="array" ref="K76">HlpGetInstructionSize(A76,B76,C76)</f>
        <v>#VALUE!</v>
      </c>
      <c r="L76" s="6" t="e">
        <f t="shared" si="1"/>
        <v>#VALUE!</v>
      </c>
    </row>
    <row r="77" spans="1:12">
      <c r="A77" s="175" t="s">
        <v>1143</v>
      </c>
      <c r="B77" s="175" t="s">
        <v>233</v>
      </c>
      <c r="C77" s="175" t="s">
        <v>144</v>
      </c>
      <c r="D77" s="177" t="s">
        <v>1527</v>
      </c>
      <c r="E77" s="179">
        <v>2</v>
      </c>
      <c r="F77" s="175" t="s">
        <v>1528</v>
      </c>
      <c r="G77" s="175" t="s">
        <v>118</v>
      </c>
      <c r="H77" s="181" t="s">
        <v>776</v>
      </c>
      <c r="I77" s="175" t="s">
        <v>923</v>
      </c>
      <c r="J77" s="6">
        <f>IF(ISERROR(VLOOKUP(A77,'8080 Op to Hex'!$A:$A,1,0)),0,1)</f>
        <v>0</v>
      </c>
      <c r="K77" s="6" t="e" cm="1">
        <f t="array" ref="K77">HlpGetInstructionSize(A77,B77,C77)</f>
        <v>#VALUE!</v>
      </c>
      <c r="L77" s="6" t="e">
        <f t="shared" si="1"/>
        <v>#VALUE!</v>
      </c>
    </row>
    <row r="78" spans="1:12">
      <c r="A78" s="175" t="s">
        <v>1143</v>
      </c>
      <c r="B78" s="175" t="s">
        <v>233</v>
      </c>
      <c r="C78" s="175" t="s">
        <v>182</v>
      </c>
      <c r="D78" s="177" t="s">
        <v>1529</v>
      </c>
      <c r="E78" s="179">
        <v>2</v>
      </c>
      <c r="F78" s="175" t="s">
        <v>1530</v>
      </c>
      <c r="G78" s="175" t="s">
        <v>118</v>
      </c>
      <c r="H78" s="181" t="s">
        <v>776</v>
      </c>
      <c r="I78" s="175" t="s">
        <v>924</v>
      </c>
      <c r="J78" s="6">
        <f>IF(ISERROR(VLOOKUP(A78,'8080 Op to Hex'!$A:$A,1,0)),0,1)</f>
        <v>0</v>
      </c>
      <c r="K78" s="6" t="e" cm="1">
        <f t="array" ref="K78">HlpGetInstructionSize(A78,B78,C78)</f>
        <v>#VALUE!</v>
      </c>
      <c r="L78" s="6" t="e">
        <f t="shared" si="1"/>
        <v>#VALUE!</v>
      </c>
    </row>
    <row r="79" spans="1:12">
      <c r="A79" s="175" t="s">
        <v>1143</v>
      </c>
      <c r="B79" s="175" t="s">
        <v>233</v>
      </c>
      <c r="C79" s="175" t="s">
        <v>183</v>
      </c>
      <c r="D79" s="177" t="s">
        <v>1531</v>
      </c>
      <c r="E79" s="179">
        <v>2</v>
      </c>
      <c r="F79" s="175" t="s">
        <v>1532</v>
      </c>
      <c r="G79" s="175" t="s">
        <v>118</v>
      </c>
      <c r="H79" s="181" t="s">
        <v>776</v>
      </c>
      <c r="I79" s="175" t="s">
        <v>358</v>
      </c>
      <c r="J79" s="6">
        <f>IF(ISERROR(VLOOKUP(A79,'8080 Op to Hex'!$A:$A,1,0)),0,1)</f>
        <v>0</v>
      </c>
      <c r="K79" s="6" t="e" cm="1">
        <f t="array" ref="K79">HlpGetInstructionSize(A79,B79,C79)</f>
        <v>#VALUE!</v>
      </c>
      <c r="L79" s="6" t="e">
        <f t="shared" si="1"/>
        <v>#VALUE!</v>
      </c>
    </row>
    <row r="80" spans="1:12">
      <c r="A80" s="175" t="s">
        <v>1143</v>
      </c>
      <c r="B80" s="175" t="s">
        <v>233</v>
      </c>
      <c r="C80" s="175" t="s">
        <v>265</v>
      </c>
      <c r="D80" s="177" t="s">
        <v>1533</v>
      </c>
      <c r="E80" s="179">
        <v>2</v>
      </c>
      <c r="F80" s="175" t="s">
        <v>1534</v>
      </c>
      <c r="G80" s="175" t="s">
        <v>118</v>
      </c>
      <c r="H80" s="181" t="s">
        <v>776</v>
      </c>
      <c r="I80" s="175" t="s">
        <v>605</v>
      </c>
      <c r="J80" s="6">
        <f>IF(ISERROR(VLOOKUP(A80,'8080 Op to Hex'!$A:$A,1,0)),0,1)</f>
        <v>0</v>
      </c>
      <c r="K80" s="6" t="e" cm="1">
        <f t="array" ref="K80">HlpGetInstructionSize(A80,B80,C80)</f>
        <v>#VALUE!</v>
      </c>
      <c r="L80" s="6" t="e">
        <f t="shared" si="1"/>
        <v>#VALUE!</v>
      </c>
    </row>
    <row r="81" spans="1:12">
      <c r="A81" s="175" t="s">
        <v>1143</v>
      </c>
      <c r="B81" s="175" t="s">
        <v>233</v>
      </c>
      <c r="C81" s="175" t="s">
        <v>303</v>
      </c>
      <c r="D81" s="177" t="s">
        <v>1535</v>
      </c>
      <c r="E81" s="179">
        <v>2</v>
      </c>
      <c r="F81" s="175" t="s">
        <v>1536</v>
      </c>
      <c r="G81" s="175" t="s">
        <v>118</v>
      </c>
      <c r="H81" s="181" t="s">
        <v>776</v>
      </c>
      <c r="I81" s="175" t="s">
        <v>607</v>
      </c>
      <c r="J81" s="6">
        <f>IF(ISERROR(VLOOKUP(A81,'8080 Op to Hex'!$A:$A,1,0)),0,1)</f>
        <v>0</v>
      </c>
      <c r="K81" s="6" t="e" cm="1">
        <f t="array" ref="K81">HlpGetInstructionSize(A81,B81,C81)</f>
        <v>#VALUE!</v>
      </c>
      <c r="L81" s="6" t="e">
        <f t="shared" si="1"/>
        <v>#VALUE!</v>
      </c>
    </row>
    <row r="82" spans="1:12">
      <c r="A82" s="175" t="s">
        <v>1143</v>
      </c>
      <c r="B82" s="175" t="s">
        <v>233</v>
      </c>
      <c r="C82" s="175" t="s">
        <v>327</v>
      </c>
      <c r="D82" s="177" t="s">
        <v>1537</v>
      </c>
      <c r="E82" s="179">
        <v>2</v>
      </c>
      <c r="F82" s="175" t="s">
        <v>1538</v>
      </c>
      <c r="G82" s="175" t="s">
        <v>118</v>
      </c>
      <c r="H82" s="181" t="s">
        <v>776</v>
      </c>
      <c r="I82" s="175" t="s">
        <v>609</v>
      </c>
      <c r="J82" s="6">
        <f>IF(ISERROR(VLOOKUP(A82,'8080 Op to Hex'!$A:$A,1,0)),0,1)</f>
        <v>0</v>
      </c>
      <c r="K82" s="6" t="e" cm="1">
        <f t="array" ref="K82">HlpGetInstructionSize(A82,B82,C82)</f>
        <v>#VALUE!</v>
      </c>
      <c r="L82" s="6" t="e">
        <f t="shared" si="1"/>
        <v>#VALUE!</v>
      </c>
    </row>
    <row r="83" spans="1:12">
      <c r="A83" s="175" t="s">
        <v>1143</v>
      </c>
      <c r="B83" s="175" t="s">
        <v>1246</v>
      </c>
      <c r="C83" s="175" t="s">
        <v>1238</v>
      </c>
      <c r="D83" s="177" t="s">
        <v>1539</v>
      </c>
      <c r="E83" s="179">
        <v>2</v>
      </c>
      <c r="F83" s="175" t="s">
        <v>1347</v>
      </c>
      <c r="G83" s="175" t="s">
        <v>118</v>
      </c>
      <c r="H83" s="181" t="s">
        <v>776</v>
      </c>
      <c r="I83" s="175" t="s">
        <v>931</v>
      </c>
      <c r="J83" s="6">
        <f>IF(ISERROR(VLOOKUP(A83,'8080 Op to Hex'!$A:$A,1,0)),0,1)</f>
        <v>0</v>
      </c>
      <c r="K83" s="6" t="e" cm="1">
        <f t="array" ref="K83">HlpGetInstructionSize(A83,B83,C83)</f>
        <v>#VALUE!</v>
      </c>
      <c r="L83" s="6" t="e">
        <f t="shared" si="1"/>
        <v>#VALUE!</v>
      </c>
    </row>
    <row r="84" spans="1:12">
      <c r="A84" s="175" t="s">
        <v>1143</v>
      </c>
      <c r="B84" s="175" t="s">
        <v>1246</v>
      </c>
      <c r="C84" s="175" t="s">
        <v>146</v>
      </c>
      <c r="D84" s="177" t="s">
        <v>1540</v>
      </c>
      <c r="E84" s="179">
        <v>2</v>
      </c>
      <c r="F84" s="175" t="s">
        <v>1355</v>
      </c>
      <c r="G84" s="175" t="s">
        <v>118</v>
      </c>
      <c r="H84" s="181" t="s">
        <v>776</v>
      </c>
      <c r="I84" s="175" t="s">
        <v>932</v>
      </c>
      <c r="J84" s="6">
        <f>IF(ISERROR(VLOOKUP(A84,'8080 Op to Hex'!$A:$A,1,0)),0,1)</f>
        <v>0</v>
      </c>
      <c r="K84" s="6" t="e" cm="1">
        <f t="array" ref="K84">HlpGetInstructionSize(A84,B84,C84)</f>
        <v>#VALUE!</v>
      </c>
      <c r="L84" s="6" t="e">
        <f t="shared" si="1"/>
        <v>#VALUE!</v>
      </c>
    </row>
    <row r="85" spans="1:12">
      <c r="A85" s="175" t="s">
        <v>1143</v>
      </c>
      <c r="B85" s="175" t="s">
        <v>1246</v>
      </c>
      <c r="C85" s="175" t="s">
        <v>144</v>
      </c>
      <c r="D85" s="177" t="s">
        <v>1541</v>
      </c>
      <c r="E85" s="179">
        <v>2</v>
      </c>
      <c r="F85" s="175" t="s">
        <v>1542</v>
      </c>
      <c r="G85" s="175" t="s">
        <v>118</v>
      </c>
      <c r="H85" s="181" t="s">
        <v>776</v>
      </c>
      <c r="I85" s="175" t="s">
        <v>925</v>
      </c>
      <c r="J85" s="6">
        <f>IF(ISERROR(VLOOKUP(A85,'8080 Op to Hex'!$A:$A,1,0)),0,1)</f>
        <v>0</v>
      </c>
      <c r="K85" s="6" t="e" cm="1">
        <f t="array" ref="K85">HlpGetInstructionSize(A85,B85,C85)</f>
        <v>#VALUE!</v>
      </c>
      <c r="L85" s="6" t="e">
        <f t="shared" si="1"/>
        <v>#VALUE!</v>
      </c>
    </row>
    <row r="86" spans="1:12">
      <c r="A86" s="175" t="s">
        <v>1143</v>
      </c>
      <c r="B86" s="175" t="s">
        <v>1246</v>
      </c>
      <c r="C86" s="175" t="s">
        <v>182</v>
      </c>
      <c r="D86" s="177" t="s">
        <v>1543</v>
      </c>
      <c r="E86" s="179">
        <v>2</v>
      </c>
      <c r="F86" s="175" t="s">
        <v>1544</v>
      </c>
      <c r="G86" s="175" t="s">
        <v>118</v>
      </c>
      <c r="H86" s="181" t="s">
        <v>776</v>
      </c>
      <c r="I86" s="175" t="s">
        <v>926</v>
      </c>
      <c r="J86" s="6">
        <f>IF(ISERROR(VLOOKUP(A86,'8080 Op to Hex'!$A:$A,1,0)),0,1)</f>
        <v>0</v>
      </c>
      <c r="K86" s="6" t="e" cm="1">
        <f t="array" ref="K86">HlpGetInstructionSize(A86,B86,C86)</f>
        <v>#VALUE!</v>
      </c>
      <c r="L86" s="6" t="e">
        <f t="shared" si="1"/>
        <v>#VALUE!</v>
      </c>
    </row>
    <row r="87" spans="1:12">
      <c r="A87" s="175" t="s">
        <v>1143</v>
      </c>
      <c r="B87" s="175" t="s">
        <v>1246</v>
      </c>
      <c r="C87" s="175" t="s">
        <v>183</v>
      </c>
      <c r="D87" s="177" t="s">
        <v>1545</v>
      </c>
      <c r="E87" s="179">
        <v>2</v>
      </c>
      <c r="F87" s="175" t="s">
        <v>1546</v>
      </c>
      <c r="G87" s="175" t="s">
        <v>118</v>
      </c>
      <c r="H87" s="181" t="s">
        <v>776</v>
      </c>
      <c r="I87" s="175" t="s">
        <v>927</v>
      </c>
      <c r="J87" s="6">
        <f>IF(ISERROR(VLOOKUP(A87,'8080 Op to Hex'!$A:$A,1,0)),0,1)</f>
        <v>0</v>
      </c>
      <c r="K87" s="6" t="e" cm="1">
        <f t="array" ref="K87">HlpGetInstructionSize(A87,B87,C87)</f>
        <v>#VALUE!</v>
      </c>
      <c r="L87" s="6" t="e">
        <f t="shared" si="1"/>
        <v>#VALUE!</v>
      </c>
    </row>
    <row r="88" spans="1:12">
      <c r="A88" s="175" t="s">
        <v>1143</v>
      </c>
      <c r="B88" s="175" t="s">
        <v>1246</v>
      </c>
      <c r="C88" s="175" t="s">
        <v>265</v>
      </c>
      <c r="D88" s="177" t="s">
        <v>1547</v>
      </c>
      <c r="E88" s="179">
        <v>2</v>
      </c>
      <c r="F88" s="175" t="s">
        <v>1548</v>
      </c>
      <c r="G88" s="175" t="s">
        <v>118</v>
      </c>
      <c r="H88" s="181" t="s">
        <v>776</v>
      </c>
      <c r="I88" s="175" t="s">
        <v>928</v>
      </c>
      <c r="J88" s="6">
        <f>IF(ISERROR(VLOOKUP(A88,'8080 Op to Hex'!$A:$A,1,0)),0,1)</f>
        <v>0</v>
      </c>
      <c r="K88" s="6" t="e" cm="1">
        <f t="array" ref="K88">HlpGetInstructionSize(A88,B88,C88)</f>
        <v>#VALUE!</v>
      </c>
      <c r="L88" s="6" t="e">
        <f t="shared" si="1"/>
        <v>#VALUE!</v>
      </c>
    </row>
    <row r="89" spans="1:12">
      <c r="A89" s="175" t="s">
        <v>1143</v>
      </c>
      <c r="B89" s="175" t="s">
        <v>1246</v>
      </c>
      <c r="C89" s="175" t="s">
        <v>303</v>
      </c>
      <c r="D89" s="177" t="s">
        <v>1549</v>
      </c>
      <c r="E89" s="179">
        <v>2</v>
      </c>
      <c r="F89" s="175" t="s">
        <v>1550</v>
      </c>
      <c r="G89" s="175" t="s">
        <v>118</v>
      </c>
      <c r="H89" s="181" t="s">
        <v>776</v>
      </c>
      <c r="I89" s="175" t="s">
        <v>929</v>
      </c>
      <c r="J89" s="6">
        <f>IF(ISERROR(VLOOKUP(A89,'8080 Op to Hex'!$A:$A,1,0)),0,1)</f>
        <v>0</v>
      </c>
      <c r="K89" s="6" t="e" cm="1">
        <f t="array" ref="K89">HlpGetInstructionSize(A89,B89,C89)</f>
        <v>#VALUE!</v>
      </c>
      <c r="L89" s="6" t="e">
        <f t="shared" si="1"/>
        <v>#VALUE!</v>
      </c>
    </row>
    <row r="90" spans="1:12">
      <c r="A90" s="175" t="s">
        <v>1143</v>
      </c>
      <c r="B90" s="175" t="s">
        <v>1246</v>
      </c>
      <c r="C90" s="175" t="s">
        <v>327</v>
      </c>
      <c r="D90" s="177" t="s">
        <v>1551</v>
      </c>
      <c r="E90" s="179">
        <v>2</v>
      </c>
      <c r="F90" s="175" t="s">
        <v>1552</v>
      </c>
      <c r="G90" s="175" t="s">
        <v>118</v>
      </c>
      <c r="H90" s="181" t="s">
        <v>776</v>
      </c>
      <c r="I90" s="175" t="s">
        <v>930</v>
      </c>
      <c r="J90" s="6">
        <f>IF(ISERROR(VLOOKUP(A90,'8080 Op to Hex'!$A:$A,1,0)),0,1)</f>
        <v>0</v>
      </c>
      <c r="K90" s="6" t="e" cm="1">
        <f t="array" ref="K90">HlpGetInstructionSize(A90,B90,C90)</f>
        <v>#VALUE!</v>
      </c>
      <c r="L90" s="6" t="e">
        <f t="shared" si="1"/>
        <v>#VALUE!</v>
      </c>
    </row>
    <row r="91" spans="1:12">
      <c r="A91" s="175" t="s">
        <v>1143</v>
      </c>
      <c r="B91" s="175" t="s">
        <v>253</v>
      </c>
      <c r="C91" s="175" t="s">
        <v>1238</v>
      </c>
      <c r="D91" s="177" t="s">
        <v>1553</v>
      </c>
      <c r="E91" s="179">
        <v>2</v>
      </c>
      <c r="F91" s="175" t="s">
        <v>1348</v>
      </c>
      <c r="G91" s="175" t="s">
        <v>118</v>
      </c>
      <c r="H91" s="181" t="s">
        <v>776</v>
      </c>
      <c r="I91" s="175" t="s">
        <v>633</v>
      </c>
      <c r="J91" s="6">
        <f>IF(ISERROR(VLOOKUP(A91,'8080 Op to Hex'!$A:$A,1,0)),0,1)</f>
        <v>0</v>
      </c>
      <c r="K91" s="6" t="e" cm="1">
        <f t="array" ref="K91">HlpGetInstructionSize(A91,B91,C91)</f>
        <v>#VALUE!</v>
      </c>
      <c r="L91" s="6" t="e">
        <f t="shared" si="1"/>
        <v>#VALUE!</v>
      </c>
    </row>
    <row r="92" spans="1:12">
      <c r="A92" s="175" t="s">
        <v>1143</v>
      </c>
      <c r="B92" s="175" t="s">
        <v>253</v>
      </c>
      <c r="C92" s="175" t="s">
        <v>146</v>
      </c>
      <c r="D92" s="177" t="s">
        <v>1554</v>
      </c>
      <c r="E92" s="179">
        <v>2</v>
      </c>
      <c r="F92" s="175" t="s">
        <v>1356</v>
      </c>
      <c r="G92" s="175" t="s">
        <v>118</v>
      </c>
      <c r="H92" s="181" t="s">
        <v>776</v>
      </c>
      <c r="I92" s="175" t="s">
        <v>635</v>
      </c>
      <c r="J92" s="6">
        <f>IF(ISERROR(VLOOKUP(A92,'8080 Op to Hex'!$A:$A,1,0)),0,1)</f>
        <v>0</v>
      </c>
      <c r="K92" s="6" t="e" cm="1">
        <f t="array" ref="K92">HlpGetInstructionSize(A92,B92,C92)</f>
        <v>#VALUE!</v>
      </c>
      <c r="L92" s="6" t="e">
        <f t="shared" si="1"/>
        <v>#VALUE!</v>
      </c>
    </row>
    <row r="93" spans="1:12">
      <c r="A93" s="175" t="s">
        <v>1143</v>
      </c>
      <c r="B93" s="175" t="s">
        <v>253</v>
      </c>
      <c r="C93" s="175" t="s">
        <v>144</v>
      </c>
      <c r="D93" s="177" t="s">
        <v>1555</v>
      </c>
      <c r="E93" s="179">
        <v>2</v>
      </c>
      <c r="F93" s="175" t="s">
        <v>1556</v>
      </c>
      <c r="G93" s="175" t="s">
        <v>118</v>
      </c>
      <c r="H93" s="181" t="s">
        <v>776</v>
      </c>
      <c r="I93" s="175" t="s">
        <v>933</v>
      </c>
      <c r="J93" s="6">
        <f>IF(ISERROR(VLOOKUP(A93,'8080 Op to Hex'!$A:$A,1,0)),0,1)</f>
        <v>0</v>
      </c>
      <c r="K93" s="6" t="e" cm="1">
        <f t="array" ref="K93">HlpGetInstructionSize(A93,B93,C93)</f>
        <v>#VALUE!</v>
      </c>
      <c r="L93" s="6" t="e">
        <f t="shared" si="1"/>
        <v>#VALUE!</v>
      </c>
    </row>
    <row r="94" spans="1:12">
      <c r="A94" s="175" t="s">
        <v>1143</v>
      </c>
      <c r="B94" s="175" t="s">
        <v>253</v>
      </c>
      <c r="C94" s="175" t="s">
        <v>182</v>
      </c>
      <c r="D94" s="177" t="s">
        <v>1557</v>
      </c>
      <c r="E94" s="179">
        <v>2</v>
      </c>
      <c r="F94" s="175" t="s">
        <v>1558</v>
      </c>
      <c r="G94" s="175" t="s">
        <v>118</v>
      </c>
      <c r="H94" s="181" t="s">
        <v>776</v>
      </c>
      <c r="I94" s="175" t="s">
        <v>934</v>
      </c>
      <c r="J94" s="6">
        <f>IF(ISERROR(VLOOKUP(A94,'8080 Op to Hex'!$A:$A,1,0)),0,1)</f>
        <v>0</v>
      </c>
      <c r="K94" s="6" t="e" cm="1">
        <f t="array" ref="K94">HlpGetInstructionSize(A94,B94,C94)</f>
        <v>#VALUE!</v>
      </c>
      <c r="L94" s="6" t="e">
        <f t="shared" si="1"/>
        <v>#VALUE!</v>
      </c>
    </row>
    <row r="95" spans="1:12">
      <c r="A95" s="175" t="s">
        <v>1143</v>
      </c>
      <c r="B95" s="175" t="s">
        <v>253</v>
      </c>
      <c r="C95" s="175" t="s">
        <v>183</v>
      </c>
      <c r="D95" s="177" t="s">
        <v>1559</v>
      </c>
      <c r="E95" s="179">
        <v>2</v>
      </c>
      <c r="F95" s="175" t="s">
        <v>1560</v>
      </c>
      <c r="G95" s="175" t="s">
        <v>118</v>
      </c>
      <c r="H95" s="181" t="s">
        <v>776</v>
      </c>
      <c r="I95" s="175" t="s">
        <v>625</v>
      </c>
      <c r="J95" s="6">
        <f>IF(ISERROR(VLOOKUP(A95,'8080 Op to Hex'!$A:$A,1,0)),0,1)</f>
        <v>0</v>
      </c>
      <c r="K95" s="6" t="e" cm="1">
        <f t="array" ref="K95">HlpGetInstructionSize(A95,B95,C95)</f>
        <v>#VALUE!</v>
      </c>
      <c r="L95" s="6" t="e">
        <f t="shared" si="1"/>
        <v>#VALUE!</v>
      </c>
    </row>
    <row r="96" spans="1:12">
      <c r="A96" s="175" t="s">
        <v>1143</v>
      </c>
      <c r="B96" s="175" t="s">
        <v>253</v>
      </c>
      <c r="C96" s="175" t="s">
        <v>265</v>
      </c>
      <c r="D96" s="177" t="s">
        <v>1561</v>
      </c>
      <c r="E96" s="179">
        <v>2</v>
      </c>
      <c r="F96" s="175" t="s">
        <v>1562</v>
      </c>
      <c r="G96" s="175" t="s">
        <v>118</v>
      </c>
      <c r="H96" s="181" t="s">
        <v>776</v>
      </c>
      <c r="I96" s="175" t="s">
        <v>627</v>
      </c>
      <c r="J96" s="6">
        <f>IF(ISERROR(VLOOKUP(A96,'8080 Op to Hex'!$A:$A,1,0)),0,1)</f>
        <v>0</v>
      </c>
      <c r="K96" s="6" t="e" cm="1">
        <f t="array" ref="K96">HlpGetInstructionSize(A96,B96,C96)</f>
        <v>#VALUE!</v>
      </c>
      <c r="L96" s="6" t="e">
        <f t="shared" si="1"/>
        <v>#VALUE!</v>
      </c>
    </row>
    <row r="97" spans="1:12">
      <c r="A97" s="175" t="s">
        <v>1143</v>
      </c>
      <c r="B97" s="175" t="s">
        <v>253</v>
      </c>
      <c r="C97" s="175" t="s">
        <v>303</v>
      </c>
      <c r="D97" s="177" t="s">
        <v>1563</v>
      </c>
      <c r="E97" s="179">
        <v>2</v>
      </c>
      <c r="F97" s="175" t="s">
        <v>1564</v>
      </c>
      <c r="G97" s="175" t="s">
        <v>118</v>
      </c>
      <c r="H97" s="181" t="s">
        <v>776</v>
      </c>
      <c r="I97" s="175" t="s">
        <v>629</v>
      </c>
      <c r="J97" s="6">
        <f>IF(ISERROR(VLOOKUP(A97,'8080 Op to Hex'!$A:$A,1,0)),0,1)</f>
        <v>0</v>
      </c>
      <c r="K97" s="6" t="e" cm="1">
        <f t="array" ref="K97">HlpGetInstructionSize(A97,B97,C97)</f>
        <v>#VALUE!</v>
      </c>
      <c r="L97" s="6" t="e">
        <f t="shared" si="1"/>
        <v>#VALUE!</v>
      </c>
    </row>
    <row r="98" spans="1:12">
      <c r="A98" s="175" t="s">
        <v>1143</v>
      </c>
      <c r="B98" s="175" t="s">
        <v>253</v>
      </c>
      <c r="C98" s="175" t="s">
        <v>327</v>
      </c>
      <c r="D98" s="177" t="s">
        <v>1565</v>
      </c>
      <c r="E98" s="179">
        <v>2</v>
      </c>
      <c r="F98" s="175" t="s">
        <v>1566</v>
      </c>
      <c r="G98" s="175" t="s">
        <v>118</v>
      </c>
      <c r="H98" s="181" t="s">
        <v>776</v>
      </c>
      <c r="I98" s="175" t="s">
        <v>631</v>
      </c>
      <c r="J98" s="6">
        <f>IF(ISERROR(VLOOKUP(A98,'8080 Op to Hex'!$A:$A,1,0)),0,1)</f>
        <v>0</v>
      </c>
      <c r="K98" s="6" t="e" cm="1">
        <f t="array" ref="K98">HlpGetInstructionSize(A98,B98,C98)</f>
        <v>#VALUE!</v>
      </c>
      <c r="L98" s="6" t="e">
        <f t="shared" si="1"/>
        <v>#VALUE!</v>
      </c>
    </row>
    <row r="99" spans="1:12">
      <c r="A99" s="175" t="s">
        <v>1143</v>
      </c>
      <c r="B99" s="175" t="s">
        <v>1335</v>
      </c>
      <c r="C99" s="175" t="s">
        <v>1238</v>
      </c>
      <c r="D99" s="177" t="s">
        <v>1567</v>
      </c>
      <c r="E99" s="179">
        <v>2</v>
      </c>
      <c r="F99" s="175" t="s">
        <v>1349</v>
      </c>
      <c r="G99" s="175" t="s">
        <v>118</v>
      </c>
      <c r="H99" s="181" t="s">
        <v>776</v>
      </c>
      <c r="I99" s="175" t="s">
        <v>941</v>
      </c>
      <c r="J99" s="6">
        <f>IF(ISERROR(VLOOKUP(A99,'8080 Op to Hex'!$A:$A,1,0)),0,1)</f>
        <v>0</v>
      </c>
      <c r="K99" s="6" t="e" cm="1">
        <f t="array" ref="K99">HlpGetInstructionSize(A99,B99,C99)</f>
        <v>#VALUE!</v>
      </c>
      <c r="L99" s="6" t="e">
        <f t="shared" si="1"/>
        <v>#VALUE!</v>
      </c>
    </row>
    <row r="100" spans="1:12">
      <c r="A100" s="175" t="s">
        <v>1143</v>
      </c>
      <c r="B100" s="175" t="s">
        <v>1335</v>
      </c>
      <c r="C100" s="175" t="s">
        <v>146</v>
      </c>
      <c r="D100" s="177" t="s">
        <v>1568</v>
      </c>
      <c r="E100" s="179">
        <v>2</v>
      </c>
      <c r="F100" s="175" t="s">
        <v>1357</v>
      </c>
      <c r="G100" s="175" t="s">
        <v>118</v>
      </c>
      <c r="H100" s="181" t="s">
        <v>776</v>
      </c>
      <c r="I100" s="175" t="s">
        <v>942</v>
      </c>
      <c r="J100" s="6">
        <f>IF(ISERROR(VLOOKUP(A100,'8080 Op to Hex'!$A:$A,1,0)),0,1)</f>
        <v>0</v>
      </c>
      <c r="K100" s="6" t="e" cm="1">
        <f t="array" ref="K100">HlpGetInstructionSize(A100,B100,C100)</f>
        <v>#VALUE!</v>
      </c>
      <c r="L100" s="6" t="e">
        <f t="shared" si="1"/>
        <v>#VALUE!</v>
      </c>
    </row>
    <row r="101" spans="1:12">
      <c r="A101" s="175" t="s">
        <v>1143</v>
      </c>
      <c r="B101" s="175" t="s">
        <v>1335</v>
      </c>
      <c r="C101" s="175" t="s">
        <v>144</v>
      </c>
      <c r="D101" s="177" t="s">
        <v>1569</v>
      </c>
      <c r="E101" s="179">
        <v>2</v>
      </c>
      <c r="F101" s="175" t="s">
        <v>1570</v>
      </c>
      <c r="G101" s="175" t="s">
        <v>118</v>
      </c>
      <c r="H101" s="181" t="s">
        <v>776</v>
      </c>
      <c r="I101" s="175" t="s">
        <v>935</v>
      </c>
      <c r="J101" s="6">
        <f>IF(ISERROR(VLOOKUP(A101,'8080 Op to Hex'!$A:$A,1,0)),0,1)</f>
        <v>0</v>
      </c>
      <c r="K101" s="6" t="e" cm="1">
        <f t="array" ref="K101">HlpGetInstructionSize(A101,B101,C101)</f>
        <v>#VALUE!</v>
      </c>
      <c r="L101" s="6" t="e">
        <f t="shared" si="1"/>
        <v>#VALUE!</v>
      </c>
    </row>
    <row r="102" spans="1:12">
      <c r="A102" s="175" t="s">
        <v>1143</v>
      </c>
      <c r="B102" s="175" t="s">
        <v>1335</v>
      </c>
      <c r="C102" s="175" t="s">
        <v>182</v>
      </c>
      <c r="D102" s="177" t="s">
        <v>1571</v>
      </c>
      <c r="E102" s="179">
        <v>2</v>
      </c>
      <c r="F102" s="175" t="s">
        <v>1572</v>
      </c>
      <c r="G102" s="175" t="s">
        <v>118</v>
      </c>
      <c r="H102" s="181" t="s">
        <v>776</v>
      </c>
      <c r="I102" s="175" t="s">
        <v>936</v>
      </c>
      <c r="J102" s="6">
        <f>IF(ISERROR(VLOOKUP(A102,'8080 Op to Hex'!$A:$A,1,0)),0,1)</f>
        <v>0</v>
      </c>
      <c r="K102" s="6" t="e" cm="1">
        <f t="array" ref="K102">HlpGetInstructionSize(A102,B102,C102)</f>
        <v>#VALUE!</v>
      </c>
      <c r="L102" s="6" t="e">
        <f t="shared" si="1"/>
        <v>#VALUE!</v>
      </c>
    </row>
    <row r="103" spans="1:12">
      <c r="A103" s="175" t="s">
        <v>1143</v>
      </c>
      <c r="B103" s="175" t="s">
        <v>1335</v>
      </c>
      <c r="C103" s="175" t="s">
        <v>183</v>
      </c>
      <c r="D103" s="177" t="s">
        <v>1573</v>
      </c>
      <c r="E103" s="179">
        <v>2</v>
      </c>
      <c r="F103" s="175" t="s">
        <v>1574</v>
      </c>
      <c r="G103" s="175" t="s">
        <v>118</v>
      </c>
      <c r="H103" s="181" t="s">
        <v>776</v>
      </c>
      <c r="I103" s="175" t="s">
        <v>937</v>
      </c>
      <c r="J103" s="6">
        <f>IF(ISERROR(VLOOKUP(A103,'8080 Op to Hex'!$A:$A,1,0)),0,1)</f>
        <v>0</v>
      </c>
      <c r="K103" s="6" t="e" cm="1">
        <f t="array" ref="K103">HlpGetInstructionSize(A103,B103,C103)</f>
        <v>#VALUE!</v>
      </c>
      <c r="L103" s="6" t="e">
        <f t="shared" si="1"/>
        <v>#VALUE!</v>
      </c>
    </row>
    <row r="104" spans="1:12">
      <c r="A104" s="175" t="s">
        <v>1143</v>
      </c>
      <c r="B104" s="175" t="s">
        <v>1335</v>
      </c>
      <c r="C104" s="175" t="s">
        <v>265</v>
      </c>
      <c r="D104" s="177" t="s">
        <v>1575</v>
      </c>
      <c r="E104" s="179">
        <v>2</v>
      </c>
      <c r="F104" s="175" t="s">
        <v>1576</v>
      </c>
      <c r="G104" s="175" t="s">
        <v>118</v>
      </c>
      <c r="H104" s="181" t="s">
        <v>776</v>
      </c>
      <c r="I104" s="175" t="s">
        <v>938</v>
      </c>
      <c r="J104" s="6">
        <f>IF(ISERROR(VLOOKUP(A104,'8080 Op to Hex'!$A:$A,1,0)),0,1)</f>
        <v>0</v>
      </c>
      <c r="K104" s="6" t="e" cm="1">
        <f t="array" ref="K104">HlpGetInstructionSize(A104,B104,C104)</f>
        <v>#VALUE!</v>
      </c>
      <c r="L104" s="6" t="e">
        <f t="shared" si="1"/>
        <v>#VALUE!</v>
      </c>
    </row>
    <row r="105" spans="1:12">
      <c r="A105" s="175" t="s">
        <v>1143</v>
      </c>
      <c r="B105" s="175" t="s">
        <v>1335</v>
      </c>
      <c r="C105" s="175" t="s">
        <v>303</v>
      </c>
      <c r="D105" s="177" t="s">
        <v>1577</v>
      </c>
      <c r="E105" s="179">
        <v>2</v>
      </c>
      <c r="F105" s="175" t="s">
        <v>1578</v>
      </c>
      <c r="G105" s="175" t="s">
        <v>118</v>
      </c>
      <c r="H105" s="181" t="s">
        <v>776</v>
      </c>
      <c r="I105" s="175" t="s">
        <v>939</v>
      </c>
      <c r="J105" s="6">
        <f>IF(ISERROR(VLOOKUP(A105,'8080 Op to Hex'!$A:$A,1,0)),0,1)</f>
        <v>0</v>
      </c>
      <c r="K105" s="6" t="e" cm="1">
        <f t="array" ref="K105">HlpGetInstructionSize(A105,B105,C105)</f>
        <v>#VALUE!</v>
      </c>
      <c r="L105" s="6" t="e">
        <f t="shared" si="1"/>
        <v>#VALUE!</v>
      </c>
    </row>
    <row r="106" spans="1:12">
      <c r="A106" s="175" t="s">
        <v>1143</v>
      </c>
      <c r="B106" s="175" t="s">
        <v>1335</v>
      </c>
      <c r="C106" s="175" t="s">
        <v>327</v>
      </c>
      <c r="D106" s="177" t="s">
        <v>1579</v>
      </c>
      <c r="E106" s="179">
        <v>2</v>
      </c>
      <c r="F106" s="175" t="s">
        <v>1580</v>
      </c>
      <c r="G106" s="175" t="s">
        <v>118</v>
      </c>
      <c r="H106" s="181" t="s">
        <v>776</v>
      </c>
      <c r="I106" s="175" t="s">
        <v>940</v>
      </c>
      <c r="J106" s="6">
        <f>IF(ISERROR(VLOOKUP(A106,'8080 Op to Hex'!$A:$A,1,0)),0,1)</f>
        <v>0</v>
      </c>
      <c r="K106" s="6" t="e" cm="1">
        <f t="array" ref="K106">HlpGetInstructionSize(A106,B106,C106)</f>
        <v>#VALUE!</v>
      </c>
      <c r="L106" s="6" t="e">
        <f t="shared" si="1"/>
        <v>#VALUE!</v>
      </c>
    </row>
    <row r="107" spans="1:12">
      <c r="A107" s="175" t="s">
        <v>1143</v>
      </c>
      <c r="B107" s="175" t="s">
        <v>1342</v>
      </c>
      <c r="C107" s="175" t="s">
        <v>1238</v>
      </c>
      <c r="D107" s="177" t="s">
        <v>1581</v>
      </c>
      <c r="E107" s="179">
        <v>2</v>
      </c>
      <c r="F107" s="175" t="s">
        <v>1350</v>
      </c>
      <c r="G107" s="175" t="s">
        <v>118</v>
      </c>
      <c r="H107" s="181" t="s">
        <v>776</v>
      </c>
      <c r="I107" s="175" t="s">
        <v>333</v>
      </c>
      <c r="J107" s="6">
        <f>IF(ISERROR(VLOOKUP(A107,'8080 Op to Hex'!$A:$A,1,0)),0,1)</f>
        <v>0</v>
      </c>
      <c r="K107" s="6" t="e" cm="1">
        <f t="array" ref="K107">HlpGetInstructionSize(A107,B107,C107)</f>
        <v>#VALUE!</v>
      </c>
      <c r="L107" s="6" t="e">
        <f t="shared" si="1"/>
        <v>#VALUE!</v>
      </c>
    </row>
    <row r="108" spans="1:12">
      <c r="A108" s="175" t="s">
        <v>1143</v>
      </c>
      <c r="B108" s="175" t="s">
        <v>1342</v>
      </c>
      <c r="C108" s="175" t="s">
        <v>146</v>
      </c>
      <c r="D108" s="177" t="s">
        <v>1582</v>
      </c>
      <c r="E108" s="179">
        <v>2</v>
      </c>
      <c r="F108" s="175" t="s">
        <v>1358</v>
      </c>
      <c r="G108" s="175" t="s">
        <v>118</v>
      </c>
      <c r="H108" s="181" t="s">
        <v>776</v>
      </c>
      <c r="I108" s="175" t="s">
        <v>214</v>
      </c>
      <c r="J108" s="6">
        <f>IF(ISERROR(VLOOKUP(A108,'8080 Op to Hex'!$A:$A,1,0)),0,1)</f>
        <v>0</v>
      </c>
      <c r="K108" s="6" t="e" cm="1">
        <f t="array" ref="K108">HlpGetInstructionSize(A108,B108,C108)</f>
        <v>#VALUE!</v>
      </c>
      <c r="L108" s="6" t="e">
        <f t="shared" si="1"/>
        <v>#VALUE!</v>
      </c>
    </row>
    <row r="109" spans="1:12">
      <c r="A109" s="175" t="s">
        <v>1143</v>
      </c>
      <c r="B109" s="175" t="s">
        <v>1342</v>
      </c>
      <c r="C109" s="175" t="s">
        <v>144</v>
      </c>
      <c r="D109" s="177" t="s">
        <v>1583</v>
      </c>
      <c r="E109" s="179">
        <v>2</v>
      </c>
      <c r="F109" s="175" t="s">
        <v>1584</v>
      </c>
      <c r="G109" s="175" t="s">
        <v>118</v>
      </c>
      <c r="H109" s="181" t="s">
        <v>776</v>
      </c>
      <c r="I109" s="175" t="s">
        <v>943</v>
      </c>
      <c r="J109" s="6">
        <f>IF(ISERROR(VLOOKUP(A109,'8080 Op to Hex'!$A:$A,1,0)),0,1)</f>
        <v>0</v>
      </c>
      <c r="K109" s="6" t="e" cm="1">
        <f t="array" ref="K109">HlpGetInstructionSize(A109,B109,C109)</f>
        <v>#VALUE!</v>
      </c>
      <c r="L109" s="6" t="e">
        <f t="shared" si="1"/>
        <v>#VALUE!</v>
      </c>
    </row>
    <row r="110" spans="1:12">
      <c r="A110" s="175" t="s">
        <v>1143</v>
      </c>
      <c r="B110" s="175" t="s">
        <v>1342</v>
      </c>
      <c r="C110" s="175" t="s">
        <v>182</v>
      </c>
      <c r="D110" s="177" t="s">
        <v>1585</v>
      </c>
      <c r="E110" s="179">
        <v>2</v>
      </c>
      <c r="F110" s="175" t="s">
        <v>1586</v>
      </c>
      <c r="G110" s="175" t="s">
        <v>118</v>
      </c>
      <c r="H110" s="181" t="s">
        <v>776</v>
      </c>
      <c r="I110" s="175" t="s">
        <v>944</v>
      </c>
      <c r="J110" s="6">
        <f>IF(ISERROR(VLOOKUP(A110,'8080 Op to Hex'!$A:$A,1,0)),0,1)</f>
        <v>0</v>
      </c>
      <c r="K110" s="6" t="e" cm="1">
        <f t="array" ref="K110">HlpGetInstructionSize(A110,B110,C110)</f>
        <v>#VALUE!</v>
      </c>
      <c r="L110" s="6" t="e">
        <f t="shared" si="1"/>
        <v>#VALUE!</v>
      </c>
    </row>
    <row r="111" spans="1:12">
      <c r="A111" s="175" t="s">
        <v>1143</v>
      </c>
      <c r="B111" s="175" t="s">
        <v>1342</v>
      </c>
      <c r="C111" s="175" t="s">
        <v>183</v>
      </c>
      <c r="D111" s="177" t="s">
        <v>1587</v>
      </c>
      <c r="E111" s="179">
        <v>2</v>
      </c>
      <c r="F111" s="175" t="s">
        <v>1588</v>
      </c>
      <c r="G111" s="175" t="s">
        <v>118</v>
      </c>
      <c r="H111" s="181" t="s">
        <v>776</v>
      </c>
      <c r="I111" s="175" t="s">
        <v>647</v>
      </c>
      <c r="J111" s="6">
        <f>IF(ISERROR(VLOOKUP(A111,'8080 Op to Hex'!$A:$A,1,0)),0,1)</f>
        <v>0</v>
      </c>
      <c r="K111" s="6" t="e" cm="1">
        <f t="array" ref="K111">HlpGetInstructionSize(A111,B111,C111)</f>
        <v>#VALUE!</v>
      </c>
      <c r="L111" s="6" t="e">
        <f t="shared" si="1"/>
        <v>#VALUE!</v>
      </c>
    </row>
    <row r="112" spans="1:12">
      <c r="A112" s="175" t="s">
        <v>1143</v>
      </c>
      <c r="B112" s="175" t="s">
        <v>1342</v>
      </c>
      <c r="C112" s="175" t="s">
        <v>265</v>
      </c>
      <c r="D112" s="177" t="s">
        <v>1589</v>
      </c>
      <c r="E112" s="179">
        <v>2</v>
      </c>
      <c r="F112" s="175" t="s">
        <v>1590</v>
      </c>
      <c r="G112" s="175" t="s">
        <v>118</v>
      </c>
      <c r="H112" s="181" t="s">
        <v>776</v>
      </c>
      <c r="I112" s="175" t="s">
        <v>649</v>
      </c>
      <c r="J112" s="6">
        <f>IF(ISERROR(VLOOKUP(A112,'8080 Op to Hex'!$A:$A,1,0)),0,1)</f>
        <v>0</v>
      </c>
      <c r="K112" s="6" t="e" cm="1">
        <f t="array" ref="K112">HlpGetInstructionSize(A112,B112,C112)</f>
        <v>#VALUE!</v>
      </c>
      <c r="L112" s="6" t="e">
        <f t="shared" si="1"/>
        <v>#VALUE!</v>
      </c>
    </row>
    <row r="113" spans="1:12">
      <c r="A113" s="175" t="s">
        <v>1143</v>
      </c>
      <c r="B113" s="175" t="s">
        <v>1342</v>
      </c>
      <c r="C113" s="175" t="s">
        <v>303</v>
      </c>
      <c r="D113" s="177" t="s">
        <v>1591</v>
      </c>
      <c r="E113" s="179">
        <v>2</v>
      </c>
      <c r="F113" s="175" t="s">
        <v>1592</v>
      </c>
      <c r="G113" s="175" t="s">
        <v>118</v>
      </c>
      <c r="H113" s="181" t="s">
        <v>776</v>
      </c>
      <c r="I113" s="175" t="s">
        <v>651</v>
      </c>
      <c r="J113" s="6">
        <f>IF(ISERROR(VLOOKUP(A113,'8080 Op to Hex'!$A:$A,1,0)),0,1)</f>
        <v>0</v>
      </c>
      <c r="K113" s="6" t="e" cm="1">
        <f t="array" ref="K113">HlpGetInstructionSize(A113,B113,C113)</f>
        <v>#VALUE!</v>
      </c>
      <c r="L113" s="6" t="e">
        <f t="shared" si="1"/>
        <v>#VALUE!</v>
      </c>
    </row>
    <row r="114" spans="1:12">
      <c r="A114" s="175" t="s">
        <v>1143</v>
      </c>
      <c r="B114" s="175" t="s">
        <v>1342</v>
      </c>
      <c r="C114" s="175" t="s">
        <v>327</v>
      </c>
      <c r="D114" s="177" t="s">
        <v>1593</v>
      </c>
      <c r="E114" s="179">
        <v>2</v>
      </c>
      <c r="F114" s="175" t="s">
        <v>1594</v>
      </c>
      <c r="G114" s="175" t="s">
        <v>118</v>
      </c>
      <c r="H114" s="181" t="s">
        <v>776</v>
      </c>
      <c r="I114" s="175" t="s">
        <v>653</v>
      </c>
      <c r="J114" s="6">
        <f>IF(ISERROR(VLOOKUP(A114,'8080 Op to Hex'!$A:$A,1,0)),0,1)</f>
        <v>0</v>
      </c>
      <c r="K114" s="6" t="e" cm="1">
        <f t="array" ref="K114">HlpGetInstructionSize(A114,B114,C114)</f>
        <v>#VALUE!</v>
      </c>
      <c r="L114" s="6" t="e">
        <f t="shared" si="1"/>
        <v>#VALUE!</v>
      </c>
    </row>
    <row r="115" spans="1:12">
      <c r="A115" s="175" t="s">
        <v>190</v>
      </c>
      <c r="B115" s="175"/>
      <c r="C115" s="175" t="s">
        <v>1453</v>
      </c>
      <c r="D115" s="177" t="s">
        <v>478</v>
      </c>
      <c r="E115" s="179">
        <v>3</v>
      </c>
      <c r="F115" s="175" t="s">
        <v>1310</v>
      </c>
      <c r="G115" s="175" t="s">
        <v>1129</v>
      </c>
      <c r="H115" s="181"/>
      <c r="I115" s="175" t="s">
        <v>478</v>
      </c>
      <c r="J115" s="6">
        <f>IF(ISERROR(VLOOKUP(A115,'8080 Op to Hex'!$A:$A,1,0)),0,1)</f>
        <v>1</v>
      </c>
      <c r="K115" s="6" cm="1">
        <f t="array" ref="K115">HlpGetInstructionSize(A115,B115,C115)</f>
        <v>1</v>
      </c>
      <c r="L115" s="6">
        <f t="shared" si="1"/>
        <v>1</v>
      </c>
    </row>
    <row r="116" spans="1:12">
      <c r="A116" s="175" t="s">
        <v>190</v>
      </c>
      <c r="B116" s="175" t="s">
        <v>182</v>
      </c>
      <c r="C116" s="175" t="s">
        <v>1453</v>
      </c>
      <c r="D116" s="177" t="s">
        <v>808</v>
      </c>
      <c r="E116" s="179">
        <v>3</v>
      </c>
      <c r="F116" s="175" t="s">
        <v>809</v>
      </c>
      <c r="G116" s="175" t="s">
        <v>1129</v>
      </c>
      <c r="H116" s="181"/>
      <c r="I116" s="175" t="s">
        <v>808</v>
      </c>
      <c r="J116" s="6">
        <f>IF(ISERROR(VLOOKUP(A116,'8080 Op to Hex'!$A:$A,1,0)),0,1)</f>
        <v>1</v>
      </c>
      <c r="K116" s="6" cm="1">
        <f t="array" ref="K116">HlpGetInstructionSize(A116,B116,C116)</f>
        <v>1</v>
      </c>
      <c r="L116" s="6">
        <f t="shared" si="1"/>
        <v>1</v>
      </c>
    </row>
    <row r="117" spans="1:12">
      <c r="A117" s="175" t="s">
        <v>190</v>
      </c>
      <c r="B117" s="175" t="s">
        <v>577</v>
      </c>
      <c r="C117" s="175" t="s">
        <v>1453</v>
      </c>
      <c r="D117" s="177" t="s">
        <v>1027</v>
      </c>
      <c r="E117" s="179">
        <v>3</v>
      </c>
      <c r="F117" s="175" t="s">
        <v>1339</v>
      </c>
      <c r="G117" s="175" t="s">
        <v>1129</v>
      </c>
      <c r="H117" s="181"/>
      <c r="I117" s="175" t="s">
        <v>1027</v>
      </c>
      <c r="J117" s="6">
        <f>IF(ISERROR(VLOOKUP(A117,'8080 Op to Hex'!$A:$A,1,0)),0,1)</f>
        <v>1</v>
      </c>
      <c r="K117" s="6" cm="1">
        <f t="array" ref="K117">HlpGetInstructionSize(A117,B117,C117)</f>
        <v>1</v>
      </c>
      <c r="L117" s="6">
        <f t="shared" si="1"/>
        <v>1</v>
      </c>
    </row>
    <row r="118" spans="1:12">
      <c r="A118" s="175" t="s">
        <v>190</v>
      </c>
      <c r="B118" s="175" t="s">
        <v>1244</v>
      </c>
      <c r="C118" s="175" t="s">
        <v>1453</v>
      </c>
      <c r="D118" s="177" t="s">
        <v>793</v>
      </c>
      <c r="E118" s="179">
        <v>3</v>
      </c>
      <c r="F118" s="175" t="s">
        <v>1315</v>
      </c>
      <c r="G118" s="175" t="s">
        <v>1129</v>
      </c>
      <c r="H118" s="181"/>
      <c r="I118" s="175" t="s">
        <v>793</v>
      </c>
      <c r="J118" s="6">
        <f>IF(ISERROR(VLOOKUP(A118,'8080 Op to Hex'!$A:$A,1,0)),0,1)</f>
        <v>1</v>
      </c>
      <c r="K118" s="6" cm="1">
        <f t="array" ref="K118">HlpGetInstructionSize(A118,B118,C118)</f>
        <v>1</v>
      </c>
      <c r="L118" s="6">
        <f t="shared" si="1"/>
        <v>1</v>
      </c>
    </row>
    <row r="119" spans="1:12">
      <c r="A119" s="175" t="s">
        <v>190</v>
      </c>
      <c r="B119" s="175" t="s">
        <v>1236</v>
      </c>
      <c r="C119" s="175" t="s">
        <v>1453</v>
      </c>
      <c r="D119" s="177" t="s">
        <v>762</v>
      </c>
      <c r="E119" s="179">
        <v>3</v>
      </c>
      <c r="F119" s="175" t="s">
        <v>763</v>
      </c>
      <c r="G119" s="175" t="s">
        <v>1129</v>
      </c>
      <c r="H119" s="181"/>
      <c r="I119" s="175" t="s">
        <v>762</v>
      </c>
      <c r="J119" s="6">
        <f>IF(ISERROR(VLOOKUP(A119,'8080 Op to Hex'!$A:$A,1,0)),0,1)</f>
        <v>1</v>
      </c>
      <c r="K119" s="6" cm="1">
        <f t="array" ref="K119">HlpGetInstructionSize(A119,B119,C119)</f>
        <v>1</v>
      </c>
      <c r="L119" s="6">
        <f t="shared" si="1"/>
        <v>1</v>
      </c>
    </row>
    <row r="120" spans="1:12">
      <c r="A120" s="175" t="s">
        <v>190</v>
      </c>
      <c r="B120" s="175" t="s">
        <v>224</v>
      </c>
      <c r="C120" s="175" t="s">
        <v>1453</v>
      </c>
      <c r="D120" s="177" t="s">
        <v>855</v>
      </c>
      <c r="E120" s="179">
        <v>3</v>
      </c>
      <c r="F120" s="175" t="s">
        <v>1332</v>
      </c>
      <c r="G120" s="175" t="s">
        <v>1129</v>
      </c>
      <c r="H120" s="181"/>
      <c r="I120" s="175" t="s">
        <v>855</v>
      </c>
      <c r="J120" s="6">
        <f>IF(ISERROR(VLOOKUP(A120,'8080 Op to Hex'!$A:$A,1,0)),0,1)</f>
        <v>1</v>
      </c>
      <c r="K120" s="6" cm="1">
        <f t="array" ref="K120">HlpGetInstructionSize(A120,B120,C120)</f>
        <v>1</v>
      </c>
      <c r="L120" s="6">
        <f t="shared" si="1"/>
        <v>1</v>
      </c>
    </row>
    <row r="121" spans="1:12">
      <c r="A121" s="175" t="s">
        <v>190</v>
      </c>
      <c r="B121" s="175" t="s">
        <v>1325</v>
      </c>
      <c r="C121" s="175" t="s">
        <v>1453</v>
      </c>
      <c r="D121" s="177" t="s">
        <v>840</v>
      </c>
      <c r="E121" s="179">
        <v>3</v>
      </c>
      <c r="F121" s="175" t="s">
        <v>841</v>
      </c>
      <c r="G121" s="175" t="s">
        <v>1129</v>
      </c>
      <c r="H121" s="181"/>
      <c r="I121" s="175" t="s">
        <v>840</v>
      </c>
      <c r="J121" s="6">
        <f>IF(ISERROR(VLOOKUP(A121,'8080 Op to Hex'!$A:$A,1,0)),0,1)</f>
        <v>1</v>
      </c>
      <c r="K121" s="6" cm="1">
        <f t="array" ref="K121">HlpGetInstructionSize(A121,B121,C121)</f>
        <v>1</v>
      </c>
      <c r="L121" s="6">
        <f t="shared" si="1"/>
        <v>1</v>
      </c>
    </row>
    <row r="122" spans="1:12">
      <c r="A122" s="175" t="s">
        <v>190</v>
      </c>
      <c r="B122" s="175" t="s">
        <v>1319</v>
      </c>
      <c r="C122" s="175" t="s">
        <v>1453</v>
      </c>
      <c r="D122" s="177" t="s">
        <v>823</v>
      </c>
      <c r="E122" s="179">
        <v>3</v>
      </c>
      <c r="F122" s="175" t="s">
        <v>824</v>
      </c>
      <c r="G122" s="175" t="s">
        <v>1129</v>
      </c>
      <c r="H122" s="181"/>
      <c r="I122" s="175" t="s">
        <v>823</v>
      </c>
      <c r="J122" s="6">
        <f>IF(ISERROR(VLOOKUP(A122,'8080 Op to Hex'!$A:$A,1,0)),0,1)</f>
        <v>1</v>
      </c>
      <c r="K122" s="6" cm="1">
        <f t="array" ref="K122">HlpGetInstructionSize(A122,B122,C122)</f>
        <v>1</v>
      </c>
      <c r="L122" s="6">
        <f t="shared" si="1"/>
        <v>1</v>
      </c>
    </row>
    <row r="123" spans="1:12">
      <c r="A123" s="175" t="s">
        <v>190</v>
      </c>
      <c r="B123" s="175" t="s">
        <v>219</v>
      </c>
      <c r="C123" s="175" t="s">
        <v>1453</v>
      </c>
      <c r="D123" s="177" t="s">
        <v>777</v>
      </c>
      <c r="E123" s="179">
        <v>3</v>
      </c>
      <c r="F123" s="175" t="s">
        <v>778</v>
      </c>
      <c r="G123" s="175" t="s">
        <v>1129</v>
      </c>
      <c r="H123" s="181"/>
      <c r="I123" s="175" t="s">
        <v>777</v>
      </c>
      <c r="J123" s="6">
        <f>IF(ISERROR(VLOOKUP(A123,'8080 Op to Hex'!$A:$A,1,0)),0,1)</f>
        <v>1</v>
      </c>
      <c r="K123" s="6" cm="1">
        <f t="array" ref="K123">HlpGetInstructionSize(A123,B123,C123)</f>
        <v>1</v>
      </c>
      <c r="L123" s="6">
        <f t="shared" si="1"/>
        <v>1</v>
      </c>
    </row>
    <row r="124" spans="1:12">
      <c r="A124" s="175" t="s">
        <v>1255</v>
      </c>
      <c r="B124" s="175"/>
      <c r="C124" s="175"/>
      <c r="D124" s="177" t="s">
        <v>397</v>
      </c>
      <c r="E124" s="179">
        <v>1</v>
      </c>
      <c r="F124" s="175" t="s">
        <v>1595</v>
      </c>
      <c r="G124" s="175" t="s">
        <v>188</v>
      </c>
      <c r="H124" s="181"/>
      <c r="I124" s="175" t="s">
        <v>397</v>
      </c>
      <c r="J124" s="6">
        <f>IF(ISERROR(VLOOKUP(A124,'8080 Op to Hex'!$A:$A,1,0)),0,1)</f>
        <v>0</v>
      </c>
      <c r="K124" s="6" cm="1">
        <f t="array" ref="K124">HlpGetInstructionSize(A124,B124,C124)</f>
        <v>1</v>
      </c>
      <c r="L124" s="6">
        <f t="shared" si="1"/>
        <v>0</v>
      </c>
    </row>
    <row r="125" spans="1:12">
      <c r="A125" s="175" t="s">
        <v>875</v>
      </c>
      <c r="B125" s="175" t="s">
        <v>146</v>
      </c>
      <c r="C125" s="175" t="s">
        <v>1238</v>
      </c>
      <c r="D125" s="177" t="s">
        <v>749</v>
      </c>
      <c r="E125" s="179">
        <v>1</v>
      </c>
      <c r="F125" s="175" t="s">
        <v>1304</v>
      </c>
      <c r="G125" s="175" t="s">
        <v>1303</v>
      </c>
      <c r="H125" s="181"/>
      <c r="I125" s="175" t="s">
        <v>749</v>
      </c>
      <c r="J125" s="6">
        <f>IF(ISERROR(VLOOKUP(A125,'8080 Op to Hex'!$A:$A,1,0)),0,1)</f>
        <v>1</v>
      </c>
      <c r="K125" s="6" cm="1">
        <f t="array" ref="K125">HlpGetInstructionSize(A125,B125,C125)</f>
        <v>1</v>
      </c>
      <c r="L125" s="6">
        <f t="shared" si="1"/>
        <v>0</v>
      </c>
    </row>
    <row r="126" spans="1:12">
      <c r="A126" s="175" t="s">
        <v>875</v>
      </c>
      <c r="B126" s="175" t="s">
        <v>146</v>
      </c>
      <c r="C126" s="175" t="s">
        <v>1377</v>
      </c>
      <c r="D126" s="177" t="s">
        <v>1438</v>
      </c>
      <c r="E126" s="179">
        <v>4</v>
      </c>
      <c r="F126" s="175" t="s">
        <v>1439</v>
      </c>
      <c r="G126" s="175" t="s">
        <v>126</v>
      </c>
      <c r="H126" s="181" t="s">
        <v>810</v>
      </c>
      <c r="I126" s="175" t="s">
        <v>749</v>
      </c>
      <c r="J126" s="6">
        <f>IF(ISERROR(VLOOKUP(A126,'8080 Op to Hex'!$A:$A,1,0)),0,1)</f>
        <v>1</v>
      </c>
      <c r="K126" s="6" cm="1">
        <f t="array" ref="K126">HlpGetInstructionSize(A126,B126,C126)</f>
        <v>1</v>
      </c>
      <c r="L126" s="6">
        <f t="shared" si="1"/>
        <v>1</v>
      </c>
    </row>
    <row r="127" spans="1:12">
      <c r="A127" s="175" t="s">
        <v>875</v>
      </c>
      <c r="B127" s="175" t="s">
        <v>146</v>
      </c>
      <c r="C127" s="175" t="s">
        <v>1380</v>
      </c>
      <c r="D127" s="177" t="s">
        <v>1440</v>
      </c>
      <c r="E127" s="179">
        <v>4</v>
      </c>
      <c r="F127" s="175" t="s">
        <v>1441</v>
      </c>
      <c r="G127" s="175" t="s">
        <v>126</v>
      </c>
      <c r="H127" s="181" t="s">
        <v>1025</v>
      </c>
      <c r="I127" s="175" t="s">
        <v>749</v>
      </c>
      <c r="J127" s="6">
        <f>IF(ISERROR(VLOOKUP(A127,'8080 Op to Hex'!$A:$A,1,0)),0,1)</f>
        <v>1</v>
      </c>
      <c r="K127" s="6" cm="1">
        <f t="array" ref="K127">HlpGetInstructionSize(A127,B127,C127)</f>
        <v>1</v>
      </c>
      <c r="L127" s="6">
        <f t="shared" si="1"/>
        <v>1</v>
      </c>
    </row>
    <row r="128" spans="1:12">
      <c r="A128" s="175" t="s">
        <v>875</v>
      </c>
      <c r="B128" s="175" t="s">
        <v>146</v>
      </c>
      <c r="C128" s="175" t="s">
        <v>146</v>
      </c>
      <c r="D128" s="177" t="s">
        <v>751</v>
      </c>
      <c r="E128" s="179">
        <v>1</v>
      </c>
      <c r="F128" s="175" t="s">
        <v>752</v>
      </c>
      <c r="G128" s="175" t="s">
        <v>1303</v>
      </c>
      <c r="H128" s="181"/>
      <c r="I128" s="175" t="s">
        <v>751</v>
      </c>
      <c r="J128" s="6">
        <f>IF(ISERROR(VLOOKUP(A128,'8080 Op to Hex'!$A:$A,1,0)),0,1)</f>
        <v>1</v>
      </c>
      <c r="K128" s="6" cm="1">
        <f t="array" ref="K128">HlpGetInstructionSize(A128,B128,C128)</f>
        <v>1</v>
      </c>
      <c r="L128" s="6">
        <f t="shared" si="1"/>
        <v>0</v>
      </c>
    </row>
    <row r="129" spans="1:12">
      <c r="A129" s="175" t="s">
        <v>875</v>
      </c>
      <c r="B129" s="175" t="s">
        <v>146</v>
      </c>
      <c r="C129" s="175" t="s">
        <v>144</v>
      </c>
      <c r="D129" s="177" t="s">
        <v>738</v>
      </c>
      <c r="E129" s="179">
        <v>1</v>
      </c>
      <c r="F129" s="175" t="s">
        <v>739</v>
      </c>
      <c r="G129" s="175" t="s">
        <v>1303</v>
      </c>
      <c r="H129" s="181"/>
      <c r="I129" s="175" t="s">
        <v>738</v>
      </c>
      <c r="J129" s="6">
        <f>IF(ISERROR(VLOOKUP(A129,'8080 Op to Hex'!$A:$A,1,0)),0,1)</f>
        <v>1</v>
      </c>
      <c r="K129" s="6" cm="1">
        <f t="array" ref="K129">HlpGetInstructionSize(A129,B129,C129)</f>
        <v>1</v>
      </c>
      <c r="L129" s="6">
        <f t="shared" si="1"/>
        <v>0</v>
      </c>
    </row>
    <row r="130" spans="1:12">
      <c r="A130" s="175" t="s">
        <v>875</v>
      </c>
      <c r="B130" s="175" t="s">
        <v>146</v>
      </c>
      <c r="C130" s="175" t="s">
        <v>182</v>
      </c>
      <c r="D130" s="177" t="s">
        <v>740</v>
      </c>
      <c r="E130" s="179">
        <v>1</v>
      </c>
      <c r="F130" s="175" t="s">
        <v>741</v>
      </c>
      <c r="G130" s="175" t="s">
        <v>1303</v>
      </c>
      <c r="H130" s="181"/>
      <c r="I130" s="175" t="s">
        <v>740</v>
      </c>
      <c r="J130" s="6">
        <f>IF(ISERROR(VLOOKUP(A130,'8080 Op to Hex'!$A:$A,1,0)),0,1)</f>
        <v>1</v>
      </c>
      <c r="K130" s="6" cm="1">
        <f t="array" ref="K130">HlpGetInstructionSize(A130,B130,C130)</f>
        <v>1</v>
      </c>
      <c r="L130" s="6">
        <f t="shared" ref="L130:L193" si="2">IF(E130&lt;&gt;K130,1,0)</f>
        <v>0</v>
      </c>
    </row>
    <row r="131" spans="1:12">
      <c r="A131" s="175" t="s">
        <v>875</v>
      </c>
      <c r="B131" s="175" t="s">
        <v>146</v>
      </c>
      <c r="C131" s="175" t="s">
        <v>183</v>
      </c>
      <c r="D131" s="177" t="s">
        <v>742</v>
      </c>
      <c r="E131" s="179">
        <v>1</v>
      </c>
      <c r="F131" s="175" t="s">
        <v>743</v>
      </c>
      <c r="G131" s="175" t="s">
        <v>1303</v>
      </c>
      <c r="H131" s="181"/>
      <c r="I131" s="175" t="s">
        <v>742</v>
      </c>
      <c r="J131" s="6">
        <f>IF(ISERROR(VLOOKUP(A131,'8080 Op to Hex'!$A:$A,1,0)),0,1)</f>
        <v>1</v>
      </c>
      <c r="K131" s="6" cm="1">
        <f t="array" ref="K131">HlpGetInstructionSize(A131,B131,C131)</f>
        <v>1</v>
      </c>
      <c r="L131" s="6">
        <f t="shared" si="2"/>
        <v>0</v>
      </c>
    </row>
    <row r="132" spans="1:12">
      <c r="A132" s="175" t="s">
        <v>875</v>
      </c>
      <c r="B132" s="175" t="s">
        <v>146</v>
      </c>
      <c r="C132" s="175" t="s">
        <v>265</v>
      </c>
      <c r="D132" s="177" t="s">
        <v>744</v>
      </c>
      <c r="E132" s="179">
        <v>1</v>
      </c>
      <c r="F132" s="175" t="s">
        <v>745</v>
      </c>
      <c r="G132" s="175" t="s">
        <v>1303</v>
      </c>
      <c r="H132" s="181"/>
      <c r="I132" s="175" t="s">
        <v>744</v>
      </c>
      <c r="J132" s="6">
        <f>IF(ISERROR(VLOOKUP(A132,'8080 Op to Hex'!$A:$A,1,0)),0,1)</f>
        <v>1</v>
      </c>
      <c r="K132" s="6" cm="1">
        <f t="array" ref="K132">HlpGetInstructionSize(A132,B132,C132)</f>
        <v>1</v>
      </c>
      <c r="L132" s="6">
        <f t="shared" si="2"/>
        <v>0</v>
      </c>
    </row>
    <row r="133" spans="1:12">
      <c r="A133" s="175" t="s">
        <v>875</v>
      </c>
      <c r="B133" s="175" t="s">
        <v>146</v>
      </c>
      <c r="C133" s="175" t="s">
        <v>303</v>
      </c>
      <c r="D133" s="177" t="s">
        <v>336</v>
      </c>
      <c r="E133" s="179">
        <v>1</v>
      </c>
      <c r="F133" s="175" t="s">
        <v>746</v>
      </c>
      <c r="G133" s="175" t="s">
        <v>1303</v>
      </c>
      <c r="H133" s="181"/>
      <c r="I133" s="175" t="s">
        <v>336</v>
      </c>
      <c r="J133" s="6">
        <f>IF(ISERROR(VLOOKUP(A133,'8080 Op to Hex'!$A:$A,1,0)),0,1)</f>
        <v>1</v>
      </c>
      <c r="K133" s="6" cm="1">
        <f t="array" ref="K133">HlpGetInstructionSize(A133,B133,C133)</f>
        <v>1</v>
      </c>
      <c r="L133" s="6">
        <f t="shared" si="2"/>
        <v>0</v>
      </c>
    </row>
    <row r="134" spans="1:12">
      <c r="A134" s="175" t="s">
        <v>875</v>
      </c>
      <c r="B134" s="175" t="s">
        <v>146</v>
      </c>
      <c r="C134" s="175" t="s">
        <v>327</v>
      </c>
      <c r="D134" s="177" t="s">
        <v>747</v>
      </c>
      <c r="E134" s="179">
        <v>1</v>
      </c>
      <c r="F134" s="175" t="s">
        <v>748</v>
      </c>
      <c r="G134" s="175" t="s">
        <v>1303</v>
      </c>
      <c r="H134" s="181"/>
      <c r="I134" s="175" t="s">
        <v>747</v>
      </c>
      <c r="J134" s="6">
        <f>IF(ISERROR(VLOOKUP(A134,'8080 Op to Hex'!$A:$A,1,0)),0,1)</f>
        <v>1</v>
      </c>
      <c r="K134" s="6" cm="1">
        <f t="array" ref="K134">HlpGetInstructionSize(A134,B134,C134)</f>
        <v>1</v>
      </c>
      <c r="L134" s="6">
        <f t="shared" si="2"/>
        <v>0</v>
      </c>
    </row>
    <row r="135" spans="1:12">
      <c r="A135" s="175" t="s">
        <v>875</v>
      </c>
      <c r="B135" s="175" t="s">
        <v>146</v>
      </c>
      <c r="C135" s="175" t="s">
        <v>1452</v>
      </c>
      <c r="D135" s="177" t="s">
        <v>425</v>
      </c>
      <c r="E135" s="179">
        <v>2</v>
      </c>
      <c r="F135" s="175" t="s">
        <v>1341</v>
      </c>
      <c r="G135" s="175" t="s">
        <v>1303</v>
      </c>
      <c r="H135" s="181"/>
      <c r="I135" s="175" t="s">
        <v>425</v>
      </c>
      <c r="J135" s="6">
        <f>IF(ISERROR(VLOOKUP(A135,'8080 Op to Hex'!$A:$A,1,0)),0,1)</f>
        <v>1</v>
      </c>
      <c r="K135" s="6" cm="1">
        <f t="array" ref="K135">HlpGetInstructionSize(A135,B135,C135)</f>
        <v>1</v>
      </c>
      <c r="L135" s="6">
        <f t="shared" si="2"/>
        <v>1</v>
      </c>
    </row>
    <row r="136" spans="1:12">
      <c r="A136" s="175" t="s">
        <v>1596</v>
      </c>
      <c r="B136" s="175"/>
      <c r="C136" s="175"/>
      <c r="D136" s="177" t="s">
        <v>1597</v>
      </c>
      <c r="E136" s="179">
        <v>2</v>
      </c>
      <c r="F136" s="175" t="s">
        <v>1598</v>
      </c>
      <c r="G136" s="175" t="s">
        <v>1387</v>
      </c>
      <c r="H136" s="181" t="s">
        <v>842</v>
      </c>
      <c r="I136" s="175" t="s">
        <v>719</v>
      </c>
      <c r="J136" s="6">
        <f>IF(ISERROR(VLOOKUP(A136,'8080 Op to Hex'!$A:$A,1,0)),0,1)</f>
        <v>0</v>
      </c>
      <c r="K136" s="6" cm="1">
        <f t="array" ref="K136">HlpGetInstructionSize(A136,B136,C136)</f>
        <v>1</v>
      </c>
      <c r="L136" s="6">
        <f t="shared" si="2"/>
        <v>1</v>
      </c>
    </row>
    <row r="137" spans="1:12">
      <c r="A137" s="175" t="s">
        <v>1394</v>
      </c>
      <c r="B137" s="175"/>
      <c r="C137" s="175"/>
      <c r="D137" s="177" t="s">
        <v>1395</v>
      </c>
      <c r="E137" s="179">
        <v>2</v>
      </c>
      <c r="F137" s="175" t="s">
        <v>1396</v>
      </c>
      <c r="G137" s="175" t="s">
        <v>1387</v>
      </c>
      <c r="H137" s="181" t="s">
        <v>842</v>
      </c>
      <c r="I137" s="175" t="s">
        <v>740</v>
      </c>
      <c r="J137" s="6">
        <f>IF(ISERROR(VLOOKUP(A137,'8080 Op to Hex'!$A:$A,1,0)),0,1)</f>
        <v>0</v>
      </c>
      <c r="K137" s="6" cm="1">
        <f t="array" ref="K137">HlpGetInstructionSize(A137,B137,C137)</f>
        <v>1</v>
      </c>
      <c r="L137" s="6">
        <f t="shared" si="2"/>
        <v>1</v>
      </c>
    </row>
    <row r="138" spans="1:12">
      <c r="A138" s="175" t="s">
        <v>157</v>
      </c>
      <c r="B138" s="175"/>
      <c r="C138" s="175"/>
      <c r="D138" s="177" t="s">
        <v>1599</v>
      </c>
      <c r="E138" s="179">
        <v>2</v>
      </c>
      <c r="F138" s="175" t="s">
        <v>1600</v>
      </c>
      <c r="G138" s="175" t="s">
        <v>1387</v>
      </c>
      <c r="H138" s="181" t="s">
        <v>842</v>
      </c>
      <c r="I138" s="175" t="s">
        <v>703</v>
      </c>
      <c r="J138" s="6">
        <f>IF(ISERROR(VLOOKUP(A138,'8080 Op to Hex'!$A:$A,1,0)),0,1)</f>
        <v>1</v>
      </c>
      <c r="K138" s="6" cm="1">
        <f t="array" ref="K138">HlpGetInstructionSize(A138,B138,C138)</f>
        <v>1</v>
      </c>
      <c r="L138" s="6">
        <f t="shared" si="2"/>
        <v>1</v>
      </c>
    </row>
    <row r="139" spans="1:12">
      <c r="A139" s="175" t="s">
        <v>1391</v>
      </c>
      <c r="B139" s="175"/>
      <c r="C139" s="175"/>
      <c r="D139" s="177" t="s">
        <v>1392</v>
      </c>
      <c r="E139" s="179">
        <v>2</v>
      </c>
      <c r="F139" s="175" t="s">
        <v>1393</v>
      </c>
      <c r="G139" s="175" t="s">
        <v>1387</v>
      </c>
      <c r="H139" s="181" t="s">
        <v>842</v>
      </c>
      <c r="I139" s="175" t="s">
        <v>493</v>
      </c>
      <c r="J139" s="6">
        <f>IF(ISERROR(VLOOKUP(A139,'8080 Op to Hex'!$A:$A,1,0)),0,1)</f>
        <v>0</v>
      </c>
      <c r="K139" s="6" cm="1">
        <f t="array" ref="K139">HlpGetInstructionSize(A139,B139,C139)</f>
        <v>1</v>
      </c>
      <c r="L139" s="6">
        <f t="shared" si="2"/>
        <v>1</v>
      </c>
    </row>
    <row r="140" spans="1:12">
      <c r="A140" s="175" t="s">
        <v>1243</v>
      </c>
      <c r="B140" s="175"/>
      <c r="C140" s="175"/>
      <c r="D140" s="177" t="s">
        <v>552</v>
      </c>
      <c r="E140" s="179">
        <v>1</v>
      </c>
      <c r="F140" s="175" t="s">
        <v>553</v>
      </c>
      <c r="G140" s="175" t="s">
        <v>1127</v>
      </c>
      <c r="H140" s="181"/>
      <c r="I140" s="175" t="s">
        <v>552</v>
      </c>
      <c r="J140" s="6">
        <f>IF(ISERROR(VLOOKUP(A140,'8080 Op to Hex'!$A:$A,1,0)),0,1)</f>
        <v>0</v>
      </c>
      <c r="K140" s="6" cm="1">
        <f t="array" ref="K140">HlpGetInstructionSize(A140,B140,C140)</f>
        <v>1</v>
      </c>
      <c r="L140" s="6">
        <f t="shared" si="2"/>
        <v>0</v>
      </c>
    </row>
    <row r="141" spans="1:12">
      <c r="A141" s="175" t="s">
        <v>52</v>
      </c>
      <c r="B141" s="175"/>
      <c r="C141" s="175"/>
      <c r="D141" s="177" t="s">
        <v>896</v>
      </c>
      <c r="E141" s="179">
        <v>1</v>
      </c>
      <c r="F141" s="175" t="s">
        <v>541</v>
      </c>
      <c r="G141" s="175" t="s">
        <v>1127</v>
      </c>
      <c r="H141" s="181"/>
      <c r="I141" s="175" t="s">
        <v>896</v>
      </c>
      <c r="J141" s="6">
        <f>IF(ISERROR(VLOOKUP(A141,'8080 Op to Hex'!$A:$A,1,0)),0,1)</f>
        <v>1</v>
      </c>
      <c r="K141" s="6" cm="1">
        <f t="array" ref="K141">HlpGetInstructionSize(A141,B141,C141)</f>
        <v>1</v>
      </c>
      <c r="L141" s="6">
        <f t="shared" si="2"/>
        <v>0</v>
      </c>
    </row>
    <row r="142" spans="1:12">
      <c r="A142" s="175" t="s">
        <v>1215</v>
      </c>
      <c r="B142" s="175" t="s">
        <v>1238</v>
      </c>
      <c r="C142" s="175"/>
      <c r="D142" s="177" t="s">
        <v>902</v>
      </c>
      <c r="E142" s="179">
        <v>1</v>
      </c>
      <c r="F142" s="175" t="s">
        <v>1249</v>
      </c>
      <c r="G142" s="175" t="s">
        <v>1211</v>
      </c>
      <c r="H142" s="181"/>
      <c r="I142" s="175" t="s">
        <v>902</v>
      </c>
      <c r="J142" s="6">
        <f>IF(ISERROR(VLOOKUP(A142,'8080 Op to Hex'!$A:$A,1,0)),0,1)</f>
        <v>0</v>
      </c>
      <c r="K142" s="6" cm="1">
        <f t="array" ref="K142">HlpGetInstructionSize(A142,B142,C142)</f>
        <v>3</v>
      </c>
      <c r="L142" s="6">
        <f t="shared" si="2"/>
        <v>1</v>
      </c>
    </row>
    <row r="143" spans="1:12">
      <c r="A143" s="175" t="s">
        <v>1215</v>
      </c>
      <c r="B143" s="175" t="s">
        <v>1377</v>
      </c>
      <c r="C143" s="175"/>
      <c r="D143" s="177" t="s">
        <v>1446</v>
      </c>
      <c r="E143" s="179">
        <v>4</v>
      </c>
      <c r="F143" s="175" t="s">
        <v>1447</v>
      </c>
      <c r="G143" s="175" t="s">
        <v>126</v>
      </c>
      <c r="H143" s="181" t="s">
        <v>810</v>
      </c>
      <c r="I143" s="175" t="s">
        <v>902</v>
      </c>
      <c r="J143" s="6">
        <f>IF(ISERROR(VLOOKUP(A143,'8080 Op to Hex'!$A:$A,1,0)),0,1)</f>
        <v>0</v>
      </c>
      <c r="K143" s="6" cm="1">
        <f t="array" ref="K143">HlpGetInstructionSize(A143,B143,C143)</f>
        <v>3</v>
      </c>
      <c r="L143" s="6">
        <f t="shared" si="2"/>
        <v>1</v>
      </c>
    </row>
    <row r="144" spans="1:12">
      <c r="A144" s="175" t="s">
        <v>1215</v>
      </c>
      <c r="B144" s="175" t="s">
        <v>1380</v>
      </c>
      <c r="C144" s="175"/>
      <c r="D144" s="177" t="s">
        <v>1448</v>
      </c>
      <c r="E144" s="179">
        <v>4</v>
      </c>
      <c r="F144" s="175" t="s">
        <v>1449</v>
      </c>
      <c r="G144" s="175" t="s">
        <v>126</v>
      </c>
      <c r="H144" s="181" t="s">
        <v>1025</v>
      </c>
      <c r="I144" s="175" t="s">
        <v>902</v>
      </c>
      <c r="J144" s="6">
        <f>IF(ISERROR(VLOOKUP(A144,'8080 Op to Hex'!$A:$A,1,0)),0,1)</f>
        <v>0</v>
      </c>
      <c r="K144" s="6" cm="1">
        <f t="array" ref="K144">HlpGetInstructionSize(A144,B144,C144)</f>
        <v>3</v>
      </c>
      <c r="L144" s="6">
        <f t="shared" si="2"/>
        <v>1</v>
      </c>
    </row>
    <row r="145" spans="1:12">
      <c r="A145" s="175" t="s">
        <v>1215</v>
      </c>
      <c r="B145" s="175" t="s">
        <v>146</v>
      </c>
      <c r="C145" s="175"/>
      <c r="D145" s="177" t="s">
        <v>566</v>
      </c>
      <c r="E145" s="179">
        <v>1</v>
      </c>
      <c r="F145" s="175" t="s">
        <v>1601</v>
      </c>
      <c r="G145" s="175" t="s">
        <v>1214</v>
      </c>
      <c r="H145" s="181"/>
      <c r="I145" s="175" t="s">
        <v>566</v>
      </c>
      <c r="J145" s="6">
        <f>IF(ISERROR(VLOOKUP(A145,'8080 Op to Hex'!$A:$A,1,0)),0,1)</f>
        <v>0</v>
      </c>
      <c r="K145" s="6" cm="1">
        <f t="array" ref="K145">HlpGetInstructionSize(A145,B145,C145)</f>
        <v>1</v>
      </c>
      <c r="L145" s="6">
        <f t="shared" si="2"/>
        <v>0</v>
      </c>
    </row>
    <row r="146" spans="1:12">
      <c r="A146" s="175" t="s">
        <v>1215</v>
      </c>
      <c r="B146" s="175" t="s">
        <v>144</v>
      </c>
      <c r="C146" s="175"/>
      <c r="D146" s="177" t="s">
        <v>880</v>
      </c>
      <c r="E146" s="179">
        <v>1</v>
      </c>
      <c r="F146" s="175" t="s">
        <v>503</v>
      </c>
      <c r="G146" s="175" t="s">
        <v>1214</v>
      </c>
      <c r="H146" s="181"/>
      <c r="I146" s="175" t="s">
        <v>880</v>
      </c>
      <c r="J146" s="6">
        <f>IF(ISERROR(VLOOKUP(A146,'8080 Op to Hex'!$A:$A,1,0)),0,1)</f>
        <v>0</v>
      </c>
      <c r="K146" s="6" t="e" cm="1">
        <f t="array" ref="K146">HlpGetInstructionSize(A146,B146,C146)</f>
        <v>#VALUE!</v>
      </c>
      <c r="L146" s="6" t="e">
        <f t="shared" si="2"/>
        <v>#VALUE!</v>
      </c>
    </row>
    <row r="147" spans="1:12">
      <c r="A147" s="175" t="s">
        <v>1215</v>
      </c>
      <c r="B147" s="175" t="s">
        <v>336</v>
      </c>
      <c r="C147" s="175"/>
      <c r="D147" s="177" t="s">
        <v>508</v>
      </c>
      <c r="E147" s="179">
        <v>1</v>
      </c>
      <c r="F147" s="175" t="s">
        <v>509</v>
      </c>
      <c r="G147" s="175" t="s">
        <v>1213</v>
      </c>
      <c r="H147" s="181"/>
      <c r="I147" s="175" t="s">
        <v>508</v>
      </c>
      <c r="J147" s="6">
        <f>IF(ISERROR(VLOOKUP(A147,'8080 Op to Hex'!$A:$A,1,0)),0,1)</f>
        <v>0</v>
      </c>
      <c r="K147" s="6" t="e" cm="1">
        <f t="array" ref="K147">HlpGetInstructionSize(A147,B147,C147)</f>
        <v>#VALUE!</v>
      </c>
      <c r="L147" s="6" t="e">
        <f t="shared" si="2"/>
        <v>#VALUE!</v>
      </c>
    </row>
    <row r="148" spans="1:12">
      <c r="A148" s="175" t="s">
        <v>1215</v>
      </c>
      <c r="B148" s="175" t="s">
        <v>182</v>
      </c>
      <c r="C148" s="175"/>
      <c r="D148" s="177" t="s">
        <v>511</v>
      </c>
      <c r="E148" s="179">
        <v>1</v>
      </c>
      <c r="F148" s="175" t="s">
        <v>512</v>
      </c>
      <c r="G148" s="175" t="s">
        <v>1214</v>
      </c>
      <c r="H148" s="181"/>
      <c r="I148" s="175" t="s">
        <v>511</v>
      </c>
      <c r="J148" s="6">
        <f>IF(ISERROR(VLOOKUP(A148,'8080 Op to Hex'!$A:$A,1,0)),0,1)</f>
        <v>0</v>
      </c>
      <c r="K148" s="6" t="e" cm="1">
        <f t="array" ref="K148">HlpGetInstructionSize(A148,B148,C148)</f>
        <v>#VALUE!</v>
      </c>
      <c r="L148" s="6" t="e">
        <f t="shared" si="2"/>
        <v>#VALUE!</v>
      </c>
    </row>
    <row r="149" spans="1:12">
      <c r="A149" s="175" t="s">
        <v>1215</v>
      </c>
      <c r="B149" s="175" t="s">
        <v>183</v>
      </c>
      <c r="C149" s="175"/>
      <c r="D149" s="177" t="s">
        <v>886</v>
      </c>
      <c r="E149" s="179">
        <v>1</v>
      </c>
      <c r="F149" s="175" t="s">
        <v>519</v>
      </c>
      <c r="G149" s="175" t="s">
        <v>1214</v>
      </c>
      <c r="H149" s="181"/>
      <c r="I149" s="175" t="s">
        <v>886</v>
      </c>
      <c r="J149" s="6">
        <f>IF(ISERROR(VLOOKUP(A149,'8080 Op to Hex'!$A:$A,1,0)),0,1)</f>
        <v>0</v>
      </c>
      <c r="K149" s="6" t="e" cm="1">
        <f t="array" ref="K149">HlpGetInstructionSize(A149,B149,C149)</f>
        <v>#VALUE!</v>
      </c>
      <c r="L149" s="6" t="e">
        <f t="shared" si="2"/>
        <v>#VALUE!</v>
      </c>
    </row>
    <row r="150" spans="1:12">
      <c r="A150" s="175" t="s">
        <v>1215</v>
      </c>
      <c r="B150" s="175" t="s">
        <v>811</v>
      </c>
      <c r="C150" s="175"/>
      <c r="D150" s="177" t="s">
        <v>525</v>
      </c>
      <c r="E150" s="179">
        <v>1</v>
      </c>
      <c r="F150" s="175" t="s">
        <v>526</v>
      </c>
      <c r="G150" s="175" t="s">
        <v>1213</v>
      </c>
      <c r="H150" s="181"/>
      <c r="I150" s="175" t="s">
        <v>525</v>
      </c>
      <c r="J150" s="6">
        <f>IF(ISERROR(VLOOKUP(A150,'8080 Op to Hex'!$A:$A,1,0)),0,1)</f>
        <v>0</v>
      </c>
      <c r="K150" s="6" t="e" cm="1">
        <f t="array" ref="K150">HlpGetInstructionSize(A150,B150,C150)</f>
        <v>#VALUE!</v>
      </c>
      <c r="L150" s="6" t="e">
        <f t="shared" si="2"/>
        <v>#VALUE!</v>
      </c>
    </row>
    <row r="151" spans="1:12">
      <c r="A151" s="175" t="s">
        <v>1215</v>
      </c>
      <c r="B151" s="175" t="s">
        <v>265</v>
      </c>
      <c r="C151" s="175"/>
      <c r="D151" s="177" t="s">
        <v>529</v>
      </c>
      <c r="E151" s="179">
        <v>1</v>
      </c>
      <c r="F151" s="175" t="s">
        <v>530</v>
      </c>
      <c r="G151" s="175" t="s">
        <v>1214</v>
      </c>
      <c r="H151" s="181"/>
      <c r="I151" s="175" t="s">
        <v>529</v>
      </c>
      <c r="J151" s="6">
        <f>IF(ISERROR(VLOOKUP(A151,'8080 Op to Hex'!$A:$A,1,0)),0,1)</f>
        <v>0</v>
      </c>
      <c r="K151" s="6" t="e" cm="1">
        <f t="array" ref="K151">HlpGetInstructionSize(A151,B151,C151)</f>
        <v>#VALUE!</v>
      </c>
      <c r="L151" s="6" t="e">
        <f t="shared" si="2"/>
        <v>#VALUE!</v>
      </c>
    </row>
    <row r="152" spans="1:12">
      <c r="A152" s="175" t="s">
        <v>1215</v>
      </c>
      <c r="B152" s="175" t="s">
        <v>303</v>
      </c>
      <c r="C152" s="175"/>
      <c r="D152" s="177" t="s">
        <v>894</v>
      </c>
      <c r="E152" s="179">
        <v>1</v>
      </c>
      <c r="F152" s="175" t="s">
        <v>539</v>
      </c>
      <c r="G152" s="175" t="s">
        <v>1214</v>
      </c>
      <c r="H152" s="181"/>
      <c r="I152" s="175" t="s">
        <v>894</v>
      </c>
      <c r="J152" s="6">
        <f>IF(ISERROR(VLOOKUP(A152,'8080 Op to Hex'!$A:$A,1,0)),0,1)</f>
        <v>0</v>
      </c>
      <c r="K152" s="6" t="e" cm="1">
        <f t="array" ref="K152">HlpGetInstructionSize(A152,B152,C152)</f>
        <v>#VALUE!</v>
      </c>
      <c r="L152" s="6" t="e">
        <f t="shared" si="2"/>
        <v>#VALUE!</v>
      </c>
    </row>
    <row r="153" spans="1:12">
      <c r="A153" s="175" t="s">
        <v>1215</v>
      </c>
      <c r="B153" s="175" t="s">
        <v>1221</v>
      </c>
      <c r="C153" s="175"/>
      <c r="D153" s="177" t="s">
        <v>544</v>
      </c>
      <c r="E153" s="179">
        <v>1</v>
      </c>
      <c r="F153" s="175" t="s">
        <v>545</v>
      </c>
      <c r="G153" s="175" t="s">
        <v>1213</v>
      </c>
      <c r="H153" s="181"/>
      <c r="I153" s="175" t="s">
        <v>544</v>
      </c>
      <c r="J153" s="6">
        <f>IF(ISERROR(VLOOKUP(A153,'8080 Op to Hex'!$A:$A,1,0)),0,1)</f>
        <v>0</v>
      </c>
      <c r="K153" s="6" t="e" cm="1">
        <f t="array" ref="K153">HlpGetInstructionSize(A153,B153,C153)</f>
        <v>#VALUE!</v>
      </c>
      <c r="L153" s="6" t="e">
        <f t="shared" si="2"/>
        <v>#VALUE!</v>
      </c>
    </row>
    <row r="154" spans="1:12">
      <c r="A154" s="175" t="s">
        <v>1215</v>
      </c>
      <c r="B154" s="175" t="s">
        <v>1149</v>
      </c>
      <c r="C154" s="175"/>
      <c r="D154" s="177" t="s">
        <v>1602</v>
      </c>
      <c r="E154" s="179">
        <v>2</v>
      </c>
      <c r="F154" s="175" t="s">
        <v>1603</v>
      </c>
      <c r="G154" s="175" t="s">
        <v>1213</v>
      </c>
      <c r="H154" s="181" t="s">
        <v>810</v>
      </c>
      <c r="I154" s="175" t="s">
        <v>544</v>
      </c>
      <c r="J154" s="6">
        <f>IF(ISERROR(VLOOKUP(A154,'8080 Op to Hex'!$A:$A,1,0)),0,1)</f>
        <v>0</v>
      </c>
      <c r="K154" s="6" t="e" cm="1">
        <f t="array" ref="K154">HlpGetInstructionSize(A154,B154,C154)</f>
        <v>#VALUE!</v>
      </c>
      <c r="L154" s="6" t="e">
        <f t="shared" si="2"/>
        <v>#VALUE!</v>
      </c>
    </row>
    <row r="155" spans="1:12">
      <c r="A155" s="175" t="s">
        <v>1215</v>
      </c>
      <c r="B155" s="175" t="s">
        <v>1400</v>
      </c>
      <c r="C155" s="175"/>
      <c r="D155" s="177" t="s">
        <v>1604</v>
      </c>
      <c r="E155" s="179">
        <v>2</v>
      </c>
      <c r="F155" s="175" t="s">
        <v>1605</v>
      </c>
      <c r="G155" s="175" t="s">
        <v>1213</v>
      </c>
      <c r="H155" s="181" t="s">
        <v>1025</v>
      </c>
      <c r="I155" s="175" t="s">
        <v>544</v>
      </c>
      <c r="J155" s="6">
        <f>IF(ISERROR(VLOOKUP(A155,'8080 Op to Hex'!$A:$A,1,0)),0,1)</f>
        <v>0</v>
      </c>
      <c r="K155" s="6" t="e" cm="1">
        <f t="array" ref="K155">HlpGetInstructionSize(A155,B155,C155)</f>
        <v>#VALUE!</v>
      </c>
      <c r="L155" s="6" t="e">
        <f t="shared" si="2"/>
        <v>#VALUE!</v>
      </c>
    </row>
    <row r="156" spans="1:12">
      <c r="A156" s="175" t="s">
        <v>1215</v>
      </c>
      <c r="B156" s="175" t="s">
        <v>327</v>
      </c>
      <c r="C156" s="175"/>
      <c r="D156" s="177" t="s">
        <v>548</v>
      </c>
      <c r="E156" s="179">
        <v>1</v>
      </c>
      <c r="F156" s="175" t="s">
        <v>549</v>
      </c>
      <c r="G156" s="175" t="s">
        <v>1214</v>
      </c>
      <c r="H156" s="181"/>
      <c r="I156" s="175" t="s">
        <v>548</v>
      </c>
      <c r="J156" s="6">
        <f>IF(ISERROR(VLOOKUP(A156,'8080 Op to Hex'!$A:$A,1,0)),0,1)</f>
        <v>0</v>
      </c>
      <c r="K156" s="6" t="e" cm="1">
        <f t="array" ref="K156">HlpGetInstructionSize(A156,B156,C156)</f>
        <v>#VALUE!</v>
      </c>
      <c r="L156" s="6" t="e">
        <f t="shared" si="2"/>
        <v>#VALUE!</v>
      </c>
    </row>
    <row r="157" spans="1:12">
      <c r="A157" s="175" t="s">
        <v>1215</v>
      </c>
      <c r="B157" s="175" t="s">
        <v>114</v>
      </c>
      <c r="C157" s="175"/>
      <c r="D157" s="177" t="s">
        <v>563</v>
      </c>
      <c r="E157" s="179">
        <v>1</v>
      </c>
      <c r="F157" s="175" t="s">
        <v>564</v>
      </c>
      <c r="G157" s="175" t="s">
        <v>1213</v>
      </c>
      <c r="H157" s="181"/>
      <c r="I157" s="175" t="s">
        <v>563</v>
      </c>
      <c r="J157" s="6">
        <f>IF(ISERROR(VLOOKUP(A157,'8080 Op to Hex'!$A:$A,1,0)),0,1)</f>
        <v>0</v>
      </c>
      <c r="K157" s="6" t="e" cm="1">
        <f t="array" ref="K157">HlpGetInstructionSize(A157,B157,C157)</f>
        <v>#VALUE!</v>
      </c>
      <c r="L157" s="6" t="e">
        <f t="shared" si="2"/>
        <v>#VALUE!</v>
      </c>
    </row>
    <row r="158" spans="1:12">
      <c r="A158" s="175" t="s">
        <v>853</v>
      </c>
      <c r="B158" s="175"/>
      <c r="C158" s="175"/>
      <c r="D158" s="177" t="s">
        <v>852</v>
      </c>
      <c r="E158" s="179">
        <v>1</v>
      </c>
      <c r="F158" s="175" t="s">
        <v>854</v>
      </c>
      <c r="G158" s="175" t="s">
        <v>1129</v>
      </c>
      <c r="H158" s="181"/>
      <c r="I158" s="175" t="s">
        <v>852</v>
      </c>
      <c r="J158" s="6">
        <f>IF(ISERROR(VLOOKUP(A158,'8080 Op to Hex'!$A:$A,1,0)),0,1)</f>
        <v>1</v>
      </c>
      <c r="K158" s="6" cm="1">
        <f t="array" ref="K158">HlpGetInstructionSize(A158,B158,C158)</f>
        <v>1</v>
      </c>
      <c r="L158" s="6">
        <f t="shared" si="2"/>
        <v>0</v>
      </c>
    </row>
    <row r="159" spans="1:12">
      <c r="A159" s="175" t="s">
        <v>1132</v>
      </c>
      <c r="B159" s="175"/>
      <c r="C159" s="175"/>
      <c r="D159" s="177" t="s">
        <v>1042</v>
      </c>
      <c r="E159" s="179">
        <v>1</v>
      </c>
      <c r="F159" s="175" t="s">
        <v>1606</v>
      </c>
      <c r="G159" s="175" t="s">
        <v>1129</v>
      </c>
      <c r="H159" s="181"/>
      <c r="I159" s="175" t="s">
        <v>1042</v>
      </c>
      <c r="J159" s="6">
        <f>IF(ISERROR(VLOOKUP(A159,'8080 Op to Hex'!$A:$A,1,0)),0,1)</f>
        <v>0</v>
      </c>
      <c r="K159" s="6" cm="1">
        <f t="array" ref="K159">HlpGetInstructionSize(A159,B159,C159)</f>
        <v>1</v>
      </c>
      <c r="L159" s="6">
        <f t="shared" si="2"/>
        <v>0</v>
      </c>
    </row>
    <row r="160" spans="1:12">
      <c r="A160" s="175" t="s">
        <v>1225</v>
      </c>
      <c r="B160" s="175" t="s">
        <v>1452</v>
      </c>
      <c r="C160" s="175"/>
      <c r="D160" s="177" t="s">
        <v>231</v>
      </c>
      <c r="E160" s="179">
        <v>2</v>
      </c>
      <c r="F160" s="175" t="s">
        <v>1226</v>
      </c>
      <c r="G160" s="175" t="s">
        <v>1227</v>
      </c>
      <c r="H160" s="181"/>
      <c r="I160" s="175" t="s">
        <v>231</v>
      </c>
      <c r="J160" s="6">
        <f>IF(ISERROR(VLOOKUP(A160,'8080 Op to Hex'!$A:$A,1,0)),0,1)</f>
        <v>0</v>
      </c>
      <c r="K160" s="6" cm="1">
        <f t="array" ref="K160">HlpGetInstructionSize(A160,B160,C160)</f>
        <v>1</v>
      </c>
      <c r="L160" s="6">
        <f t="shared" si="2"/>
        <v>1</v>
      </c>
    </row>
    <row r="161" spans="1:12">
      <c r="A161" s="175" t="s">
        <v>1136</v>
      </c>
      <c r="B161" s="175" t="s">
        <v>1321</v>
      </c>
      <c r="C161" s="175" t="s">
        <v>1221</v>
      </c>
      <c r="D161" s="177" t="s">
        <v>822</v>
      </c>
      <c r="E161" s="179">
        <v>1</v>
      </c>
      <c r="F161" s="175" t="s">
        <v>1322</v>
      </c>
      <c r="G161" s="175" t="s">
        <v>130</v>
      </c>
      <c r="H161" s="181"/>
      <c r="I161" s="175" t="s">
        <v>822</v>
      </c>
      <c r="J161" s="6">
        <f>IF(ISERROR(VLOOKUP(A161,'8080 Op to Hex'!$A:$A,1,0)),0,1)</f>
        <v>0</v>
      </c>
      <c r="K161" s="6" cm="1">
        <f t="array" ref="K161">HlpGetInstructionSize(A161,B161,C161)</f>
        <v>1</v>
      </c>
      <c r="L161" s="6">
        <f t="shared" si="2"/>
        <v>0</v>
      </c>
    </row>
    <row r="162" spans="1:12">
      <c r="A162" s="175" t="s">
        <v>1136</v>
      </c>
      <c r="B162" s="175" t="s">
        <v>728</v>
      </c>
      <c r="C162" s="175" t="s">
        <v>1138</v>
      </c>
      <c r="D162" s="177" t="s">
        <v>883</v>
      </c>
      <c r="E162" s="179">
        <v>1</v>
      </c>
      <c r="F162" s="175" t="s">
        <v>1219</v>
      </c>
      <c r="G162" s="175" t="s">
        <v>1220</v>
      </c>
      <c r="H162" s="181"/>
      <c r="I162" s="175" t="s">
        <v>883</v>
      </c>
      <c r="J162" s="6">
        <f>IF(ISERROR(VLOOKUP(A162,'8080 Op to Hex'!$A:$A,1,0)),0,1)</f>
        <v>0</v>
      </c>
      <c r="K162" s="6" cm="1">
        <f t="array" ref="K162">HlpGetInstructionSize(A162,B162,C162)</f>
        <v>1</v>
      </c>
      <c r="L162" s="6">
        <f t="shared" si="2"/>
        <v>0</v>
      </c>
    </row>
    <row r="163" spans="1:12">
      <c r="A163" s="175" t="s">
        <v>1136</v>
      </c>
      <c r="B163" s="175" t="s">
        <v>811</v>
      </c>
      <c r="C163" s="175" t="s">
        <v>1221</v>
      </c>
      <c r="D163" s="177" t="s">
        <v>838</v>
      </c>
      <c r="E163" s="179">
        <v>1</v>
      </c>
      <c r="F163" s="175" t="s">
        <v>839</v>
      </c>
      <c r="G163" s="175" t="s">
        <v>145</v>
      </c>
      <c r="H163" s="181"/>
      <c r="I163" s="175" t="s">
        <v>838</v>
      </c>
      <c r="J163" s="6">
        <f>IF(ISERROR(VLOOKUP(A163,'8080 Op to Hex'!$A:$A,1,0)),0,1)</f>
        <v>0</v>
      </c>
      <c r="K163" s="6" cm="1">
        <f t="array" ref="K163">HlpGetInstructionSize(A163,B163,C163)</f>
        <v>1</v>
      </c>
      <c r="L163" s="6">
        <f t="shared" si="2"/>
        <v>0</v>
      </c>
    </row>
    <row r="164" spans="1:12">
      <c r="A164" s="175" t="s">
        <v>1137</v>
      </c>
      <c r="B164" s="175"/>
      <c r="C164" s="175"/>
      <c r="D164" s="177" t="s">
        <v>804</v>
      </c>
      <c r="E164" s="179">
        <v>1</v>
      </c>
      <c r="F164" s="175" t="s">
        <v>1607</v>
      </c>
      <c r="G164" s="175" t="s">
        <v>1220</v>
      </c>
      <c r="H164" s="181"/>
      <c r="I164" s="175" t="s">
        <v>804</v>
      </c>
      <c r="J164" s="6">
        <f>IF(ISERROR(VLOOKUP(A164,'8080 Op to Hex'!$A:$A,1,0)),0,1)</f>
        <v>0</v>
      </c>
      <c r="K164" s="6" cm="1">
        <f t="array" ref="K164">HlpGetInstructionSize(A164,B164,C164)</f>
        <v>1</v>
      </c>
      <c r="L164" s="6">
        <f t="shared" si="2"/>
        <v>0</v>
      </c>
    </row>
    <row r="165" spans="1:12">
      <c r="A165" s="175" t="s">
        <v>1262</v>
      </c>
      <c r="B165" s="175"/>
      <c r="C165" s="175"/>
      <c r="D165" s="177" t="s">
        <v>941</v>
      </c>
      <c r="E165" s="179">
        <v>1</v>
      </c>
      <c r="F165" s="175" t="s">
        <v>1608</v>
      </c>
      <c r="G165" s="175" t="s">
        <v>1129</v>
      </c>
      <c r="H165" s="181"/>
      <c r="I165" s="175" t="s">
        <v>941</v>
      </c>
      <c r="J165" s="6">
        <f>IF(ISERROR(VLOOKUP(A165,'8080 Op to Hex'!$A:$A,1,0)),0,1)</f>
        <v>0</v>
      </c>
      <c r="K165" s="6" cm="1">
        <f t="array" ref="K165">HlpGetInstructionSize(A165,B165,C165)</f>
        <v>1</v>
      </c>
      <c r="L165" s="6">
        <f t="shared" si="2"/>
        <v>0</v>
      </c>
    </row>
    <row r="166" spans="1:12">
      <c r="A166" s="175" t="s">
        <v>1609</v>
      </c>
      <c r="B166" s="175" t="s">
        <v>209</v>
      </c>
      <c r="C166" s="175"/>
      <c r="D166" s="177" t="s">
        <v>1610</v>
      </c>
      <c r="E166" s="179">
        <v>2</v>
      </c>
      <c r="F166" s="175" t="s">
        <v>1611</v>
      </c>
      <c r="G166" s="175" t="s">
        <v>1129</v>
      </c>
      <c r="H166" s="181" t="s">
        <v>842</v>
      </c>
      <c r="I166" s="175" t="s">
        <v>912</v>
      </c>
      <c r="J166" s="6">
        <f>IF(ISERROR(VLOOKUP(A166,'8080 Op to Hex'!$A:$A,1,0)),0,1)</f>
        <v>0</v>
      </c>
      <c r="K166" s="6" cm="1">
        <f t="array" ref="K166">HlpGetInstructionSize(A166,B166,C166)</f>
        <v>1</v>
      </c>
      <c r="L166" s="6">
        <f t="shared" si="2"/>
        <v>1</v>
      </c>
    </row>
    <row r="167" spans="1:12">
      <c r="A167" s="175" t="s">
        <v>1609</v>
      </c>
      <c r="B167" s="175" t="s">
        <v>210</v>
      </c>
      <c r="C167" s="175"/>
      <c r="D167" s="177" t="s">
        <v>1612</v>
      </c>
      <c r="E167" s="179">
        <v>2</v>
      </c>
      <c r="F167" s="175" t="s">
        <v>1613</v>
      </c>
      <c r="G167" s="175" t="s">
        <v>1129</v>
      </c>
      <c r="H167" s="181" t="s">
        <v>842</v>
      </c>
      <c r="I167" s="175" t="s">
        <v>921</v>
      </c>
      <c r="J167" s="6">
        <f>IF(ISERROR(VLOOKUP(A167,'8080 Op to Hex'!$A:$A,1,0)),0,1)</f>
        <v>0</v>
      </c>
      <c r="K167" s="6" cm="1">
        <f t="array" ref="K167">HlpGetInstructionSize(A167,B167,C167)</f>
        <v>1</v>
      </c>
      <c r="L167" s="6">
        <f t="shared" si="2"/>
        <v>1</v>
      </c>
    </row>
    <row r="168" spans="1:12">
      <c r="A168" s="175" t="s">
        <v>1609</v>
      </c>
      <c r="B168" s="175" t="s">
        <v>234</v>
      </c>
      <c r="C168" s="175"/>
      <c r="D168" s="177" t="s">
        <v>1614</v>
      </c>
      <c r="E168" s="179">
        <v>2</v>
      </c>
      <c r="F168" s="175" t="s">
        <v>1615</v>
      </c>
      <c r="G168" s="175" t="s">
        <v>1129</v>
      </c>
      <c r="H168" s="181" t="s">
        <v>842</v>
      </c>
      <c r="I168" s="175" t="s">
        <v>611</v>
      </c>
      <c r="J168" s="6">
        <f>IF(ISERROR(VLOOKUP(A168,'8080 Op to Hex'!$A:$A,1,0)),0,1)</f>
        <v>0</v>
      </c>
      <c r="K168" s="6" cm="1">
        <f t="array" ref="K168">HlpGetInstructionSize(A168,B168,C168)</f>
        <v>1</v>
      </c>
      <c r="L168" s="6">
        <f t="shared" si="2"/>
        <v>1</v>
      </c>
    </row>
    <row r="169" spans="1:12">
      <c r="A169" s="175" t="s">
        <v>872</v>
      </c>
      <c r="B169" s="175" t="s">
        <v>146</v>
      </c>
      <c r="C169" s="175" t="s">
        <v>1616</v>
      </c>
      <c r="D169" s="177" t="s">
        <v>292</v>
      </c>
      <c r="E169" s="179">
        <v>2</v>
      </c>
      <c r="F169" s="175" t="s">
        <v>807</v>
      </c>
      <c r="G169" s="175" t="s">
        <v>1314</v>
      </c>
      <c r="H169" s="181"/>
      <c r="I169" s="175" t="s">
        <v>292</v>
      </c>
      <c r="J169" s="6">
        <f>IF(ISERROR(VLOOKUP(A169,'8080 Op to Hex'!$A:$A,1,0)),0,1)</f>
        <v>1</v>
      </c>
      <c r="K169" s="6" cm="1">
        <f t="array" ref="K169">HlpGetInstructionSize(A169,B169,C169)</f>
        <v>1</v>
      </c>
      <c r="L169" s="6">
        <f t="shared" si="2"/>
        <v>1</v>
      </c>
    </row>
    <row r="170" spans="1:12">
      <c r="A170" s="175" t="s">
        <v>872</v>
      </c>
      <c r="B170" s="175" t="s">
        <v>146</v>
      </c>
      <c r="C170" s="175" t="s">
        <v>1617</v>
      </c>
      <c r="D170" s="177" t="s">
        <v>1618</v>
      </c>
      <c r="E170" s="179">
        <v>2</v>
      </c>
      <c r="F170" s="175" t="s">
        <v>1619</v>
      </c>
      <c r="G170" s="175" t="s">
        <v>1314</v>
      </c>
      <c r="H170" s="181" t="s">
        <v>842</v>
      </c>
      <c r="I170" s="175" t="s">
        <v>943</v>
      </c>
      <c r="J170" s="6">
        <f>IF(ISERROR(VLOOKUP(A170,'8080 Op to Hex'!$A:$A,1,0)),0,1)</f>
        <v>1</v>
      </c>
      <c r="K170" s="6" cm="1">
        <f t="array" ref="K170">HlpGetInstructionSize(A170,B170,C170)</f>
        <v>1</v>
      </c>
      <c r="L170" s="6">
        <f t="shared" si="2"/>
        <v>1</v>
      </c>
    </row>
    <row r="171" spans="1:12">
      <c r="A171" s="175" t="s">
        <v>872</v>
      </c>
      <c r="B171" s="175" t="s">
        <v>144</v>
      </c>
      <c r="C171" s="175" t="s">
        <v>1617</v>
      </c>
      <c r="D171" s="177" t="s">
        <v>1620</v>
      </c>
      <c r="E171" s="179">
        <v>2</v>
      </c>
      <c r="F171" s="175" t="s">
        <v>1621</v>
      </c>
      <c r="G171" s="175" t="s">
        <v>1314</v>
      </c>
      <c r="H171" s="181" t="s">
        <v>842</v>
      </c>
      <c r="I171" s="175" t="s">
        <v>907</v>
      </c>
      <c r="J171" s="6">
        <f>IF(ISERROR(VLOOKUP(A171,'8080 Op to Hex'!$A:$A,1,0)),0,1)</f>
        <v>1</v>
      </c>
      <c r="K171" s="6" cm="1">
        <f t="array" ref="K171">HlpGetInstructionSize(A171,B171,C171)</f>
        <v>1</v>
      </c>
      <c r="L171" s="6">
        <f t="shared" si="2"/>
        <v>1</v>
      </c>
    </row>
    <row r="172" spans="1:12">
      <c r="A172" s="175" t="s">
        <v>872</v>
      </c>
      <c r="B172" s="175" t="s">
        <v>182</v>
      </c>
      <c r="C172" s="175" t="s">
        <v>1617</v>
      </c>
      <c r="D172" s="177" t="s">
        <v>1622</v>
      </c>
      <c r="E172" s="179">
        <v>2</v>
      </c>
      <c r="F172" s="175" t="s">
        <v>1623</v>
      </c>
      <c r="G172" s="175" t="s">
        <v>1314</v>
      </c>
      <c r="H172" s="181" t="s">
        <v>842</v>
      </c>
      <c r="I172" s="175" t="s">
        <v>914</v>
      </c>
      <c r="J172" s="6">
        <f>IF(ISERROR(VLOOKUP(A172,'8080 Op to Hex'!$A:$A,1,0)),0,1)</f>
        <v>1</v>
      </c>
      <c r="K172" s="6" cm="1">
        <f t="array" ref="K172">HlpGetInstructionSize(A172,B172,C172)</f>
        <v>1</v>
      </c>
      <c r="L172" s="6">
        <f t="shared" si="2"/>
        <v>1</v>
      </c>
    </row>
    <row r="173" spans="1:12">
      <c r="A173" s="175" t="s">
        <v>872</v>
      </c>
      <c r="B173" s="175" t="s">
        <v>183</v>
      </c>
      <c r="C173" s="175" t="s">
        <v>1617</v>
      </c>
      <c r="D173" s="177" t="s">
        <v>1624</v>
      </c>
      <c r="E173" s="179">
        <v>2</v>
      </c>
      <c r="F173" s="175" t="s">
        <v>1625</v>
      </c>
      <c r="G173" s="175" t="s">
        <v>1314</v>
      </c>
      <c r="H173" s="181" t="s">
        <v>842</v>
      </c>
      <c r="I173" s="175" t="s">
        <v>916</v>
      </c>
      <c r="J173" s="6">
        <f>IF(ISERROR(VLOOKUP(A173,'8080 Op to Hex'!$A:$A,1,0)),0,1)</f>
        <v>1</v>
      </c>
      <c r="K173" s="6" cm="1">
        <f t="array" ref="K173">HlpGetInstructionSize(A173,B173,C173)</f>
        <v>1</v>
      </c>
      <c r="L173" s="6">
        <f t="shared" si="2"/>
        <v>1</v>
      </c>
    </row>
    <row r="174" spans="1:12">
      <c r="A174" s="175" t="s">
        <v>872</v>
      </c>
      <c r="B174" s="175" t="s">
        <v>265</v>
      </c>
      <c r="C174" s="175" t="s">
        <v>1617</v>
      </c>
      <c r="D174" s="177" t="s">
        <v>1626</v>
      </c>
      <c r="E174" s="179">
        <v>2</v>
      </c>
      <c r="F174" s="175" t="s">
        <v>1627</v>
      </c>
      <c r="G174" s="175" t="s">
        <v>1314</v>
      </c>
      <c r="H174" s="181" t="s">
        <v>842</v>
      </c>
      <c r="I174" s="175" t="s">
        <v>923</v>
      </c>
      <c r="J174" s="6">
        <f>IF(ISERROR(VLOOKUP(A174,'8080 Op to Hex'!$A:$A,1,0)),0,1)</f>
        <v>1</v>
      </c>
      <c r="K174" s="6" cm="1">
        <f t="array" ref="K174">HlpGetInstructionSize(A174,B174,C174)</f>
        <v>1</v>
      </c>
      <c r="L174" s="6">
        <f t="shared" si="2"/>
        <v>1</v>
      </c>
    </row>
    <row r="175" spans="1:12">
      <c r="A175" s="175" t="s">
        <v>872</v>
      </c>
      <c r="B175" s="175" t="s">
        <v>303</v>
      </c>
      <c r="C175" s="175" t="s">
        <v>1617</v>
      </c>
      <c r="D175" s="177" t="s">
        <v>1628</v>
      </c>
      <c r="E175" s="179">
        <v>2</v>
      </c>
      <c r="F175" s="175" t="s">
        <v>1629</v>
      </c>
      <c r="G175" s="175" t="s">
        <v>1314</v>
      </c>
      <c r="H175" s="181" t="s">
        <v>842</v>
      </c>
      <c r="I175" s="175" t="s">
        <v>925</v>
      </c>
      <c r="J175" s="6">
        <f>IF(ISERROR(VLOOKUP(A175,'8080 Op to Hex'!$A:$A,1,0)),0,1)</f>
        <v>1</v>
      </c>
      <c r="K175" s="6" cm="1">
        <f t="array" ref="K175">HlpGetInstructionSize(A175,B175,C175)</f>
        <v>1</v>
      </c>
      <c r="L175" s="6">
        <f t="shared" si="2"/>
        <v>1</v>
      </c>
    </row>
    <row r="176" spans="1:12">
      <c r="A176" s="175" t="s">
        <v>872</v>
      </c>
      <c r="B176" s="175" t="s">
        <v>327</v>
      </c>
      <c r="C176" s="175" t="s">
        <v>1617</v>
      </c>
      <c r="D176" s="177" t="s">
        <v>1630</v>
      </c>
      <c r="E176" s="179">
        <v>2</v>
      </c>
      <c r="F176" s="175" t="s">
        <v>1631</v>
      </c>
      <c r="G176" s="175" t="s">
        <v>1314</v>
      </c>
      <c r="H176" s="181" t="s">
        <v>842</v>
      </c>
      <c r="I176" s="175" t="s">
        <v>933</v>
      </c>
      <c r="J176" s="6">
        <f>IF(ISERROR(VLOOKUP(A176,'8080 Op to Hex'!$A:$A,1,0)),0,1)</f>
        <v>1</v>
      </c>
      <c r="K176" s="6" cm="1">
        <f t="array" ref="K176">HlpGetInstructionSize(A176,B176,C176)</f>
        <v>1</v>
      </c>
      <c r="L176" s="6">
        <f t="shared" si="2"/>
        <v>1</v>
      </c>
    </row>
    <row r="177" spans="1:12">
      <c r="A177" s="175" t="s">
        <v>1212</v>
      </c>
      <c r="B177" s="175" t="s">
        <v>1238</v>
      </c>
      <c r="C177" s="175"/>
      <c r="D177" s="177" t="s">
        <v>459</v>
      </c>
      <c r="E177" s="179">
        <v>1</v>
      </c>
      <c r="F177" s="175" t="s">
        <v>1248</v>
      </c>
      <c r="G177" s="175" t="s">
        <v>1211</v>
      </c>
      <c r="H177" s="181"/>
      <c r="I177" s="175" t="s">
        <v>459</v>
      </c>
      <c r="J177" s="6">
        <f>IF(ISERROR(VLOOKUP(A177,'8080 Op to Hex'!$A:$A,1,0)),0,1)</f>
        <v>0</v>
      </c>
      <c r="K177" s="6" cm="1">
        <f t="array" ref="K177">HlpGetInstructionSize(A177,B177,C177)</f>
        <v>3</v>
      </c>
      <c r="L177" s="6">
        <f t="shared" si="2"/>
        <v>1</v>
      </c>
    </row>
    <row r="178" spans="1:12">
      <c r="A178" s="175" t="s">
        <v>1212</v>
      </c>
      <c r="B178" s="175" t="s">
        <v>1377</v>
      </c>
      <c r="C178" s="175"/>
      <c r="D178" s="177" t="s">
        <v>1442</v>
      </c>
      <c r="E178" s="179">
        <v>4</v>
      </c>
      <c r="F178" s="175" t="s">
        <v>1443</v>
      </c>
      <c r="G178" s="175" t="s">
        <v>126</v>
      </c>
      <c r="H178" s="181" t="s">
        <v>810</v>
      </c>
      <c r="I178" s="175" t="s">
        <v>459</v>
      </c>
      <c r="J178" s="6">
        <f>IF(ISERROR(VLOOKUP(A178,'8080 Op to Hex'!$A:$A,1,0)),0,1)</f>
        <v>0</v>
      </c>
      <c r="K178" s="6" cm="1">
        <f t="array" ref="K178">HlpGetInstructionSize(A178,B178,C178)</f>
        <v>3</v>
      </c>
      <c r="L178" s="6">
        <f t="shared" si="2"/>
        <v>1</v>
      </c>
    </row>
    <row r="179" spans="1:12">
      <c r="A179" s="175" t="s">
        <v>1212</v>
      </c>
      <c r="B179" s="175" t="s">
        <v>1380</v>
      </c>
      <c r="C179" s="175"/>
      <c r="D179" s="177" t="s">
        <v>1444</v>
      </c>
      <c r="E179" s="179">
        <v>4</v>
      </c>
      <c r="F179" s="175" t="s">
        <v>1445</v>
      </c>
      <c r="G179" s="175" t="s">
        <v>126</v>
      </c>
      <c r="H179" s="181" t="s">
        <v>1025</v>
      </c>
      <c r="I179" s="175" t="s">
        <v>459</v>
      </c>
      <c r="J179" s="6">
        <f>IF(ISERROR(VLOOKUP(A179,'8080 Op to Hex'!$A:$A,1,0)),0,1)</f>
        <v>0</v>
      </c>
      <c r="K179" s="6" cm="1">
        <f t="array" ref="K179">HlpGetInstructionSize(A179,B179,C179)</f>
        <v>3</v>
      </c>
      <c r="L179" s="6">
        <f t="shared" si="2"/>
        <v>1</v>
      </c>
    </row>
    <row r="180" spans="1:12">
      <c r="A180" s="175" t="s">
        <v>1212</v>
      </c>
      <c r="B180" s="175" t="s">
        <v>146</v>
      </c>
      <c r="C180" s="175"/>
      <c r="D180" s="177" t="s">
        <v>325</v>
      </c>
      <c r="E180" s="179">
        <v>1</v>
      </c>
      <c r="F180" s="175" t="s">
        <v>1632</v>
      </c>
      <c r="G180" s="175" t="s">
        <v>1214</v>
      </c>
      <c r="H180" s="181"/>
      <c r="I180" s="175" t="s">
        <v>325</v>
      </c>
      <c r="J180" s="6">
        <f>IF(ISERROR(VLOOKUP(A180,'8080 Op to Hex'!$A:$A,1,0)),0,1)</f>
        <v>0</v>
      </c>
      <c r="K180" s="6" cm="1">
        <f t="array" ref="K180">HlpGetInstructionSize(A180,B180,C180)</f>
        <v>1</v>
      </c>
      <c r="L180" s="6">
        <f t="shared" si="2"/>
        <v>0</v>
      </c>
    </row>
    <row r="181" spans="1:12">
      <c r="A181" s="175" t="s">
        <v>1212</v>
      </c>
      <c r="B181" s="175" t="s">
        <v>144</v>
      </c>
      <c r="C181" s="175"/>
      <c r="D181" s="177" t="s">
        <v>879</v>
      </c>
      <c r="E181" s="179">
        <v>1</v>
      </c>
      <c r="F181" s="175" t="s">
        <v>502</v>
      </c>
      <c r="G181" s="175" t="s">
        <v>1214</v>
      </c>
      <c r="H181" s="181"/>
      <c r="I181" s="175" t="s">
        <v>879</v>
      </c>
      <c r="J181" s="6">
        <f>IF(ISERROR(VLOOKUP(A181,'8080 Op to Hex'!$A:$A,1,0)),0,1)</f>
        <v>0</v>
      </c>
      <c r="K181" s="6" t="e" cm="1">
        <f t="array" ref="K181">HlpGetInstructionSize(A181,B181,C181)</f>
        <v>#VALUE!</v>
      </c>
      <c r="L181" s="6" t="e">
        <f t="shared" si="2"/>
        <v>#VALUE!</v>
      </c>
    </row>
    <row r="182" spans="1:12">
      <c r="A182" s="175" t="s">
        <v>1212</v>
      </c>
      <c r="B182" s="175" t="s">
        <v>336</v>
      </c>
      <c r="C182" s="175"/>
      <c r="D182" s="177" t="s">
        <v>364</v>
      </c>
      <c r="E182" s="179">
        <v>1</v>
      </c>
      <c r="F182" s="175" t="s">
        <v>501</v>
      </c>
      <c r="G182" s="175" t="s">
        <v>1213</v>
      </c>
      <c r="H182" s="181"/>
      <c r="I182" s="175" t="s">
        <v>364</v>
      </c>
      <c r="J182" s="6">
        <f>IF(ISERROR(VLOOKUP(A182,'8080 Op to Hex'!$A:$A,1,0)),0,1)</f>
        <v>0</v>
      </c>
      <c r="K182" s="6" t="e" cm="1">
        <f t="array" ref="K182">HlpGetInstructionSize(A182,B182,C182)</f>
        <v>#VALUE!</v>
      </c>
      <c r="L182" s="6" t="e">
        <f t="shared" si="2"/>
        <v>#VALUE!</v>
      </c>
    </row>
    <row r="183" spans="1:12">
      <c r="A183" s="175" t="s">
        <v>1212</v>
      </c>
      <c r="B183" s="175" t="s">
        <v>182</v>
      </c>
      <c r="C183" s="175"/>
      <c r="D183" s="177" t="s">
        <v>396</v>
      </c>
      <c r="E183" s="179">
        <v>1</v>
      </c>
      <c r="F183" s="175" t="s">
        <v>510</v>
      </c>
      <c r="G183" s="175" t="s">
        <v>1214</v>
      </c>
      <c r="H183" s="181"/>
      <c r="I183" s="175" t="s">
        <v>396</v>
      </c>
      <c r="J183" s="6">
        <f>IF(ISERROR(VLOOKUP(A183,'8080 Op to Hex'!$A:$A,1,0)),0,1)</f>
        <v>0</v>
      </c>
      <c r="K183" s="6" t="e" cm="1">
        <f t="array" ref="K183">HlpGetInstructionSize(A183,B183,C183)</f>
        <v>#VALUE!</v>
      </c>
      <c r="L183" s="6" t="e">
        <f t="shared" si="2"/>
        <v>#VALUE!</v>
      </c>
    </row>
    <row r="184" spans="1:12">
      <c r="A184" s="175" t="s">
        <v>1212</v>
      </c>
      <c r="B184" s="175" t="s">
        <v>183</v>
      </c>
      <c r="C184" s="175"/>
      <c r="D184" s="177" t="s">
        <v>885</v>
      </c>
      <c r="E184" s="179">
        <v>1</v>
      </c>
      <c r="F184" s="175" t="s">
        <v>518</v>
      </c>
      <c r="G184" s="175" t="s">
        <v>1214</v>
      </c>
      <c r="H184" s="181"/>
      <c r="I184" s="175" t="s">
        <v>885</v>
      </c>
      <c r="J184" s="6">
        <f>IF(ISERROR(VLOOKUP(A184,'8080 Op to Hex'!$A:$A,1,0)),0,1)</f>
        <v>0</v>
      </c>
      <c r="K184" s="6" t="e" cm="1">
        <f t="array" ref="K184">HlpGetInstructionSize(A184,B184,C184)</f>
        <v>#VALUE!</v>
      </c>
      <c r="L184" s="6" t="e">
        <f t="shared" si="2"/>
        <v>#VALUE!</v>
      </c>
    </row>
    <row r="185" spans="1:12">
      <c r="A185" s="175" t="s">
        <v>1212</v>
      </c>
      <c r="B185" s="175" t="s">
        <v>811</v>
      </c>
      <c r="C185" s="175"/>
      <c r="D185" s="177" t="s">
        <v>884</v>
      </c>
      <c r="E185" s="179">
        <v>1</v>
      </c>
      <c r="F185" s="175" t="s">
        <v>517</v>
      </c>
      <c r="G185" s="175" t="s">
        <v>1213</v>
      </c>
      <c r="H185" s="181"/>
      <c r="I185" s="175" t="s">
        <v>884</v>
      </c>
      <c r="J185" s="6">
        <f>IF(ISERROR(VLOOKUP(A185,'8080 Op to Hex'!$A:$A,1,0)),0,1)</f>
        <v>0</v>
      </c>
      <c r="K185" s="6" t="e" cm="1">
        <f t="array" ref="K185">HlpGetInstructionSize(A185,B185,C185)</f>
        <v>#VALUE!</v>
      </c>
      <c r="L185" s="6" t="e">
        <f t="shared" si="2"/>
        <v>#VALUE!</v>
      </c>
    </row>
    <row r="186" spans="1:12">
      <c r="A186" s="175" t="s">
        <v>1212</v>
      </c>
      <c r="B186" s="175" t="s">
        <v>265</v>
      </c>
      <c r="C186" s="175"/>
      <c r="D186" s="177" t="s">
        <v>527</v>
      </c>
      <c r="E186" s="179">
        <v>1</v>
      </c>
      <c r="F186" s="175" t="s">
        <v>528</v>
      </c>
      <c r="G186" s="175" t="s">
        <v>1214</v>
      </c>
      <c r="H186" s="181"/>
      <c r="I186" s="175" t="s">
        <v>527</v>
      </c>
      <c r="J186" s="6">
        <f>IF(ISERROR(VLOOKUP(A186,'8080 Op to Hex'!$A:$A,1,0)),0,1)</f>
        <v>0</v>
      </c>
      <c r="K186" s="6" t="e" cm="1">
        <f t="array" ref="K186">HlpGetInstructionSize(A186,B186,C186)</f>
        <v>#VALUE!</v>
      </c>
      <c r="L186" s="6" t="e">
        <f t="shared" si="2"/>
        <v>#VALUE!</v>
      </c>
    </row>
    <row r="187" spans="1:12">
      <c r="A187" s="175" t="s">
        <v>1212</v>
      </c>
      <c r="B187" s="175" t="s">
        <v>303</v>
      </c>
      <c r="C187" s="175"/>
      <c r="D187" s="177" t="s">
        <v>893</v>
      </c>
      <c r="E187" s="179">
        <v>1</v>
      </c>
      <c r="F187" s="175" t="s">
        <v>538</v>
      </c>
      <c r="G187" s="175" t="s">
        <v>1214</v>
      </c>
      <c r="H187" s="181"/>
      <c r="I187" s="175" t="s">
        <v>893</v>
      </c>
      <c r="J187" s="6">
        <f>IF(ISERROR(VLOOKUP(A187,'8080 Op to Hex'!$A:$A,1,0)),0,1)</f>
        <v>0</v>
      </c>
      <c r="K187" s="6" t="e" cm="1">
        <f t="array" ref="K187">HlpGetInstructionSize(A187,B187,C187)</f>
        <v>#VALUE!</v>
      </c>
      <c r="L187" s="6" t="e">
        <f t="shared" si="2"/>
        <v>#VALUE!</v>
      </c>
    </row>
    <row r="188" spans="1:12">
      <c r="A188" s="175" t="s">
        <v>1212</v>
      </c>
      <c r="B188" s="175" t="s">
        <v>1221</v>
      </c>
      <c r="C188" s="175"/>
      <c r="D188" s="177" t="s">
        <v>892</v>
      </c>
      <c r="E188" s="179">
        <v>1</v>
      </c>
      <c r="F188" s="175" t="s">
        <v>537</v>
      </c>
      <c r="G188" s="175" t="s">
        <v>1213</v>
      </c>
      <c r="H188" s="181"/>
      <c r="I188" s="175" t="s">
        <v>892</v>
      </c>
      <c r="J188" s="6">
        <f>IF(ISERROR(VLOOKUP(A188,'8080 Op to Hex'!$A:$A,1,0)),0,1)</f>
        <v>0</v>
      </c>
      <c r="K188" s="6" t="e" cm="1">
        <f t="array" ref="K188">HlpGetInstructionSize(A188,B188,C188)</f>
        <v>#VALUE!</v>
      </c>
      <c r="L188" s="6" t="e">
        <f t="shared" si="2"/>
        <v>#VALUE!</v>
      </c>
    </row>
    <row r="189" spans="1:12">
      <c r="A189" s="175" t="s">
        <v>1212</v>
      </c>
      <c r="B189" s="175" t="s">
        <v>1149</v>
      </c>
      <c r="C189" s="175"/>
      <c r="D189" s="177" t="s">
        <v>1633</v>
      </c>
      <c r="E189" s="179">
        <v>2</v>
      </c>
      <c r="F189" s="175" t="s">
        <v>1634</v>
      </c>
      <c r="G189" s="175" t="s">
        <v>1213</v>
      </c>
      <c r="H189" s="181" t="s">
        <v>810</v>
      </c>
      <c r="I189" s="175" t="s">
        <v>892</v>
      </c>
      <c r="J189" s="6">
        <f>IF(ISERROR(VLOOKUP(A189,'8080 Op to Hex'!$A:$A,1,0)),0,1)</f>
        <v>0</v>
      </c>
      <c r="K189" s="6" t="e" cm="1">
        <f t="array" ref="K189">HlpGetInstructionSize(A189,B189,C189)</f>
        <v>#VALUE!</v>
      </c>
      <c r="L189" s="6" t="e">
        <f t="shared" si="2"/>
        <v>#VALUE!</v>
      </c>
    </row>
    <row r="190" spans="1:12">
      <c r="A190" s="175" t="s">
        <v>1212</v>
      </c>
      <c r="B190" s="175" t="s">
        <v>1400</v>
      </c>
      <c r="C190" s="175"/>
      <c r="D190" s="177" t="s">
        <v>1635</v>
      </c>
      <c r="E190" s="179">
        <v>2</v>
      </c>
      <c r="F190" s="175" t="s">
        <v>1636</v>
      </c>
      <c r="G190" s="175" t="s">
        <v>1213</v>
      </c>
      <c r="H190" s="181" t="s">
        <v>1025</v>
      </c>
      <c r="I190" s="175" t="s">
        <v>892</v>
      </c>
      <c r="J190" s="6">
        <f>IF(ISERROR(VLOOKUP(A190,'8080 Op to Hex'!$A:$A,1,0)),0,1)</f>
        <v>0</v>
      </c>
      <c r="K190" s="6" t="e" cm="1">
        <f t="array" ref="K190">HlpGetInstructionSize(A190,B190,C190)</f>
        <v>#VALUE!</v>
      </c>
      <c r="L190" s="6" t="e">
        <f t="shared" si="2"/>
        <v>#VALUE!</v>
      </c>
    </row>
    <row r="191" spans="1:12">
      <c r="A191" s="175" t="s">
        <v>1212</v>
      </c>
      <c r="B191" s="175" t="s">
        <v>327</v>
      </c>
      <c r="C191" s="175"/>
      <c r="D191" s="177" t="s">
        <v>546</v>
      </c>
      <c r="E191" s="179">
        <v>1</v>
      </c>
      <c r="F191" s="175" t="s">
        <v>547</v>
      </c>
      <c r="G191" s="175" t="s">
        <v>1214</v>
      </c>
      <c r="H191" s="181"/>
      <c r="I191" s="175" t="s">
        <v>546</v>
      </c>
      <c r="J191" s="6">
        <f>IF(ISERROR(VLOOKUP(A191,'8080 Op to Hex'!$A:$A,1,0)),0,1)</f>
        <v>0</v>
      </c>
      <c r="K191" s="6" t="e" cm="1">
        <f t="array" ref="K191">HlpGetInstructionSize(A191,B191,C191)</f>
        <v>#VALUE!</v>
      </c>
      <c r="L191" s="6" t="e">
        <f t="shared" si="2"/>
        <v>#VALUE!</v>
      </c>
    </row>
    <row r="192" spans="1:12">
      <c r="A192" s="175" t="s">
        <v>1212</v>
      </c>
      <c r="B192" s="175" t="s">
        <v>114</v>
      </c>
      <c r="C192" s="175"/>
      <c r="D192" s="177" t="s">
        <v>394</v>
      </c>
      <c r="E192" s="179">
        <v>1</v>
      </c>
      <c r="F192" s="175" t="s">
        <v>556</v>
      </c>
      <c r="G192" s="175" t="s">
        <v>1213</v>
      </c>
      <c r="H192" s="181"/>
      <c r="I192" s="175" t="s">
        <v>394</v>
      </c>
      <c r="J192" s="6">
        <f>IF(ISERROR(VLOOKUP(A192,'8080 Op to Hex'!$A:$A,1,0)),0,1)</f>
        <v>0</v>
      </c>
      <c r="K192" s="6" t="e" cm="1">
        <f t="array" ref="K192">HlpGetInstructionSize(A192,B192,C192)</f>
        <v>#VALUE!</v>
      </c>
      <c r="L192" s="6" t="e">
        <f t="shared" si="2"/>
        <v>#VALUE!</v>
      </c>
    </row>
    <row r="193" spans="1:12">
      <c r="A193" s="175" t="s">
        <v>1637</v>
      </c>
      <c r="B193" s="175"/>
      <c r="C193" s="175"/>
      <c r="D193" s="177" t="s">
        <v>1638</v>
      </c>
      <c r="E193" s="179">
        <v>2</v>
      </c>
      <c r="F193" s="175" t="s">
        <v>1639</v>
      </c>
      <c r="G193" s="175" t="s">
        <v>1387</v>
      </c>
      <c r="H193" s="181" t="s">
        <v>842</v>
      </c>
      <c r="I193" s="175" t="s">
        <v>180</v>
      </c>
      <c r="J193" s="6">
        <f>IF(ISERROR(VLOOKUP(A193,'8080 Op to Hex'!$A:$A,1,0)),0,1)</f>
        <v>0</v>
      </c>
      <c r="K193" s="6" cm="1">
        <f t="array" ref="K193">HlpGetInstructionSize(A193,B193,C193)</f>
        <v>1</v>
      </c>
      <c r="L193" s="6">
        <f t="shared" si="2"/>
        <v>1</v>
      </c>
    </row>
    <row r="194" spans="1:12">
      <c r="A194" s="175" t="s">
        <v>1640</v>
      </c>
      <c r="B194" s="175"/>
      <c r="C194" s="175"/>
      <c r="D194" s="177" t="s">
        <v>1641</v>
      </c>
      <c r="E194" s="179">
        <v>2</v>
      </c>
      <c r="F194" s="175" t="s">
        <v>1642</v>
      </c>
      <c r="G194" s="175" t="s">
        <v>1387</v>
      </c>
      <c r="H194" s="181" t="s">
        <v>842</v>
      </c>
      <c r="I194" s="175" t="s">
        <v>742</v>
      </c>
      <c r="J194" s="6">
        <f>IF(ISERROR(VLOOKUP(A194,'8080 Op to Hex'!$A:$A,1,0)),0,1)</f>
        <v>0</v>
      </c>
      <c r="K194" s="6" cm="1">
        <f t="array" ref="K194">HlpGetInstructionSize(A194,B194,C194)</f>
        <v>1</v>
      </c>
      <c r="L194" s="6">
        <f t="shared" ref="L194:L257" si="3">IF(E194&lt;&gt;K194,1,0)</f>
        <v>1</v>
      </c>
    </row>
    <row r="195" spans="1:12">
      <c r="A195" s="175" t="s">
        <v>1643</v>
      </c>
      <c r="B195" s="175"/>
      <c r="C195" s="175"/>
      <c r="D195" s="177" t="s">
        <v>1644</v>
      </c>
      <c r="E195" s="179">
        <v>2</v>
      </c>
      <c r="F195" s="175" t="s">
        <v>1645</v>
      </c>
      <c r="G195" s="175" t="s">
        <v>1387</v>
      </c>
      <c r="H195" s="181" t="s">
        <v>842</v>
      </c>
      <c r="I195" s="175" t="s">
        <v>705</v>
      </c>
      <c r="J195" s="6">
        <f>IF(ISERROR(VLOOKUP(A195,'8080 Op to Hex'!$A:$A,1,0)),0,1)</f>
        <v>0</v>
      </c>
      <c r="K195" s="6" cm="1">
        <f t="array" ref="K195">HlpGetInstructionSize(A195,B195,C195)</f>
        <v>1</v>
      </c>
      <c r="L195" s="6">
        <f t="shared" si="3"/>
        <v>1</v>
      </c>
    </row>
    <row r="196" spans="1:12">
      <c r="A196" s="175" t="s">
        <v>1646</v>
      </c>
      <c r="B196" s="175"/>
      <c r="C196" s="175"/>
      <c r="D196" s="177" t="s">
        <v>1647</v>
      </c>
      <c r="E196" s="179">
        <v>2</v>
      </c>
      <c r="F196" s="175" t="s">
        <v>1648</v>
      </c>
      <c r="G196" s="175" t="s">
        <v>1387</v>
      </c>
      <c r="H196" s="181" t="s">
        <v>842</v>
      </c>
      <c r="I196" s="175" t="s">
        <v>492</v>
      </c>
      <c r="J196" s="6">
        <f>IF(ISERROR(VLOOKUP(A196,'8080 Op to Hex'!$A:$A,1,0)),0,1)</f>
        <v>0</v>
      </c>
      <c r="K196" s="6" cm="1">
        <f t="array" ref="K196">HlpGetInstructionSize(A196,B196,C196)</f>
        <v>1</v>
      </c>
      <c r="L196" s="6">
        <f t="shared" si="3"/>
        <v>1</v>
      </c>
    </row>
    <row r="197" spans="1:12">
      <c r="A197" s="175" t="s">
        <v>359</v>
      </c>
      <c r="B197" s="175"/>
      <c r="C197" s="175" t="s">
        <v>1453</v>
      </c>
      <c r="D197" s="177" t="s">
        <v>760</v>
      </c>
      <c r="E197" s="179">
        <v>3</v>
      </c>
      <c r="F197" s="175" t="s">
        <v>1306</v>
      </c>
      <c r="G197" s="175" t="s">
        <v>1227</v>
      </c>
      <c r="H197" s="181"/>
      <c r="I197" s="175" t="s">
        <v>760</v>
      </c>
      <c r="J197" s="6">
        <f>IF(ISERROR(VLOOKUP(A197,'8080 Op to Hex'!$A:$A,1,0)),0,1)</f>
        <v>1</v>
      </c>
      <c r="K197" s="6" cm="1">
        <f t="array" ref="K197">HlpGetInstructionSize(A197,B197,C197)</f>
        <v>1</v>
      </c>
      <c r="L197" s="6">
        <f t="shared" si="3"/>
        <v>1</v>
      </c>
    </row>
    <row r="198" spans="1:12">
      <c r="A198" s="175" t="s">
        <v>359</v>
      </c>
      <c r="B198" s="175" t="s">
        <v>1238</v>
      </c>
      <c r="C198" s="175"/>
      <c r="D198" s="177" t="s">
        <v>834</v>
      </c>
      <c r="E198" s="179">
        <v>1</v>
      </c>
      <c r="F198" s="175" t="s">
        <v>1326</v>
      </c>
      <c r="G198" s="175" t="s">
        <v>1227</v>
      </c>
      <c r="H198" s="181"/>
      <c r="I198" s="175" t="s">
        <v>834</v>
      </c>
      <c r="J198" s="6">
        <f>IF(ISERROR(VLOOKUP(A198,'8080 Op to Hex'!$A:$A,1,0)),0,1)</f>
        <v>1</v>
      </c>
      <c r="K198" s="6" cm="1">
        <f t="array" ref="K198">HlpGetInstructionSize(A198,B198,C198)</f>
        <v>1</v>
      </c>
      <c r="L198" s="6">
        <f t="shared" si="3"/>
        <v>0</v>
      </c>
    </row>
    <row r="199" spans="1:12">
      <c r="A199" s="175" t="s">
        <v>359</v>
      </c>
      <c r="B199" s="175" t="s">
        <v>1649</v>
      </c>
      <c r="C199" s="175"/>
      <c r="D199" s="177" t="s">
        <v>1650</v>
      </c>
      <c r="E199" s="179">
        <v>2</v>
      </c>
      <c r="F199" s="175" t="s">
        <v>1651</v>
      </c>
      <c r="G199" s="175" t="s">
        <v>1227</v>
      </c>
      <c r="H199" s="181" t="s">
        <v>810</v>
      </c>
      <c r="I199" s="175" t="s">
        <v>834</v>
      </c>
      <c r="J199" s="6">
        <f>IF(ISERROR(VLOOKUP(A199,'8080 Op to Hex'!$A:$A,1,0)),0,1)</f>
        <v>1</v>
      </c>
      <c r="K199" s="6" cm="1">
        <f t="array" ref="K199">HlpGetInstructionSize(A199,B199,C199)</f>
        <v>1</v>
      </c>
      <c r="L199" s="6">
        <f t="shared" si="3"/>
        <v>1</v>
      </c>
    </row>
    <row r="200" spans="1:12">
      <c r="A200" s="175" t="s">
        <v>359</v>
      </c>
      <c r="B200" s="175" t="s">
        <v>1652</v>
      </c>
      <c r="C200" s="175"/>
      <c r="D200" s="177" t="s">
        <v>1653</v>
      </c>
      <c r="E200" s="179">
        <v>2</v>
      </c>
      <c r="F200" s="175" t="s">
        <v>1654</v>
      </c>
      <c r="G200" s="175" t="s">
        <v>1227</v>
      </c>
      <c r="H200" s="181" t="s">
        <v>1025</v>
      </c>
      <c r="I200" s="175" t="s">
        <v>834</v>
      </c>
      <c r="J200" s="6">
        <f>IF(ISERROR(VLOOKUP(A200,'8080 Op to Hex'!$A:$A,1,0)),0,1)</f>
        <v>1</v>
      </c>
      <c r="K200" s="6" cm="1">
        <f t="array" ref="K200">HlpGetInstructionSize(A200,B200,C200)</f>
        <v>1</v>
      </c>
      <c r="L200" s="6">
        <f t="shared" si="3"/>
        <v>1</v>
      </c>
    </row>
    <row r="201" spans="1:12">
      <c r="A201" s="175" t="s">
        <v>359</v>
      </c>
      <c r="B201" s="175" t="s">
        <v>182</v>
      </c>
      <c r="C201" s="175" t="s">
        <v>1453</v>
      </c>
      <c r="D201" s="177" t="s">
        <v>805</v>
      </c>
      <c r="E201" s="179">
        <v>3</v>
      </c>
      <c r="F201" s="175" t="s">
        <v>806</v>
      </c>
      <c r="G201" s="175" t="s">
        <v>1227</v>
      </c>
      <c r="H201" s="181"/>
      <c r="I201" s="175" t="s">
        <v>805</v>
      </c>
      <c r="J201" s="6">
        <f>IF(ISERROR(VLOOKUP(A201,'8080 Op to Hex'!$A:$A,1,0)),0,1)</f>
        <v>1</v>
      </c>
      <c r="K201" s="6" cm="1">
        <f t="array" ref="K201">HlpGetInstructionSize(A201,B201,C201)</f>
        <v>1</v>
      </c>
      <c r="L201" s="6">
        <f t="shared" si="3"/>
        <v>1</v>
      </c>
    </row>
    <row r="202" spans="1:12">
      <c r="A202" s="175" t="s">
        <v>359</v>
      </c>
      <c r="B202" s="175" t="s">
        <v>577</v>
      </c>
      <c r="C202" s="175" t="s">
        <v>1453</v>
      </c>
      <c r="D202" s="177" t="s">
        <v>974</v>
      </c>
      <c r="E202" s="179">
        <v>3</v>
      </c>
      <c r="F202" s="175" t="s">
        <v>975</v>
      </c>
      <c r="G202" s="175" t="s">
        <v>1227</v>
      </c>
      <c r="H202" s="181"/>
      <c r="I202" s="175" t="s">
        <v>974</v>
      </c>
      <c r="J202" s="6">
        <f>IF(ISERROR(VLOOKUP(A202,'8080 Op to Hex'!$A:$A,1,0)),0,1)</f>
        <v>1</v>
      </c>
      <c r="K202" s="6" cm="1">
        <f t="array" ref="K202">HlpGetInstructionSize(A202,B202,C202)</f>
        <v>1</v>
      </c>
      <c r="L202" s="6">
        <f t="shared" si="3"/>
        <v>1</v>
      </c>
    </row>
    <row r="203" spans="1:12">
      <c r="A203" s="175" t="s">
        <v>359</v>
      </c>
      <c r="B203" s="175" t="s">
        <v>1244</v>
      </c>
      <c r="C203" s="175" t="s">
        <v>1453</v>
      </c>
      <c r="D203" s="177" t="s">
        <v>789</v>
      </c>
      <c r="E203" s="179">
        <v>3</v>
      </c>
      <c r="F203" s="175" t="s">
        <v>1313</v>
      </c>
      <c r="G203" s="175" t="s">
        <v>1227</v>
      </c>
      <c r="H203" s="181"/>
      <c r="I203" s="175" t="s">
        <v>789</v>
      </c>
      <c r="J203" s="6">
        <f>IF(ISERROR(VLOOKUP(A203,'8080 Op to Hex'!$A:$A,1,0)),0,1)</f>
        <v>1</v>
      </c>
      <c r="K203" s="6" cm="1">
        <f t="array" ref="K203">HlpGetInstructionSize(A203,B203,C203)</f>
        <v>1</v>
      </c>
      <c r="L203" s="6">
        <f t="shared" si="3"/>
        <v>1</v>
      </c>
    </row>
    <row r="204" spans="1:12">
      <c r="A204" s="175" t="s">
        <v>359</v>
      </c>
      <c r="B204" s="175" t="s">
        <v>1236</v>
      </c>
      <c r="C204" s="175" t="s">
        <v>1453</v>
      </c>
      <c r="D204" s="177" t="s">
        <v>758</v>
      </c>
      <c r="E204" s="179">
        <v>3</v>
      </c>
      <c r="F204" s="175" t="s">
        <v>759</v>
      </c>
      <c r="G204" s="175" t="s">
        <v>1227</v>
      </c>
      <c r="H204" s="181"/>
      <c r="I204" s="175" t="s">
        <v>758</v>
      </c>
      <c r="J204" s="6">
        <f>IF(ISERROR(VLOOKUP(A204,'8080 Op to Hex'!$A:$A,1,0)),0,1)</f>
        <v>1</v>
      </c>
      <c r="K204" s="6" cm="1">
        <f t="array" ref="K204">HlpGetInstructionSize(A204,B204,C204)</f>
        <v>1</v>
      </c>
      <c r="L204" s="6">
        <f t="shared" si="3"/>
        <v>1</v>
      </c>
    </row>
    <row r="205" spans="1:12">
      <c r="A205" s="175" t="s">
        <v>359</v>
      </c>
      <c r="B205" s="175" t="s">
        <v>224</v>
      </c>
      <c r="C205" s="175" t="s">
        <v>1453</v>
      </c>
      <c r="D205" s="177" t="s">
        <v>850</v>
      </c>
      <c r="E205" s="179">
        <v>3</v>
      </c>
      <c r="F205" s="175" t="s">
        <v>1331</v>
      </c>
      <c r="G205" s="175" t="s">
        <v>1227</v>
      </c>
      <c r="H205" s="181"/>
      <c r="I205" s="175" t="s">
        <v>850</v>
      </c>
      <c r="J205" s="6">
        <f>IF(ISERROR(VLOOKUP(A205,'8080 Op to Hex'!$A:$A,1,0)),0,1)</f>
        <v>1</v>
      </c>
      <c r="K205" s="6" cm="1">
        <f t="array" ref="K205">HlpGetInstructionSize(A205,B205,C205)</f>
        <v>1</v>
      </c>
      <c r="L205" s="6">
        <f t="shared" si="3"/>
        <v>1</v>
      </c>
    </row>
    <row r="206" spans="1:12">
      <c r="A206" s="175" t="s">
        <v>359</v>
      </c>
      <c r="B206" s="175" t="s">
        <v>1325</v>
      </c>
      <c r="C206" s="175" t="s">
        <v>1453</v>
      </c>
      <c r="D206" s="177" t="s">
        <v>836</v>
      </c>
      <c r="E206" s="179">
        <v>3</v>
      </c>
      <c r="F206" s="175" t="s">
        <v>837</v>
      </c>
      <c r="G206" s="175" t="s">
        <v>1227</v>
      </c>
      <c r="H206" s="181"/>
      <c r="I206" s="175" t="s">
        <v>836</v>
      </c>
      <c r="J206" s="6">
        <f>IF(ISERROR(VLOOKUP(A206,'8080 Op to Hex'!$A:$A,1,0)),0,1)</f>
        <v>1</v>
      </c>
      <c r="K206" s="6" cm="1">
        <f t="array" ref="K206">HlpGetInstructionSize(A206,B206,C206)</f>
        <v>1</v>
      </c>
      <c r="L206" s="6">
        <f t="shared" si="3"/>
        <v>1</v>
      </c>
    </row>
    <row r="207" spans="1:12">
      <c r="A207" s="175" t="s">
        <v>359</v>
      </c>
      <c r="B207" s="175" t="s">
        <v>1319</v>
      </c>
      <c r="C207" s="175" t="s">
        <v>1453</v>
      </c>
      <c r="D207" s="177" t="s">
        <v>820</v>
      </c>
      <c r="E207" s="179">
        <v>3</v>
      </c>
      <c r="F207" s="175" t="s">
        <v>821</v>
      </c>
      <c r="G207" s="175" t="s">
        <v>1227</v>
      </c>
      <c r="H207" s="181"/>
      <c r="I207" s="175" t="s">
        <v>820</v>
      </c>
      <c r="J207" s="6">
        <f>IF(ISERROR(VLOOKUP(A207,'8080 Op to Hex'!$A:$A,1,0)),0,1)</f>
        <v>1</v>
      </c>
      <c r="K207" s="6" cm="1">
        <f t="array" ref="K207">HlpGetInstructionSize(A207,B207,C207)</f>
        <v>1</v>
      </c>
      <c r="L207" s="6">
        <f t="shared" si="3"/>
        <v>1</v>
      </c>
    </row>
    <row r="208" spans="1:12">
      <c r="A208" s="175" t="s">
        <v>359</v>
      </c>
      <c r="B208" s="175" t="s">
        <v>219</v>
      </c>
      <c r="C208" s="175" t="s">
        <v>1453</v>
      </c>
      <c r="D208" s="177" t="s">
        <v>774</v>
      </c>
      <c r="E208" s="179">
        <v>3</v>
      </c>
      <c r="F208" s="175" t="s">
        <v>775</v>
      </c>
      <c r="G208" s="175" t="s">
        <v>1227</v>
      </c>
      <c r="H208" s="181"/>
      <c r="I208" s="175" t="s">
        <v>774</v>
      </c>
      <c r="J208" s="6">
        <f>IF(ISERROR(VLOOKUP(A208,'8080 Op to Hex'!$A:$A,1,0)),0,1)</f>
        <v>1</v>
      </c>
      <c r="K208" s="6" cm="1">
        <f t="array" ref="K208">HlpGetInstructionSize(A208,B208,C208)</f>
        <v>1</v>
      </c>
      <c r="L208" s="6">
        <f t="shared" si="3"/>
        <v>1</v>
      </c>
    </row>
    <row r="209" spans="1:12">
      <c r="A209" s="175" t="s">
        <v>1231</v>
      </c>
      <c r="B209" s="175" t="s">
        <v>1452</v>
      </c>
      <c r="C209" s="175"/>
      <c r="D209" s="177" t="s">
        <v>474</v>
      </c>
      <c r="E209" s="179">
        <v>2</v>
      </c>
      <c r="F209" s="175" t="s">
        <v>1232</v>
      </c>
      <c r="G209" s="175" t="s">
        <v>1227</v>
      </c>
      <c r="H209" s="181"/>
      <c r="I209" s="175" t="s">
        <v>474</v>
      </c>
      <c r="J209" s="6">
        <f>IF(ISERROR(VLOOKUP(A209,'8080 Op to Hex'!$A:$A,1,0)),0,1)</f>
        <v>0</v>
      </c>
      <c r="K209" s="6" cm="1">
        <f t="array" ref="K209">HlpGetInstructionSize(A209,B209,C209)</f>
        <v>1</v>
      </c>
      <c r="L209" s="6">
        <f t="shared" si="3"/>
        <v>1</v>
      </c>
    </row>
    <row r="210" spans="1:12">
      <c r="A210" s="175" t="s">
        <v>1231</v>
      </c>
      <c r="B210" s="175" t="s">
        <v>182</v>
      </c>
      <c r="C210" s="175" t="s">
        <v>1452</v>
      </c>
      <c r="D210" s="177" t="s">
        <v>905</v>
      </c>
      <c r="E210" s="179">
        <v>2</v>
      </c>
      <c r="F210" s="175" t="s">
        <v>1252</v>
      </c>
      <c r="G210" s="175" t="s">
        <v>1227</v>
      </c>
      <c r="H210" s="181"/>
      <c r="I210" s="175" t="s">
        <v>905</v>
      </c>
      <c r="J210" s="6">
        <f>IF(ISERROR(VLOOKUP(A210,'8080 Op to Hex'!$A:$A,1,0)),0,1)</f>
        <v>0</v>
      </c>
      <c r="K210" s="6" cm="1">
        <f t="array" ref="K210">HlpGetInstructionSize(A210,B210,C210)</f>
        <v>1</v>
      </c>
      <c r="L210" s="6">
        <f>IF(E210&lt;&gt;K210,1,0)</f>
        <v>1</v>
      </c>
    </row>
    <row r="211" spans="1:12">
      <c r="A211" s="175" t="s">
        <v>1231</v>
      </c>
      <c r="B211" s="175" t="s">
        <v>1244</v>
      </c>
      <c r="C211" s="175" t="s">
        <v>1452</v>
      </c>
      <c r="D211" s="177" t="s">
        <v>899</v>
      </c>
      <c r="E211" s="179">
        <v>2</v>
      </c>
      <c r="F211" s="175" t="s">
        <v>1245</v>
      </c>
      <c r="G211" s="175" t="s">
        <v>1227</v>
      </c>
      <c r="H211" s="181"/>
      <c r="I211" s="175" t="s">
        <v>899</v>
      </c>
      <c r="J211" s="6">
        <f>IF(ISERROR(VLOOKUP(A211,'8080 Op to Hex'!$A:$A,1,0)),0,1)</f>
        <v>0</v>
      </c>
      <c r="K211" s="6" cm="1">
        <f t="array" ref="K211">HlpGetInstructionSize(A211,B211,C211)</f>
        <v>1</v>
      </c>
      <c r="L211" s="6">
        <f t="shared" si="3"/>
        <v>1</v>
      </c>
    </row>
    <row r="212" spans="1:12">
      <c r="A212" s="175" t="s">
        <v>1231</v>
      </c>
      <c r="B212" s="175" t="s">
        <v>1236</v>
      </c>
      <c r="C212" s="175" t="s">
        <v>1452</v>
      </c>
      <c r="D212" s="177" t="s">
        <v>890</v>
      </c>
      <c r="E212" s="179">
        <v>2</v>
      </c>
      <c r="F212" s="175" t="s">
        <v>1237</v>
      </c>
      <c r="G212" s="175" t="s">
        <v>1227</v>
      </c>
      <c r="H212" s="181"/>
      <c r="I212" s="175" t="s">
        <v>890</v>
      </c>
      <c r="J212" s="6">
        <f>IF(ISERROR(VLOOKUP(A212,'8080 Op to Hex'!$A:$A,1,0)),0,1)</f>
        <v>0</v>
      </c>
      <c r="K212" s="6" cm="1">
        <f t="array" ref="K212">HlpGetInstructionSize(A212,B212,C212)</f>
        <v>1</v>
      </c>
      <c r="L212" s="6">
        <f t="shared" si="3"/>
        <v>1</v>
      </c>
    </row>
    <row r="213" spans="1:12">
      <c r="A213" s="175" t="s">
        <v>1231</v>
      </c>
      <c r="B213" s="175" t="s">
        <v>219</v>
      </c>
      <c r="C213" s="175" t="s">
        <v>1452</v>
      </c>
      <c r="D213" s="177" t="s">
        <v>897</v>
      </c>
      <c r="E213" s="179">
        <v>2</v>
      </c>
      <c r="F213" s="175" t="s">
        <v>1241</v>
      </c>
      <c r="G213" s="175" t="s">
        <v>1227</v>
      </c>
      <c r="H213" s="181"/>
      <c r="I213" s="175" t="s">
        <v>897</v>
      </c>
      <c r="J213" s="6">
        <f>IF(ISERROR(VLOOKUP(A213,'8080 Op to Hex'!$A:$A,1,0)),0,1)</f>
        <v>0</v>
      </c>
      <c r="K213" s="6" cm="1">
        <f t="array" ref="K213">HlpGetInstructionSize(A213,B213,C213)</f>
        <v>1</v>
      </c>
      <c r="L213" s="6">
        <f t="shared" si="3"/>
        <v>1</v>
      </c>
    </row>
    <row r="214" spans="1:12">
      <c r="A214" s="175" t="s">
        <v>1134</v>
      </c>
      <c r="B214" s="175" t="s">
        <v>146</v>
      </c>
      <c r="C214" s="175" t="s">
        <v>146</v>
      </c>
      <c r="D214" s="177" t="s">
        <v>214</v>
      </c>
      <c r="E214" s="179">
        <v>1</v>
      </c>
      <c r="F214" s="175" t="s">
        <v>656</v>
      </c>
      <c r="G214" s="175" t="s">
        <v>145</v>
      </c>
      <c r="H214" s="181"/>
      <c r="I214" s="175" t="s">
        <v>214</v>
      </c>
      <c r="J214" s="6">
        <f>IF(ISERROR(VLOOKUP(A214,'8080 Op to Hex'!$A:$A,1,0)),0,1)</f>
        <v>0</v>
      </c>
      <c r="K214" s="6" cm="1">
        <f t="array" ref="K214">HlpGetInstructionSize(A214,B214,C214)</f>
        <v>1</v>
      </c>
      <c r="L214" s="6">
        <f>IF(E214&lt;&gt;K214,1,0)</f>
        <v>0</v>
      </c>
    </row>
    <row r="215" spans="1:12">
      <c r="A215" s="175" t="s">
        <v>1134</v>
      </c>
      <c r="B215" s="175" t="s">
        <v>146</v>
      </c>
      <c r="C215" s="175" t="s">
        <v>144</v>
      </c>
      <c r="D215" s="177" t="s">
        <v>943</v>
      </c>
      <c r="E215" s="179">
        <v>1</v>
      </c>
      <c r="F215" s="175" t="s">
        <v>645</v>
      </c>
      <c r="G215" s="175" t="s">
        <v>145</v>
      </c>
      <c r="H215" s="181"/>
      <c r="I215" s="175" t="s">
        <v>943</v>
      </c>
      <c r="J215" s="6">
        <f>IF(ISERROR(VLOOKUP(A215,'8080 Op to Hex'!$A:$A,1,0)),0,1)</f>
        <v>0</v>
      </c>
      <c r="K215" s="6" cm="1">
        <f t="array" ref="K215">HlpGetInstructionSize(A215,B215,C215)</f>
        <v>1</v>
      </c>
      <c r="L215" s="6">
        <f t="shared" si="3"/>
        <v>0</v>
      </c>
    </row>
    <row r="216" spans="1:12">
      <c r="A216" s="175" t="s">
        <v>1134</v>
      </c>
      <c r="B216" s="175" t="s">
        <v>146</v>
      </c>
      <c r="C216" s="175" t="s">
        <v>182</v>
      </c>
      <c r="D216" s="177" t="s">
        <v>944</v>
      </c>
      <c r="E216" s="179">
        <v>1</v>
      </c>
      <c r="F216" s="175" t="s">
        <v>646</v>
      </c>
      <c r="G216" s="175" t="s">
        <v>145</v>
      </c>
      <c r="H216" s="181"/>
      <c r="I216" s="175" t="s">
        <v>944</v>
      </c>
      <c r="J216" s="6">
        <f>IF(ISERROR(VLOOKUP(A216,'8080 Op to Hex'!$A:$A,1,0)),0,1)</f>
        <v>0</v>
      </c>
      <c r="K216" s="6" cm="1">
        <f t="array" ref="K216">HlpGetInstructionSize(A216,B216,C216)</f>
        <v>1</v>
      </c>
      <c r="L216" s="6">
        <f t="shared" si="3"/>
        <v>0</v>
      </c>
    </row>
    <row r="217" spans="1:12">
      <c r="A217" s="175" t="s">
        <v>1134</v>
      </c>
      <c r="B217" s="175" t="s">
        <v>146</v>
      </c>
      <c r="C217" s="175" t="s">
        <v>183</v>
      </c>
      <c r="D217" s="177" t="s">
        <v>647</v>
      </c>
      <c r="E217" s="179">
        <v>1</v>
      </c>
      <c r="F217" s="175" t="s">
        <v>648</v>
      </c>
      <c r="G217" s="175" t="s">
        <v>145</v>
      </c>
      <c r="H217" s="181"/>
      <c r="I217" s="175" t="s">
        <v>647</v>
      </c>
      <c r="J217" s="6">
        <f>IF(ISERROR(VLOOKUP(A217,'8080 Op to Hex'!$A:$A,1,0)),0,1)</f>
        <v>0</v>
      </c>
      <c r="K217" s="6" cm="1">
        <f t="array" ref="K217">HlpGetInstructionSize(A217,B217,C217)</f>
        <v>1</v>
      </c>
      <c r="L217" s="6">
        <f t="shared" si="3"/>
        <v>0</v>
      </c>
    </row>
    <row r="218" spans="1:12">
      <c r="A218" s="175" t="s">
        <v>1134</v>
      </c>
      <c r="B218" s="175" t="s">
        <v>146</v>
      </c>
      <c r="C218" s="175" t="s">
        <v>265</v>
      </c>
      <c r="D218" s="177" t="s">
        <v>649</v>
      </c>
      <c r="E218" s="179">
        <v>1</v>
      </c>
      <c r="F218" s="175" t="s">
        <v>650</v>
      </c>
      <c r="G218" s="175" t="s">
        <v>145</v>
      </c>
      <c r="H218" s="181"/>
      <c r="I218" s="175" t="s">
        <v>649</v>
      </c>
      <c r="J218" s="6">
        <f>IF(ISERROR(VLOOKUP(A218,'8080 Op to Hex'!$A:$A,1,0)),0,1)</f>
        <v>0</v>
      </c>
      <c r="K218" s="6" cm="1">
        <f t="array" ref="K218">HlpGetInstructionSize(A218,B218,C218)</f>
        <v>1</v>
      </c>
      <c r="L218" s="6">
        <f t="shared" si="3"/>
        <v>0</v>
      </c>
    </row>
    <row r="219" spans="1:12">
      <c r="A219" s="175" t="s">
        <v>1134</v>
      </c>
      <c r="B219" s="175" t="s">
        <v>146</v>
      </c>
      <c r="C219" s="175" t="s">
        <v>303</v>
      </c>
      <c r="D219" s="177" t="s">
        <v>651</v>
      </c>
      <c r="E219" s="179">
        <v>1</v>
      </c>
      <c r="F219" s="175" t="s">
        <v>652</v>
      </c>
      <c r="G219" s="175" t="s">
        <v>145</v>
      </c>
      <c r="H219" s="181"/>
      <c r="I219" s="175" t="s">
        <v>651</v>
      </c>
      <c r="J219" s="6">
        <f>IF(ISERROR(VLOOKUP(A219,'8080 Op to Hex'!$A:$A,1,0)),0,1)</f>
        <v>0</v>
      </c>
      <c r="K219" s="6" cm="1">
        <f t="array" ref="K219">HlpGetInstructionSize(A219,B219,C219)</f>
        <v>1</v>
      </c>
      <c r="L219" s="6">
        <f t="shared" si="3"/>
        <v>0</v>
      </c>
    </row>
    <row r="220" spans="1:12">
      <c r="A220" s="175" t="s">
        <v>1134</v>
      </c>
      <c r="B220" s="175" t="s">
        <v>146</v>
      </c>
      <c r="C220" s="175" t="s">
        <v>327</v>
      </c>
      <c r="D220" s="177" t="s">
        <v>653</v>
      </c>
      <c r="E220" s="179">
        <v>1</v>
      </c>
      <c r="F220" s="175" t="s">
        <v>654</v>
      </c>
      <c r="G220" s="175" t="s">
        <v>145</v>
      </c>
      <c r="H220" s="181"/>
      <c r="I220" s="175" t="s">
        <v>653</v>
      </c>
      <c r="J220" s="6">
        <f>IF(ISERROR(VLOOKUP(A220,'8080 Op to Hex'!$A:$A,1,0)),0,1)</f>
        <v>0</v>
      </c>
      <c r="K220" s="6" cm="1">
        <f t="array" ref="K220">HlpGetInstructionSize(A220,B220,C220)</f>
        <v>1</v>
      </c>
      <c r="L220" s="6">
        <f t="shared" si="3"/>
        <v>0</v>
      </c>
    </row>
    <row r="221" spans="1:12">
      <c r="A221" s="175" t="s">
        <v>1134</v>
      </c>
      <c r="B221" s="175" t="s">
        <v>146</v>
      </c>
      <c r="C221" s="175" t="s">
        <v>1655</v>
      </c>
      <c r="D221" s="177" t="s">
        <v>1656</v>
      </c>
      <c r="E221" s="179">
        <v>2</v>
      </c>
      <c r="F221" s="175" t="s">
        <v>1657</v>
      </c>
      <c r="G221" s="175" t="s">
        <v>145</v>
      </c>
      <c r="H221" s="181" t="s">
        <v>842</v>
      </c>
      <c r="I221" s="175" t="s">
        <v>922</v>
      </c>
      <c r="J221" s="6">
        <f>IF(ISERROR(VLOOKUP(A221,'8080 Op to Hex'!$A:$A,1,0)),0,1)</f>
        <v>0</v>
      </c>
      <c r="K221" s="6" cm="1">
        <f t="array" ref="K221">HlpGetInstructionSize(A221,B221,C221)</f>
        <v>1</v>
      </c>
      <c r="L221" s="6">
        <f t="shared" si="3"/>
        <v>1</v>
      </c>
    </row>
    <row r="222" spans="1:12">
      <c r="A222" s="175" t="s">
        <v>1134</v>
      </c>
      <c r="B222" s="175" t="s">
        <v>146</v>
      </c>
      <c r="C222" s="175" t="s">
        <v>1658</v>
      </c>
      <c r="D222" s="177" t="s">
        <v>1659</v>
      </c>
      <c r="E222" s="179">
        <v>2</v>
      </c>
      <c r="F222" s="175" t="s">
        <v>1660</v>
      </c>
      <c r="G222" s="175" t="s">
        <v>145</v>
      </c>
      <c r="H222" s="181" t="s">
        <v>842</v>
      </c>
      <c r="I222" s="175" t="s">
        <v>613</v>
      </c>
      <c r="J222" s="6">
        <f>IF(ISERROR(VLOOKUP(A222,'8080 Op to Hex'!$A:$A,1,0)),0,1)</f>
        <v>0</v>
      </c>
      <c r="K222" s="6" cm="1">
        <f t="array" ref="K222">HlpGetInstructionSize(A222,B222,C222)</f>
        <v>1</v>
      </c>
      <c r="L222" s="6">
        <f t="shared" si="3"/>
        <v>1</v>
      </c>
    </row>
    <row r="223" spans="1:12">
      <c r="A223" s="175" t="s">
        <v>1134</v>
      </c>
      <c r="B223" s="175" t="s">
        <v>144</v>
      </c>
      <c r="C223" s="175" t="s">
        <v>146</v>
      </c>
      <c r="D223" s="177" t="s">
        <v>913</v>
      </c>
      <c r="E223" s="179">
        <v>1</v>
      </c>
      <c r="F223" s="175" t="s">
        <v>579</v>
      </c>
      <c r="G223" s="175" t="s">
        <v>145</v>
      </c>
      <c r="H223" s="181"/>
      <c r="I223" s="175" t="s">
        <v>913</v>
      </c>
      <c r="J223" s="6">
        <f>IF(ISERROR(VLOOKUP(A223,'8080 Op to Hex'!$A:$A,1,0)),0,1)</f>
        <v>0</v>
      </c>
      <c r="K223" s="6" cm="1">
        <f t="array" ref="K223">HlpGetInstructionSize(A223,B223,C223)</f>
        <v>1</v>
      </c>
      <c r="L223" s="6">
        <f t="shared" si="3"/>
        <v>0</v>
      </c>
    </row>
    <row r="224" spans="1:12">
      <c r="A224" s="175" t="s">
        <v>1134</v>
      </c>
      <c r="B224" s="175" t="s">
        <v>144</v>
      </c>
      <c r="C224" s="175" t="s">
        <v>144</v>
      </c>
      <c r="D224" s="177" t="s">
        <v>907</v>
      </c>
      <c r="E224" s="179">
        <v>1</v>
      </c>
      <c r="F224" s="175" t="s">
        <v>571</v>
      </c>
      <c r="G224" s="175" t="s">
        <v>145</v>
      </c>
      <c r="H224" s="181"/>
      <c r="I224" s="175" t="s">
        <v>907</v>
      </c>
      <c r="J224" s="6">
        <f>IF(ISERROR(VLOOKUP(A224,'8080 Op to Hex'!$A:$A,1,0)),0,1)</f>
        <v>0</v>
      </c>
      <c r="K224" s="6" cm="1">
        <f t="array" ref="K224">HlpGetInstructionSize(A224,B224,C224)</f>
        <v>1</v>
      </c>
      <c r="L224" s="6">
        <f t="shared" si="3"/>
        <v>0</v>
      </c>
    </row>
    <row r="225" spans="1:12">
      <c r="A225" s="175" t="s">
        <v>1134</v>
      </c>
      <c r="B225" s="175" t="s">
        <v>144</v>
      </c>
      <c r="C225" s="175" t="s">
        <v>182</v>
      </c>
      <c r="D225" s="177" t="s">
        <v>908</v>
      </c>
      <c r="E225" s="179">
        <v>1</v>
      </c>
      <c r="F225" s="175" t="s">
        <v>572</v>
      </c>
      <c r="G225" s="175" t="s">
        <v>145</v>
      </c>
      <c r="H225" s="181"/>
      <c r="I225" s="175" t="s">
        <v>908</v>
      </c>
      <c r="J225" s="6">
        <f>IF(ISERROR(VLOOKUP(A225,'8080 Op to Hex'!$A:$A,1,0)),0,1)</f>
        <v>0</v>
      </c>
      <c r="K225" s="6" cm="1">
        <f t="array" ref="K225">HlpGetInstructionSize(A225,B225,C225)</f>
        <v>1</v>
      </c>
      <c r="L225" s="6">
        <f t="shared" si="3"/>
        <v>0</v>
      </c>
    </row>
    <row r="226" spans="1:12">
      <c r="A226" s="175" t="s">
        <v>1134</v>
      </c>
      <c r="B226" s="175" t="s">
        <v>144</v>
      </c>
      <c r="C226" s="175" t="s">
        <v>183</v>
      </c>
      <c r="D226" s="177" t="s">
        <v>482</v>
      </c>
      <c r="E226" s="179">
        <v>1</v>
      </c>
      <c r="F226" s="175" t="s">
        <v>573</v>
      </c>
      <c r="G226" s="175" t="s">
        <v>145</v>
      </c>
      <c r="H226" s="181"/>
      <c r="I226" s="175" t="s">
        <v>482</v>
      </c>
      <c r="J226" s="6">
        <f>IF(ISERROR(VLOOKUP(A226,'8080 Op to Hex'!$A:$A,1,0)),0,1)</f>
        <v>0</v>
      </c>
      <c r="K226" s="6" cm="1">
        <f t="array" ref="K226">HlpGetInstructionSize(A226,B226,C226)</f>
        <v>1</v>
      </c>
      <c r="L226" s="6">
        <f t="shared" si="3"/>
        <v>0</v>
      </c>
    </row>
    <row r="227" spans="1:12">
      <c r="A227" s="175" t="s">
        <v>1134</v>
      </c>
      <c r="B227" s="175" t="s">
        <v>144</v>
      </c>
      <c r="C227" s="175" t="s">
        <v>265</v>
      </c>
      <c r="D227" s="177" t="s">
        <v>909</v>
      </c>
      <c r="E227" s="179">
        <v>1</v>
      </c>
      <c r="F227" s="175" t="s">
        <v>574</v>
      </c>
      <c r="G227" s="175" t="s">
        <v>145</v>
      </c>
      <c r="H227" s="181"/>
      <c r="I227" s="175" t="s">
        <v>909</v>
      </c>
      <c r="J227" s="6">
        <f>IF(ISERROR(VLOOKUP(A227,'8080 Op to Hex'!$A:$A,1,0)),0,1)</f>
        <v>0</v>
      </c>
      <c r="K227" s="6" cm="1">
        <f t="array" ref="K227">HlpGetInstructionSize(A227,B227,C227)</f>
        <v>1</v>
      </c>
      <c r="L227" s="6">
        <f t="shared" si="3"/>
        <v>0</v>
      </c>
    </row>
    <row r="228" spans="1:12">
      <c r="A228" s="175" t="s">
        <v>1134</v>
      </c>
      <c r="B228" s="175" t="s">
        <v>144</v>
      </c>
      <c r="C228" s="175" t="s">
        <v>303</v>
      </c>
      <c r="D228" s="177" t="s">
        <v>910</v>
      </c>
      <c r="E228" s="179">
        <v>1</v>
      </c>
      <c r="F228" s="175" t="s">
        <v>575</v>
      </c>
      <c r="G228" s="175" t="s">
        <v>145</v>
      </c>
      <c r="H228" s="181"/>
      <c r="I228" s="175" t="s">
        <v>910</v>
      </c>
      <c r="J228" s="6">
        <f>IF(ISERROR(VLOOKUP(A228,'8080 Op to Hex'!$A:$A,1,0)),0,1)</f>
        <v>0</v>
      </c>
      <c r="K228" s="6" cm="1">
        <f t="array" ref="K228">HlpGetInstructionSize(A228,B228,C228)</f>
        <v>1</v>
      </c>
      <c r="L228" s="6">
        <f t="shared" si="3"/>
        <v>0</v>
      </c>
    </row>
    <row r="229" spans="1:12">
      <c r="A229" s="175" t="s">
        <v>1134</v>
      </c>
      <c r="B229" s="175" t="s">
        <v>144</v>
      </c>
      <c r="C229" s="175" t="s">
        <v>327</v>
      </c>
      <c r="D229" s="177" t="s">
        <v>911</v>
      </c>
      <c r="E229" s="179">
        <v>1</v>
      </c>
      <c r="F229" s="175" t="s">
        <v>576</v>
      </c>
      <c r="G229" s="175" t="s">
        <v>145</v>
      </c>
      <c r="H229" s="181"/>
      <c r="I229" s="175" t="s">
        <v>911</v>
      </c>
      <c r="J229" s="6">
        <f>IF(ISERROR(VLOOKUP(A229,'8080 Op to Hex'!$A:$A,1,0)),0,1)</f>
        <v>0</v>
      </c>
      <c r="K229" s="6" cm="1">
        <f t="array" ref="K229">HlpGetInstructionSize(A229,B229,C229)</f>
        <v>1</v>
      </c>
      <c r="L229" s="6">
        <f t="shared" si="3"/>
        <v>0</v>
      </c>
    </row>
    <row r="230" spans="1:12">
      <c r="A230" s="175" t="s">
        <v>1134</v>
      </c>
      <c r="B230" s="175" t="s">
        <v>182</v>
      </c>
      <c r="C230" s="175" t="s">
        <v>146</v>
      </c>
      <c r="D230" s="177" t="s">
        <v>592</v>
      </c>
      <c r="E230" s="179">
        <v>1</v>
      </c>
      <c r="F230" s="175" t="s">
        <v>593</v>
      </c>
      <c r="G230" s="175" t="s">
        <v>145</v>
      </c>
      <c r="H230" s="181"/>
      <c r="I230" s="175" t="s">
        <v>592</v>
      </c>
      <c r="J230" s="6">
        <f>IF(ISERROR(VLOOKUP(A230,'8080 Op to Hex'!$A:$A,1,0)),0,1)</f>
        <v>0</v>
      </c>
      <c r="K230" s="6" cm="1">
        <f t="array" ref="K230">HlpGetInstructionSize(A230,B230,C230)</f>
        <v>1</v>
      </c>
      <c r="L230" s="6">
        <f t="shared" si="3"/>
        <v>0</v>
      </c>
    </row>
    <row r="231" spans="1:12">
      <c r="A231" s="175" t="s">
        <v>1134</v>
      </c>
      <c r="B231" s="175" t="s">
        <v>182</v>
      </c>
      <c r="C231" s="175" t="s">
        <v>144</v>
      </c>
      <c r="D231" s="177" t="s">
        <v>914</v>
      </c>
      <c r="E231" s="179">
        <v>1</v>
      </c>
      <c r="F231" s="175" t="s">
        <v>580</v>
      </c>
      <c r="G231" s="175" t="s">
        <v>145</v>
      </c>
      <c r="H231" s="181"/>
      <c r="I231" s="175" t="s">
        <v>914</v>
      </c>
      <c r="J231" s="6">
        <f>IF(ISERROR(VLOOKUP(A231,'8080 Op to Hex'!$A:$A,1,0)),0,1)</f>
        <v>0</v>
      </c>
      <c r="K231" s="6" cm="1">
        <f t="array" ref="K231">HlpGetInstructionSize(A231,B231,C231)</f>
        <v>1</v>
      </c>
      <c r="L231" s="6">
        <f t="shared" si="3"/>
        <v>0</v>
      </c>
    </row>
    <row r="232" spans="1:12">
      <c r="A232" s="175" t="s">
        <v>1134</v>
      </c>
      <c r="B232" s="175" t="s">
        <v>182</v>
      </c>
      <c r="C232" s="175" t="s">
        <v>182</v>
      </c>
      <c r="D232" s="177" t="s">
        <v>915</v>
      </c>
      <c r="E232" s="179">
        <v>1</v>
      </c>
      <c r="F232" s="175" t="s">
        <v>581</v>
      </c>
      <c r="G232" s="175" t="s">
        <v>145</v>
      </c>
      <c r="H232" s="181"/>
      <c r="I232" s="175" t="s">
        <v>915</v>
      </c>
      <c r="J232" s="6">
        <f>IF(ISERROR(VLOOKUP(A232,'8080 Op to Hex'!$A:$A,1,0)),0,1)</f>
        <v>0</v>
      </c>
      <c r="K232" s="6" cm="1">
        <f t="array" ref="K232">HlpGetInstructionSize(A232,B232,C232)</f>
        <v>1</v>
      </c>
      <c r="L232" s="6">
        <f t="shared" si="3"/>
        <v>0</v>
      </c>
    </row>
    <row r="233" spans="1:12">
      <c r="A233" s="175" t="s">
        <v>1134</v>
      </c>
      <c r="B233" s="175" t="s">
        <v>182</v>
      </c>
      <c r="C233" s="175" t="s">
        <v>183</v>
      </c>
      <c r="D233" s="177" t="s">
        <v>582</v>
      </c>
      <c r="E233" s="179">
        <v>1</v>
      </c>
      <c r="F233" s="175" t="s">
        <v>583</v>
      </c>
      <c r="G233" s="175" t="s">
        <v>145</v>
      </c>
      <c r="H233" s="181"/>
      <c r="I233" s="175" t="s">
        <v>582</v>
      </c>
      <c r="J233" s="6">
        <f>IF(ISERROR(VLOOKUP(A233,'8080 Op to Hex'!$A:$A,1,0)),0,1)</f>
        <v>0</v>
      </c>
      <c r="K233" s="6" cm="1">
        <f t="array" ref="K233">HlpGetInstructionSize(A233,B233,C233)</f>
        <v>1</v>
      </c>
      <c r="L233" s="6">
        <f t="shared" si="3"/>
        <v>0</v>
      </c>
    </row>
    <row r="234" spans="1:12">
      <c r="A234" s="175" t="s">
        <v>1134</v>
      </c>
      <c r="B234" s="175" t="s">
        <v>182</v>
      </c>
      <c r="C234" s="175" t="s">
        <v>265</v>
      </c>
      <c r="D234" s="177" t="s">
        <v>584</v>
      </c>
      <c r="E234" s="179">
        <v>1</v>
      </c>
      <c r="F234" s="175" t="s">
        <v>585</v>
      </c>
      <c r="G234" s="175" t="s">
        <v>145</v>
      </c>
      <c r="H234" s="181"/>
      <c r="I234" s="175" t="s">
        <v>584</v>
      </c>
      <c r="J234" s="6">
        <f>IF(ISERROR(VLOOKUP(A234,'8080 Op to Hex'!$A:$A,1,0)),0,1)</f>
        <v>0</v>
      </c>
      <c r="K234" s="6" cm="1">
        <f t="array" ref="K234">HlpGetInstructionSize(A234,B234,C234)</f>
        <v>1</v>
      </c>
      <c r="L234" s="6">
        <f t="shared" si="3"/>
        <v>0</v>
      </c>
    </row>
    <row r="235" spans="1:12">
      <c r="A235" s="175" t="s">
        <v>1134</v>
      </c>
      <c r="B235" s="175" t="s">
        <v>182</v>
      </c>
      <c r="C235" s="175" t="s">
        <v>303</v>
      </c>
      <c r="D235" s="177" t="s">
        <v>586</v>
      </c>
      <c r="E235" s="179">
        <v>1</v>
      </c>
      <c r="F235" s="175" t="s">
        <v>587</v>
      </c>
      <c r="G235" s="175" t="s">
        <v>145</v>
      </c>
      <c r="H235" s="181"/>
      <c r="I235" s="175" t="s">
        <v>586</v>
      </c>
      <c r="J235" s="6">
        <f>IF(ISERROR(VLOOKUP(A235,'8080 Op to Hex'!$A:$A,1,0)),0,1)</f>
        <v>0</v>
      </c>
      <c r="K235" s="6" cm="1">
        <f t="array" ref="K235">HlpGetInstructionSize(A235,B235,C235)</f>
        <v>1</v>
      </c>
      <c r="L235" s="6">
        <f t="shared" si="3"/>
        <v>0</v>
      </c>
    </row>
    <row r="236" spans="1:12">
      <c r="A236" s="175" t="s">
        <v>1134</v>
      </c>
      <c r="B236" s="175" t="s">
        <v>182</v>
      </c>
      <c r="C236" s="175" t="s">
        <v>327</v>
      </c>
      <c r="D236" s="177" t="s">
        <v>588</v>
      </c>
      <c r="E236" s="179">
        <v>1</v>
      </c>
      <c r="F236" s="175" t="s">
        <v>589</v>
      </c>
      <c r="G236" s="175" t="s">
        <v>145</v>
      </c>
      <c r="H236" s="181"/>
      <c r="I236" s="175" t="s">
        <v>588</v>
      </c>
      <c r="J236" s="6">
        <f>IF(ISERROR(VLOOKUP(A236,'8080 Op to Hex'!$A:$A,1,0)),0,1)</f>
        <v>0</v>
      </c>
      <c r="K236" s="6" cm="1">
        <f t="array" ref="K236">HlpGetInstructionSize(A236,B236,C236)</f>
        <v>1</v>
      </c>
      <c r="L236" s="6">
        <f t="shared" si="3"/>
        <v>0</v>
      </c>
    </row>
    <row r="237" spans="1:12">
      <c r="A237" s="175" t="s">
        <v>1134</v>
      </c>
      <c r="B237" s="175" t="s">
        <v>183</v>
      </c>
      <c r="C237" s="175" t="s">
        <v>146</v>
      </c>
      <c r="D237" s="177" t="s">
        <v>922</v>
      </c>
      <c r="E237" s="179">
        <v>1</v>
      </c>
      <c r="F237" s="175" t="s">
        <v>601</v>
      </c>
      <c r="G237" s="175" t="s">
        <v>145</v>
      </c>
      <c r="H237" s="181"/>
      <c r="I237" s="175" t="s">
        <v>922</v>
      </c>
      <c r="J237" s="6">
        <f>IF(ISERROR(VLOOKUP(A237,'8080 Op to Hex'!$A:$A,1,0)),0,1)</f>
        <v>0</v>
      </c>
      <c r="K237" s="6" cm="1">
        <f t="array" ref="K237">HlpGetInstructionSize(A237,B237,C237)</f>
        <v>1</v>
      </c>
      <c r="L237" s="6">
        <f t="shared" si="3"/>
        <v>0</v>
      </c>
    </row>
    <row r="238" spans="1:12">
      <c r="A238" s="175" t="s">
        <v>1134</v>
      </c>
      <c r="B238" s="175" t="s">
        <v>183</v>
      </c>
      <c r="C238" s="175" t="s">
        <v>144</v>
      </c>
      <c r="D238" s="177" t="s">
        <v>916</v>
      </c>
      <c r="E238" s="179">
        <v>1</v>
      </c>
      <c r="F238" s="175" t="s">
        <v>594</v>
      </c>
      <c r="G238" s="175" t="s">
        <v>145</v>
      </c>
      <c r="H238" s="181"/>
      <c r="I238" s="175" t="s">
        <v>916</v>
      </c>
      <c r="J238" s="6">
        <f>IF(ISERROR(VLOOKUP(A238,'8080 Op to Hex'!$A:$A,1,0)),0,1)</f>
        <v>0</v>
      </c>
      <c r="K238" s="6" cm="1">
        <f t="array" ref="K238">HlpGetInstructionSize(A238,B238,C238)</f>
        <v>1</v>
      </c>
      <c r="L238" s="6">
        <f t="shared" si="3"/>
        <v>0</v>
      </c>
    </row>
    <row r="239" spans="1:12">
      <c r="A239" s="175" t="s">
        <v>1134</v>
      </c>
      <c r="B239" s="175" t="s">
        <v>183</v>
      </c>
      <c r="C239" s="175" t="s">
        <v>182</v>
      </c>
      <c r="D239" s="177" t="s">
        <v>917</v>
      </c>
      <c r="E239" s="179">
        <v>1</v>
      </c>
      <c r="F239" s="175" t="s">
        <v>595</v>
      </c>
      <c r="G239" s="175" t="s">
        <v>145</v>
      </c>
      <c r="H239" s="181"/>
      <c r="I239" s="175" t="s">
        <v>917</v>
      </c>
      <c r="J239" s="6">
        <f>IF(ISERROR(VLOOKUP(A239,'8080 Op to Hex'!$A:$A,1,0)),0,1)</f>
        <v>0</v>
      </c>
      <c r="K239" s="6" cm="1">
        <f t="array" ref="K239">HlpGetInstructionSize(A239,B239,C239)</f>
        <v>1</v>
      </c>
      <c r="L239" s="6">
        <f t="shared" si="3"/>
        <v>0</v>
      </c>
    </row>
    <row r="240" spans="1:12">
      <c r="A240" s="175" t="s">
        <v>1134</v>
      </c>
      <c r="B240" s="175" t="s">
        <v>183</v>
      </c>
      <c r="C240" s="175" t="s">
        <v>183</v>
      </c>
      <c r="D240" s="177" t="s">
        <v>918</v>
      </c>
      <c r="E240" s="179">
        <v>1</v>
      </c>
      <c r="F240" s="175" t="s">
        <v>596</v>
      </c>
      <c r="G240" s="175" t="s">
        <v>145</v>
      </c>
      <c r="H240" s="181"/>
      <c r="I240" s="175" t="s">
        <v>918</v>
      </c>
      <c r="J240" s="6">
        <f>IF(ISERROR(VLOOKUP(A240,'8080 Op to Hex'!$A:$A,1,0)),0,1)</f>
        <v>0</v>
      </c>
      <c r="K240" s="6" cm="1">
        <f t="array" ref="K240">HlpGetInstructionSize(A240,B240,C240)</f>
        <v>1</v>
      </c>
      <c r="L240" s="6">
        <f t="shared" si="3"/>
        <v>0</v>
      </c>
    </row>
    <row r="241" spans="1:12">
      <c r="A241" s="175" t="s">
        <v>1134</v>
      </c>
      <c r="B241" s="175" t="s">
        <v>183</v>
      </c>
      <c r="C241" s="175" t="s">
        <v>265</v>
      </c>
      <c r="D241" s="177" t="s">
        <v>919</v>
      </c>
      <c r="E241" s="179">
        <v>1</v>
      </c>
      <c r="F241" s="175" t="s">
        <v>597</v>
      </c>
      <c r="G241" s="175" t="s">
        <v>145</v>
      </c>
      <c r="H241" s="181"/>
      <c r="I241" s="175" t="s">
        <v>919</v>
      </c>
      <c r="J241" s="6">
        <f>IF(ISERROR(VLOOKUP(A241,'8080 Op to Hex'!$A:$A,1,0)),0,1)</f>
        <v>0</v>
      </c>
      <c r="K241" s="6" cm="1">
        <f t="array" ref="K241">HlpGetInstructionSize(A241,B241,C241)</f>
        <v>1</v>
      </c>
      <c r="L241" s="6">
        <f t="shared" si="3"/>
        <v>0</v>
      </c>
    </row>
    <row r="242" spans="1:12">
      <c r="A242" s="175" t="s">
        <v>1134</v>
      </c>
      <c r="B242" s="175" t="s">
        <v>183</v>
      </c>
      <c r="C242" s="175" t="s">
        <v>303</v>
      </c>
      <c r="D242" s="177" t="s">
        <v>920</v>
      </c>
      <c r="E242" s="179">
        <v>1</v>
      </c>
      <c r="F242" s="175" t="s">
        <v>598</v>
      </c>
      <c r="G242" s="175" t="s">
        <v>145</v>
      </c>
      <c r="H242" s="181"/>
      <c r="I242" s="175" t="s">
        <v>920</v>
      </c>
      <c r="J242" s="6">
        <f>IF(ISERROR(VLOOKUP(A242,'8080 Op to Hex'!$A:$A,1,0)),0,1)</f>
        <v>0</v>
      </c>
      <c r="K242" s="6" cm="1">
        <f t="array" ref="K242">HlpGetInstructionSize(A242,B242,C242)</f>
        <v>1</v>
      </c>
      <c r="L242" s="6">
        <f t="shared" si="3"/>
        <v>0</v>
      </c>
    </row>
    <row r="243" spans="1:12">
      <c r="A243" s="175" t="s">
        <v>1134</v>
      </c>
      <c r="B243" s="175" t="s">
        <v>183</v>
      </c>
      <c r="C243" s="175" t="s">
        <v>327</v>
      </c>
      <c r="D243" s="177" t="s">
        <v>185</v>
      </c>
      <c r="E243" s="179">
        <v>1</v>
      </c>
      <c r="F243" s="175" t="s">
        <v>599</v>
      </c>
      <c r="G243" s="175" t="s">
        <v>145</v>
      </c>
      <c r="H243" s="181"/>
      <c r="I243" s="175" t="s">
        <v>185</v>
      </c>
      <c r="J243" s="6">
        <f>IF(ISERROR(VLOOKUP(A243,'8080 Op to Hex'!$A:$A,1,0)),0,1)</f>
        <v>0</v>
      </c>
      <c r="K243" s="6" cm="1">
        <f t="array" ref="K243">HlpGetInstructionSize(A243,B243,C243)</f>
        <v>1</v>
      </c>
      <c r="L243" s="6">
        <f t="shared" si="3"/>
        <v>0</v>
      </c>
    </row>
    <row r="244" spans="1:12">
      <c r="A244" s="175" t="s">
        <v>1134</v>
      </c>
      <c r="B244" s="175" t="s">
        <v>265</v>
      </c>
      <c r="C244" s="175" t="s">
        <v>146</v>
      </c>
      <c r="D244" s="177" t="s">
        <v>613</v>
      </c>
      <c r="E244" s="179">
        <v>1</v>
      </c>
      <c r="F244" s="175" t="s">
        <v>614</v>
      </c>
      <c r="G244" s="175" t="s">
        <v>145</v>
      </c>
      <c r="H244" s="181"/>
      <c r="I244" s="175" t="s">
        <v>613</v>
      </c>
      <c r="J244" s="6">
        <f>IF(ISERROR(VLOOKUP(A244,'8080 Op to Hex'!$A:$A,1,0)),0,1)</f>
        <v>0</v>
      </c>
      <c r="K244" s="6" cm="1">
        <f t="array" ref="K244">HlpGetInstructionSize(A244,B244,C244)</f>
        <v>1</v>
      </c>
      <c r="L244" s="6">
        <f t="shared" si="3"/>
        <v>0</v>
      </c>
    </row>
    <row r="245" spans="1:12">
      <c r="A245" s="175" t="s">
        <v>1134</v>
      </c>
      <c r="B245" s="175" t="s">
        <v>265</v>
      </c>
      <c r="C245" s="175" t="s">
        <v>144</v>
      </c>
      <c r="D245" s="177" t="s">
        <v>923</v>
      </c>
      <c r="E245" s="179">
        <v>1</v>
      </c>
      <c r="F245" s="175" t="s">
        <v>602</v>
      </c>
      <c r="G245" s="175" t="s">
        <v>145</v>
      </c>
      <c r="H245" s="181"/>
      <c r="I245" s="175" t="s">
        <v>923</v>
      </c>
      <c r="J245" s="6">
        <f>IF(ISERROR(VLOOKUP(A245,'8080 Op to Hex'!$A:$A,1,0)),0,1)</f>
        <v>0</v>
      </c>
      <c r="K245" s="6" cm="1">
        <f t="array" ref="K245">HlpGetInstructionSize(A245,B245,C245)</f>
        <v>1</v>
      </c>
      <c r="L245" s="6">
        <f t="shared" si="3"/>
        <v>0</v>
      </c>
    </row>
    <row r="246" spans="1:12">
      <c r="A246" s="175" t="s">
        <v>1134</v>
      </c>
      <c r="B246" s="175" t="s">
        <v>265</v>
      </c>
      <c r="C246" s="175" t="s">
        <v>182</v>
      </c>
      <c r="D246" s="177" t="s">
        <v>924</v>
      </c>
      <c r="E246" s="179">
        <v>1</v>
      </c>
      <c r="F246" s="175" t="s">
        <v>603</v>
      </c>
      <c r="G246" s="175" t="s">
        <v>145</v>
      </c>
      <c r="H246" s="181"/>
      <c r="I246" s="175" t="s">
        <v>924</v>
      </c>
      <c r="J246" s="6">
        <f>IF(ISERROR(VLOOKUP(A246,'8080 Op to Hex'!$A:$A,1,0)),0,1)</f>
        <v>0</v>
      </c>
      <c r="K246" s="6" cm="1">
        <f t="array" ref="K246">HlpGetInstructionSize(A246,B246,C246)</f>
        <v>1</v>
      </c>
      <c r="L246" s="6">
        <f t="shared" si="3"/>
        <v>0</v>
      </c>
    </row>
    <row r="247" spans="1:12">
      <c r="A247" s="175" t="s">
        <v>1134</v>
      </c>
      <c r="B247" s="175" t="s">
        <v>265</v>
      </c>
      <c r="C247" s="175" t="s">
        <v>183</v>
      </c>
      <c r="D247" s="177" t="s">
        <v>358</v>
      </c>
      <c r="E247" s="179">
        <v>1</v>
      </c>
      <c r="F247" s="175" t="s">
        <v>604</v>
      </c>
      <c r="G247" s="175" t="s">
        <v>145</v>
      </c>
      <c r="H247" s="181"/>
      <c r="I247" s="175" t="s">
        <v>358</v>
      </c>
      <c r="J247" s="6">
        <f>IF(ISERROR(VLOOKUP(A247,'8080 Op to Hex'!$A:$A,1,0)),0,1)</f>
        <v>0</v>
      </c>
      <c r="K247" s="6" cm="1">
        <f t="array" ref="K247">HlpGetInstructionSize(A247,B247,C247)</f>
        <v>1</v>
      </c>
      <c r="L247" s="6">
        <f t="shared" si="3"/>
        <v>0</v>
      </c>
    </row>
    <row r="248" spans="1:12">
      <c r="A248" s="175" t="s">
        <v>1134</v>
      </c>
      <c r="B248" s="175" t="s">
        <v>265</v>
      </c>
      <c r="C248" s="175" t="s">
        <v>265</v>
      </c>
      <c r="D248" s="177" t="s">
        <v>605</v>
      </c>
      <c r="E248" s="179">
        <v>1</v>
      </c>
      <c r="F248" s="175" t="s">
        <v>606</v>
      </c>
      <c r="G248" s="175" t="s">
        <v>145</v>
      </c>
      <c r="H248" s="181"/>
      <c r="I248" s="175" t="s">
        <v>605</v>
      </c>
      <c r="J248" s="6">
        <f>IF(ISERROR(VLOOKUP(A248,'8080 Op to Hex'!$A:$A,1,0)),0,1)</f>
        <v>0</v>
      </c>
      <c r="K248" s="6" cm="1">
        <f t="array" ref="K248">HlpGetInstructionSize(A248,B248,C248)</f>
        <v>1</v>
      </c>
      <c r="L248" s="6">
        <f t="shared" si="3"/>
        <v>0</v>
      </c>
    </row>
    <row r="249" spans="1:12">
      <c r="A249" s="175" t="s">
        <v>1134</v>
      </c>
      <c r="B249" s="175" t="s">
        <v>265</v>
      </c>
      <c r="C249" s="175" t="s">
        <v>303</v>
      </c>
      <c r="D249" s="177" t="s">
        <v>607</v>
      </c>
      <c r="E249" s="179">
        <v>1</v>
      </c>
      <c r="F249" s="175" t="s">
        <v>608</v>
      </c>
      <c r="G249" s="175" t="s">
        <v>145</v>
      </c>
      <c r="H249" s="181"/>
      <c r="I249" s="175" t="s">
        <v>607</v>
      </c>
      <c r="J249" s="6">
        <f>IF(ISERROR(VLOOKUP(A249,'8080 Op to Hex'!$A:$A,1,0)),0,1)</f>
        <v>0</v>
      </c>
      <c r="K249" s="6" cm="1">
        <f t="array" ref="K249">HlpGetInstructionSize(A249,B249,C249)</f>
        <v>1</v>
      </c>
      <c r="L249" s="6">
        <f t="shared" si="3"/>
        <v>0</v>
      </c>
    </row>
    <row r="250" spans="1:12">
      <c r="A250" s="175" t="s">
        <v>1134</v>
      </c>
      <c r="B250" s="175" t="s">
        <v>265</v>
      </c>
      <c r="C250" s="175" t="s">
        <v>327</v>
      </c>
      <c r="D250" s="177" t="s">
        <v>609</v>
      </c>
      <c r="E250" s="179">
        <v>1</v>
      </c>
      <c r="F250" s="175" t="s">
        <v>610</v>
      </c>
      <c r="G250" s="175" t="s">
        <v>145</v>
      </c>
      <c r="H250" s="181"/>
      <c r="I250" s="175" t="s">
        <v>609</v>
      </c>
      <c r="J250" s="6">
        <f>IF(ISERROR(VLOOKUP(A250,'8080 Op to Hex'!$A:$A,1,0)),0,1)</f>
        <v>0</v>
      </c>
      <c r="K250" s="6" cm="1">
        <f t="array" ref="K250">HlpGetInstructionSize(A250,B250,C250)</f>
        <v>1</v>
      </c>
      <c r="L250" s="6">
        <f t="shared" si="3"/>
        <v>0</v>
      </c>
    </row>
    <row r="251" spans="1:12">
      <c r="A251" s="175" t="s">
        <v>1134</v>
      </c>
      <c r="B251" s="175" t="s">
        <v>303</v>
      </c>
      <c r="C251" s="175" t="s">
        <v>146</v>
      </c>
      <c r="D251" s="177" t="s">
        <v>932</v>
      </c>
      <c r="E251" s="179">
        <v>1</v>
      </c>
      <c r="F251" s="175" t="s">
        <v>622</v>
      </c>
      <c r="G251" s="175" t="s">
        <v>145</v>
      </c>
      <c r="H251" s="181"/>
      <c r="I251" s="175" t="s">
        <v>932</v>
      </c>
      <c r="J251" s="6">
        <f>IF(ISERROR(VLOOKUP(A251,'8080 Op to Hex'!$A:$A,1,0)),0,1)</f>
        <v>0</v>
      </c>
      <c r="K251" s="6" cm="1">
        <f t="array" ref="K251">HlpGetInstructionSize(A251,B251,C251)</f>
        <v>1</v>
      </c>
      <c r="L251" s="6">
        <f t="shared" si="3"/>
        <v>0</v>
      </c>
    </row>
    <row r="252" spans="1:12">
      <c r="A252" s="175" t="s">
        <v>1134</v>
      </c>
      <c r="B252" s="175" t="s">
        <v>303</v>
      </c>
      <c r="C252" s="175" t="s">
        <v>144</v>
      </c>
      <c r="D252" s="177" t="s">
        <v>925</v>
      </c>
      <c r="E252" s="179">
        <v>1</v>
      </c>
      <c r="F252" s="175" t="s">
        <v>615</v>
      </c>
      <c r="G252" s="175" t="s">
        <v>145</v>
      </c>
      <c r="H252" s="181"/>
      <c r="I252" s="175" t="s">
        <v>925</v>
      </c>
      <c r="J252" s="6">
        <f>IF(ISERROR(VLOOKUP(A252,'8080 Op to Hex'!$A:$A,1,0)),0,1)</f>
        <v>0</v>
      </c>
      <c r="K252" s="6" cm="1">
        <f t="array" ref="K252">HlpGetInstructionSize(A252,B252,C252)</f>
        <v>1</v>
      </c>
      <c r="L252" s="6">
        <f t="shared" si="3"/>
        <v>0</v>
      </c>
    </row>
    <row r="253" spans="1:12">
      <c r="A253" s="175" t="s">
        <v>1134</v>
      </c>
      <c r="B253" s="175" t="s">
        <v>303</v>
      </c>
      <c r="C253" s="175" t="s">
        <v>182</v>
      </c>
      <c r="D253" s="177" t="s">
        <v>926</v>
      </c>
      <c r="E253" s="179">
        <v>1</v>
      </c>
      <c r="F253" s="175" t="s">
        <v>616</v>
      </c>
      <c r="G253" s="175" t="s">
        <v>145</v>
      </c>
      <c r="H253" s="181"/>
      <c r="I253" s="175" t="s">
        <v>926</v>
      </c>
      <c r="J253" s="6">
        <f>IF(ISERROR(VLOOKUP(A253,'8080 Op to Hex'!$A:$A,1,0)),0,1)</f>
        <v>0</v>
      </c>
      <c r="K253" s="6" cm="1">
        <f t="array" ref="K253">HlpGetInstructionSize(A253,B253,C253)</f>
        <v>1</v>
      </c>
      <c r="L253" s="6">
        <f t="shared" si="3"/>
        <v>0</v>
      </c>
    </row>
    <row r="254" spans="1:12">
      <c r="A254" s="175" t="s">
        <v>1134</v>
      </c>
      <c r="B254" s="175" t="s">
        <v>303</v>
      </c>
      <c r="C254" s="175" t="s">
        <v>183</v>
      </c>
      <c r="D254" s="177" t="s">
        <v>927</v>
      </c>
      <c r="E254" s="179">
        <v>1</v>
      </c>
      <c r="F254" s="175" t="s">
        <v>617</v>
      </c>
      <c r="G254" s="175" t="s">
        <v>145</v>
      </c>
      <c r="H254" s="181"/>
      <c r="I254" s="175" t="s">
        <v>927</v>
      </c>
      <c r="J254" s="6">
        <f>IF(ISERROR(VLOOKUP(A254,'8080 Op to Hex'!$A:$A,1,0)),0,1)</f>
        <v>0</v>
      </c>
      <c r="K254" s="6" cm="1">
        <f t="array" ref="K254">HlpGetInstructionSize(A254,B254,C254)</f>
        <v>1</v>
      </c>
      <c r="L254" s="6">
        <f t="shared" si="3"/>
        <v>0</v>
      </c>
    </row>
    <row r="255" spans="1:12">
      <c r="A255" s="175" t="s">
        <v>1134</v>
      </c>
      <c r="B255" s="175" t="s">
        <v>303</v>
      </c>
      <c r="C255" s="175" t="s">
        <v>265</v>
      </c>
      <c r="D255" s="177" t="s">
        <v>928</v>
      </c>
      <c r="E255" s="179">
        <v>1</v>
      </c>
      <c r="F255" s="175" t="s">
        <v>618</v>
      </c>
      <c r="G255" s="175" t="s">
        <v>145</v>
      </c>
      <c r="H255" s="181"/>
      <c r="I255" s="175" t="s">
        <v>928</v>
      </c>
      <c r="J255" s="6">
        <f>IF(ISERROR(VLOOKUP(A255,'8080 Op to Hex'!$A:$A,1,0)),0,1)</f>
        <v>0</v>
      </c>
      <c r="K255" s="6" cm="1">
        <f t="array" ref="K255">HlpGetInstructionSize(A255,B255,C255)</f>
        <v>1</v>
      </c>
      <c r="L255" s="6">
        <f t="shared" si="3"/>
        <v>0</v>
      </c>
    </row>
    <row r="256" spans="1:12">
      <c r="A256" s="175" t="s">
        <v>1134</v>
      </c>
      <c r="B256" s="175" t="s">
        <v>303</v>
      </c>
      <c r="C256" s="175" t="s">
        <v>303</v>
      </c>
      <c r="D256" s="177" t="s">
        <v>929</v>
      </c>
      <c r="E256" s="179">
        <v>1</v>
      </c>
      <c r="F256" s="175" t="s">
        <v>619</v>
      </c>
      <c r="G256" s="175" t="s">
        <v>145</v>
      </c>
      <c r="H256" s="181"/>
      <c r="I256" s="175" t="s">
        <v>929</v>
      </c>
      <c r="J256" s="6">
        <f>IF(ISERROR(VLOOKUP(A256,'8080 Op to Hex'!$A:$A,1,0)),0,1)</f>
        <v>0</v>
      </c>
      <c r="K256" s="6" cm="1">
        <f t="array" ref="K256">HlpGetInstructionSize(A256,B256,C256)</f>
        <v>1</v>
      </c>
      <c r="L256" s="6">
        <f t="shared" si="3"/>
        <v>0</v>
      </c>
    </row>
    <row r="257" spans="1:12">
      <c r="A257" s="175" t="s">
        <v>1134</v>
      </c>
      <c r="B257" s="175" t="s">
        <v>303</v>
      </c>
      <c r="C257" s="175" t="s">
        <v>327</v>
      </c>
      <c r="D257" s="177" t="s">
        <v>930</v>
      </c>
      <c r="E257" s="179">
        <v>1</v>
      </c>
      <c r="F257" s="175" t="s">
        <v>620</v>
      </c>
      <c r="G257" s="175" t="s">
        <v>145</v>
      </c>
      <c r="H257" s="181"/>
      <c r="I257" s="175" t="s">
        <v>930</v>
      </c>
      <c r="J257" s="6">
        <f>IF(ISERROR(VLOOKUP(A257,'8080 Op to Hex'!$A:$A,1,0)),0,1)</f>
        <v>0</v>
      </c>
      <c r="K257" s="6" cm="1">
        <f t="array" ref="K257">HlpGetInstructionSize(A257,B257,C257)</f>
        <v>1</v>
      </c>
      <c r="L257" s="6">
        <f t="shared" si="3"/>
        <v>0</v>
      </c>
    </row>
    <row r="258" spans="1:12">
      <c r="A258" s="175" t="s">
        <v>1134</v>
      </c>
      <c r="B258" s="175" t="s">
        <v>1655</v>
      </c>
      <c r="C258" s="175" t="s">
        <v>146</v>
      </c>
      <c r="D258" s="177" t="s">
        <v>1661</v>
      </c>
      <c r="E258" s="179">
        <v>2</v>
      </c>
      <c r="F258" s="175" t="s">
        <v>1662</v>
      </c>
      <c r="G258" s="175" t="s">
        <v>145</v>
      </c>
      <c r="H258" s="181" t="s">
        <v>842</v>
      </c>
      <c r="I258" s="175" t="s">
        <v>913</v>
      </c>
      <c r="J258" s="6">
        <f>IF(ISERROR(VLOOKUP(A258,'8080 Op to Hex'!$A:$A,1,0)),0,1)</f>
        <v>0</v>
      </c>
      <c r="K258" s="6" cm="1">
        <f t="array" ref="K258">HlpGetInstructionSize(A258,B258,C258)</f>
        <v>1</v>
      </c>
      <c r="L258" s="6">
        <f t="shared" ref="L258:L321" si="4">IF(E258&lt;&gt;K258,1,0)</f>
        <v>1</v>
      </c>
    </row>
    <row r="259" spans="1:12">
      <c r="A259" s="175" t="s">
        <v>1134</v>
      </c>
      <c r="B259" s="175" t="s">
        <v>327</v>
      </c>
      <c r="C259" s="175" t="s">
        <v>146</v>
      </c>
      <c r="D259" s="177" t="s">
        <v>635</v>
      </c>
      <c r="E259" s="179">
        <v>1</v>
      </c>
      <c r="F259" s="175" t="s">
        <v>636</v>
      </c>
      <c r="G259" s="175" t="s">
        <v>145</v>
      </c>
      <c r="H259" s="181"/>
      <c r="I259" s="175" t="s">
        <v>635</v>
      </c>
      <c r="J259" s="6">
        <f>IF(ISERROR(VLOOKUP(A259,'8080 Op to Hex'!$A:$A,1,0)),0,1)</f>
        <v>0</v>
      </c>
      <c r="K259" s="6" cm="1">
        <f t="array" ref="K259">HlpGetInstructionSize(A259,B259,C259)</f>
        <v>1</v>
      </c>
      <c r="L259" s="6">
        <f t="shared" si="4"/>
        <v>0</v>
      </c>
    </row>
    <row r="260" spans="1:12">
      <c r="A260" s="175" t="s">
        <v>1134</v>
      </c>
      <c r="B260" s="175" t="s">
        <v>327</v>
      </c>
      <c r="C260" s="175" t="s">
        <v>144</v>
      </c>
      <c r="D260" s="177" t="s">
        <v>933</v>
      </c>
      <c r="E260" s="179">
        <v>1</v>
      </c>
      <c r="F260" s="175" t="s">
        <v>623</v>
      </c>
      <c r="G260" s="175" t="s">
        <v>145</v>
      </c>
      <c r="H260" s="181"/>
      <c r="I260" s="175" t="s">
        <v>933</v>
      </c>
      <c r="J260" s="6">
        <f>IF(ISERROR(VLOOKUP(A260,'8080 Op to Hex'!$A:$A,1,0)),0,1)</f>
        <v>0</v>
      </c>
      <c r="K260" s="6" cm="1">
        <f t="array" ref="K260">HlpGetInstructionSize(A260,B260,C260)</f>
        <v>1</v>
      </c>
      <c r="L260" s="6">
        <f t="shared" si="4"/>
        <v>0</v>
      </c>
    </row>
    <row r="261" spans="1:12">
      <c r="A261" s="175" t="s">
        <v>1134</v>
      </c>
      <c r="B261" s="175" t="s">
        <v>327</v>
      </c>
      <c r="C261" s="175" t="s">
        <v>182</v>
      </c>
      <c r="D261" s="177" t="s">
        <v>934</v>
      </c>
      <c r="E261" s="179">
        <v>1</v>
      </c>
      <c r="F261" s="175" t="s">
        <v>624</v>
      </c>
      <c r="G261" s="175" t="s">
        <v>145</v>
      </c>
      <c r="H261" s="181"/>
      <c r="I261" s="175" t="s">
        <v>934</v>
      </c>
      <c r="J261" s="6">
        <f>IF(ISERROR(VLOOKUP(A261,'8080 Op to Hex'!$A:$A,1,0)),0,1)</f>
        <v>0</v>
      </c>
      <c r="K261" s="6" cm="1">
        <f t="array" ref="K261">HlpGetInstructionSize(A261,B261,C261)</f>
        <v>1</v>
      </c>
      <c r="L261" s="6">
        <f t="shared" si="4"/>
        <v>0</v>
      </c>
    </row>
    <row r="262" spans="1:12">
      <c r="A262" s="175" t="s">
        <v>1134</v>
      </c>
      <c r="B262" s="175" t="s">
        <v>327</v>
      </c>
      <c r="C262" s="175" t="s">
        <v>183</v>
      </c>
      <c r="D262" s="177" t="s">
        <v>625</v>
      </c>
      <c r="E262" s="179">
        <v>1</v>
      </c>
      <c r="F262" s="175" t="s">
        <v>626</v>
      </c>
      <c r="G262" s="175" t="s">
        <v>145</v>
      </c>
      <c r="H262" s="181"/>
      <c r="I262" s="175" t="s">
        <v>625</v>
      </c>
      <c r="J262" s="6">
        <f>IF(ISERROR(VLOOKUP(A262,'8080 Op to Hex'!$A:$A,1,0)),0,1)</f>
        <v>0</v>
      </c>
      <c r="K262" s="6" cm="1">
        <f t="array" ref="K262">HlpGetInstructionSize(A262,B262,C262)</f>
        <v>1</v>
      </c>
      <c r="L262" s="6">
        <f t="shared" si="4"/>
        <v>0</v>
      </c>
    </row>
    <row r="263" spans="1:12">
      <c r="A263" s="175" t="s">
        <v>1134</v>
      </c>
      <c r="B263" s="175" t="s">
        <v>327</v>
      </c>
      <c r="C263" s="175" t="s">
        <v>265</v>
      </c>
      <c r="D263" s="177" t="s">
        <v>627</v>
      </c>
      <c r="E263" s="179">
        <v>1</v>
      </c>
      <c r="F263" s="175" t="s">
        <v>628</v>
      </c>
      <c r="G263" s="175" t="s">
        <v>145</v>
      </c>
      <c r="H263" s="181"/>
      <c r="I263" s="175" t="s">
        <v>627</v>
      </c>
      <c r="J263" s="6">
        <f>IF(ISERROR(VLOOKUP(A263,'8080 Op to Hex'!$A:$A,1,0)),0,1)</f>
        <v>0</v>
      </c>
      <c r="K263" s="6" cm="1">
        <f t="array" ref="K263">HlpGetInstructionSize(A263,B263,C263)</f>
        <v>1</v>
      </c>
      <c r="L263" s="6">
        <f t="shared" si="4"/>
        <v>0</v>
      </c>
    </row>
    <row r="264" spans="1:12">
      <c r="A264" s="175" t="s">
        <v>1134</v>
      </c>
      <c r="B264" s="175" t="s">
        <v>327</v>
      </c>
      <c r="C264" s="175" t="s">
        <v>303</v>
      </c>
      <c r="D264" s="177" t="s">
        <v>629</v>
      </c>
      <c r="E264" s="179">
        <v>1</v>
      </c>
      <c r="F264" s="175" t="s">
        <v>630</v>
      </c>
      <c r="G264" s="175" t="s">
        <v>145</v>
      </c>
      <c r="H264" s="181"/>
      <c r="I264" s="175" t="s">
        <v>629</v>
      </c>
      <c r="J264" s="6">
        <f>IF(ISERROR(VLOOKUP(A264,'8080 Op to Hex'!$A:$A,1,0)),0,1)</f>
        <v>0</v>
      </c>
      <c r="K264" s="6" cm="1">
        <f t="array" ref="K264">HlpGetInstructionSize(A264,B264,C264)</f>
        <v>1</v>
      </c>
      <c r="L264" s="6">
        <f t="shared" si="4"/>
        <v>0</v>
      </c>
    </row>
    <row r="265" spans="1:12">
      <c r="A265" s="175" t="s">
        <v>1134</v>
      </c>
      <c r="B265" s="175" t="s">
        <v>327</v>
      </c>
      <c r="C265" s="175" t="s">
        <v>327</v>
      </c>
      <c r="D265" s="177" t="s">
        <v>631</v>
      </c>
      <c r="E265" s="179">
        <v>1</v>
      </c>
      <c r="F265" s="175" t="s">
        <v>632</v>
      </c>
      <c r="G265" s="175" t="s">
        <v>145</v>
      </c>
      <c r="H265" s="181"/>
      <c r="I265" s="175" t="s">
        <v>631</v>
      </c>
      <c r="J265" s="6">
        <f>IF(ISERROR(VLOOKUP(A265,'8080 Op to Hex'!$A:$A,1,0)),0,1)</f>
        <v>0</v>
      </c>
      <c r="K265" s="6" cm="1">
        <f t="array" ref="K265">HlpGetInstructionSize(A265,B265,C265)</f>
        <v>1</v>
      </c>
      <c r="L265" s="6">
        <f t="shared" si="4"/>
        <v>0</v>
      </c>
    </row>
    <row r="266" spans="1:12">
      <c r="A266" s="175" t="s">
        <v>1134</v>
      </c>
      <c r="B266" s="175" t="s">
        <v>1658</v>
      </c>
      <c r="C266" s="175" t="s">
        <v>146</v>
      </c>
      <c r="D266" s="177" t="s">
        <v>1663</v>
      </c>
      <c r="E266" s="179">
        <v>2</v>
      </c>
      <c r="F266" s="175" t="s">
        <v>1664</v>
      </c>
      <c r="G266" s="175" t="s">
        <v>145</v>
      </c>
      <c r="H266" s="181" t="s">
        <v>842</v>
      </c>
      <c r="I266" s="175" t="s">
        <v>592</v>
      </c>
      <c r="J266" s="6">
        <f>IF(ISERROR(VLOOKUP(A266,'8080 Op to Hex'!$A:$A,1,0)),0,1)</f>
        <v>0</v>
      </c>
      <c r="K266" s="6" cm="1">
        <f t="array" ref="K266">HlpGetInstructionSize(A266,B266,C266)</f>
        <v>1</v>
      </c>
      <c r="L266" s="6">
        <f t="shared" si="4"/>
        <v>1</v>
      </c>
    </row>
    <row r="267" spans="1:12">
      <c r="A267" s="175" t="s">
        <v>1134</v>
      </c>
      <c r="B267" s="175" t="s">
        <v>114</v>
      </c>
      <c r="C267" s="175" t="s">
        <v>1221</v>
      </c>
      <c r="D267" s="177" t="s">
        <v>978</v>
      </c>
      <c r="E267" s="179">
        <v>1</v>
      </c>
      <c r="F267" s="175" t="s">
        <v>1338</v>
      </c>
      <c r="G267" s="175" t="s">
        <v>145</v>
      </c>
      <c r="H267" s="181"/>
      <c r="I267" s="175" t="s">
        <v>978</v>
      </c>
      <c r="J267" s="6">
        <f>IF(ISERROR(VLOOKUP(A267,'8080 Op to Hex'!$A:$A,1,0)),0,1)</f>
        <v>0</v>
      </c>
      <c r="K267" s="6" cm="1">
        <f t="array" ref="K267">HlpGetInstructionSize(A267,B267,C267)</f>
        <v>1</v>
      </c>
      <c r="L267" s="6">
        <f t="shared" si="4"/>
        <v>0</v>
      </c>
    </row>
    <row r="268" spans="1:12">
      <c r="A268" s="175" t="s">
        <v>1134</v>
      </c>
      <c r="B268" s="175" t="s">
        <v>114</v>
      </c>
      <c r="C268" s="175" t="s">
        <v>1149</v>
      </c>
      <c r="D268" s="177" t="s">
        <v>1665</v>
      </c>
      <c r="E268" s="179">
        <v>2</v>
      </c>
      <c r="F268" s="175" t="s">
        <v>1666</v>
      </c>
      <c r="G268" s="175" t="s">
        <v>145</v>
      </c>
      <c r="H268" s="181" t="s">
        <v>810</v>
      </c>
      <c r="I268" s="175" t="s">
        <v>978</v>
      </c>
      <c r="J268" s="6">
        <f>IF(ISERROR(VLOOKUP(A268,'8080 Op to Hex'!$A:$A,1,0)),0,1)</f>
        <v>0</v>
      </c>
      <c r="K268" s="6" cm="1">
        <f t="array" ref="K268">HlpGetInstructionSize(A268,B268,C268)</f>
        <v>1</v>
      </c>
      <c r="L268" s="6">
        <f>IF(E268&lt;&gt;K268,1,0)</f>
        <v>1</v>
      </c>
    </row>
    <row r="269" spans="1:12">
      <c r="A269" s="175" t="s">
        <v>1134</v>
      </c>
      <c r="B269" s="175" t="s">
        <v>114</v>
      </c>
      <c r="C269" s="175" t="s">
        <v>1400</v>
      </c>
      <c r="D269" s="177" t="s">
        <v>1667</v>
      </c>
      <c r="E269" s="179">
        <v>2</v>
      </c>
      <c r="F269" s="175" t="s">
        <v>1668</v>
      </c>
      <c r="G269" s="175" t="s">
        <v>145</v>
      </c>
      <c r="H269" s="181" t="s">
        <v>1025</v>
      </c>
      <c r="I269" s="175" t="s">
        <v>978</v>
      </c>
      <c r="J269" s="6">
        <f>IF(ISERROR(VLOOKUP(A269,'8080 Op to Hex'!$A:$A,1,0)),0,1)</f>
        <v>0</v>
      </c>
      <c r="K269" s="6" cm="1">
        <f t="array" ref="K269">HlpGetInstructionSize(A269,B269,C269)</f>
        <v>1</v>
      </c>
      <c r="L269" s="6">
        <f>IF(E269&lt;&gt;K269,1,0)</f>
        <v>1</v>
      </c>
    </row>
    <row r="270" spans="1:12">
      <c r="A270" s="175" t="s">
        <v>1134</v>
      </c>
      <c r="B270" s="175" t="s">
        <v>146</v>
      </c>
      <c r="C270" s="175" t="s">
        <v>1452</v>
      </c>
      <c r="D270" s="177" t="s">
        <v>568</v>
      </c>
      <c r="E270" s="179">
        <v>2</v>
      </c>
      <c r="F270" s="175" t="s">
        <v>1254</v>
      </c>
      <c r="G270" s="175" t="s">
        <v>1217</v>
      </c>
      <c r="H270" s="181"/>
      <c r="I270" s="175" t="s">
        <v>568</v>
      </c>
      <c r="J270" s="6">
        <f>IF(ISERROR(VLOOKUP(A270,'8080 Op to Hex'!$A:$A,1,0)),0,1)</f>
        <v>0</v>
      </c>
      <c r="K270" s="6" cm="1">
        <f t="array" ref="K270">HlpGetInstructionSize(A270,B270,C270)</f>
        <v>1</v>
      </c>
      <c r="L270" s="6">
        <f t="shared" si="4"/>
        <v>1</v>
      </c>
    </row>
    <row r="271" spans="1:12">
      <c r="A271" s="175" t="s">
        <v>1134</v>
      </c>
      <c r="B271" s="175" t="s">
        <v>144</v>
      </c>
      <c r="C271" s="175" t="s">
        <v>1452</v>
      </c>
      <c r="D271" s="177" t="s">
        <v>881</v>
      </c>
      <c r="E271" s="179">
        <v>2</v>
      </c>
      <c r="F271" s="175" t="s">
        <v>1216</v>
      </c>
      <c r="G271" s="175" t="s">
        <v>1217</v>
      </c>
      <c r="H271" s="181"/>
      <c r="I271" s="175" t="s">
        <v>881</v>
      </c>
      <c r="J271" s="6">
        <f>IF(ISERROR(VLOOKUP(A271,'8080 Op to Hex'!$A:$A,1,0)),0,1)</f>
        <v>0</v>
      </c>
      <c r="K271" s="6" cm="1">
        <f t="array" ref="K271">HlpGetInstructionSize(A271,B271,C271)</f>
        <v>1</v>
      </c>
      <c r="L271" s="6">
        <f t="shared" si="4"/>
        <v>1</v>
      </c>
    </row>
    <row r="272" spans="1:12">
      <c r="A272" s="175" t="s">
        <v>1134</v>
      </c>
      <c r="B272" s="175" t="s">
        <v>182</v>
      </c>
      <c r="C272" s="175" t="s">
        <v>1452</v>
      </c>
      <c r="D272" s="177" t="s">
        <v>444</v>
      </c>
      <c r="E272" s="179">
        <v>2</v>
      </c>
      <c r="F272" s="175" t="s">
        <v>1223</v>
      </c>
      <c r="G272" s="175" t="s">
        <v>1217</v>
      </c>
      <c r="H272" s="181"/>
      <c r="I272" s="175" t="s">
        <v>444</v>
      </c>
      <c r="J272" s="6">
        <f>IF(ISERROR(VLOOKUP(A272,'8080 Op to Hex'!$A:$A,1,0)),0,1)</f>
        <v>0</v>
      </c>
      <c r="K272" s="6" cm="1">
        <f t="array" ref="K272">HlpGetInstructionSize(A272,B272,C272)</f>
        <v>1</v>
      </c>
      <c r="L272" s="6">
        <f t="shared" si="4"/>
        <v>1</v>
      </c>
    </row>
    <row r="273" spans="1:12">
      <c r="A273" s="175" t="s">
        <v>1134</v>
      </c>
      <c r="B273" s="175" t="s">
        <v>183</v>
      </c>
      <c r="C273" s="175" t="s">
        <v>1452</v>
      </c>
      <c r="D273" s="177" t="s">
        <v>887</v>
      </c>
      <c r="E273" s="179">
        <v>2</v>
      </c>
      <c r="F273" s="175" t="s">
        <v>1229</v>
      </c>
      <c r="G273" s="175" t="s">
        <v>1217</v>
      </c>
      <c r="H273" s="181"/>
      <c r="I273" s="175" t="s">
        <v>887</v>
      </c>
      <c r="J273" s="6">
        <f>IF(ISERROR(VLOOKUP(A273,'8080 Op to Hex'!$A:$A,1,0)),0,1)</f>
        <v>0</v>
      </c>
      <c r="K273" s="6" cm="1">
        <f t="array" ref="K273">HlpGetInstructionSize(A273,B273,C273)</f>
        <v>1</v>
      </c>
      <c r="L273" s="6">
        <f t="shared" si="4"/>
        <v>1</v>
      </c>
    </row>
    <row r="274" spans="1:12">
      <c r="A274" s="175" t="s">
        <v>1134</v>
      </c>
      <c r="B274" s="175" t="s">
        <v>265</v>
      </c>
      <c r="C274" s="175" t="s">
        <v>1452</v>
      </c>
      <c r="D274" s="177" t="s">
        <v>531</v>
      </c>
      <c r="E274" s="179">
        <v>2</v>
      </c>
      <c r="F274" s="175" t="s">
        <v>1234</v>
      </c>
      <c r="G274" s="175" t="s">
        <v>1217</v>
      </c>
      <c r="H274" s="181"/>
      <c r="I274" s="175" t="s">
        <v>531</v>
      </c>
      <c r="J274" s="6">
        <f>IF(ISERROR(VLOOKUP(A274,'8080 Op to Hex'!$A:$A,1,0)),0,1)</f>
        <v>0</v>
      </c>
      <c r="K274" s="6" cm="1">
        <f t="array" ref="K274">HlpGetInstructionSize(A274,B274,C274)</f>
        <v>1</v>
      </c>
      <c r="L274" s="6">
        <f t="shared" si="4"/>
        <v>1</v>
      </c>
    </row>
    <row r="275" spans="1:12">
      <c r="A275" s="175" t="s">
        <v>1134</v>
      </c>
      <c r="B275" s="175" t="s">
        <v>303</v>
      </c>
      <c r="C275" s="175" t="s">
        <v>1452</v>
      </c>
      <c r="D275" s="177" t="s">
        <v>895</v>
      </c>
      <c r="E275" s="179">
        <v>2</v>
      </c>
      <c r="F275" s="175" t="s">
        <v>1240</v>
      </c>
      <c r="G275" s="175" t="s">
        <v>1217</v>
      </c>
      <c r="H275" s="181"/>
      <c r="I275" s="175" t="s">
        <v>895</v>
      </c>
      <c r="J275" s="6">
        <f>IF(ISERROR(VLOOKUP(A275,'8080 Op to Hex'!$A:$A,1,0)),0,1)</f>
        <v>0</v>
      </c>
      <c r="K275" s="6" cm="1">
        <f t="array" ref="K275">HlpGetInstructionSize(A275,B275,C275)</f>
        <v>1</v>
      </c>
      <c r="L275" s="6">
        <f t="shared" si="4"/>
        <v>1</v>
      </c>
    </row>
    <row r="276" spans="1:12">
      <c r="A276" s="175" t="s">
        <v>1134</v>
      </c>
      <c r="B276" s="175" t="s">
        <v>327</v>
      </c>
      <c r="C276" s="175" t="s">
        <v>1452</v>
      </c>
      <c r="D276" s="177" t="s">
        <v>550</v>
      </c>
      <c r="E276" s="179">
        <v>2</v>
      </c>
      <c r="F276" s="175" t="s">
        <v>1242</v>
      </c>
      <c r="G276" s="175" t="s">
        <v>1217</v>
      </c>
      <c r="H276" s="181"/>
      <c r="I276" s="175" t="s">
        <v>550</v>
      </c>
      <c r="J276" s="6">
        <f>IF(ISERROR(VLOOKUP(A276,'8080 Op to Hex'!$A:$A,1,0)),0,1)</f>
        <v>0</v>
      </c>
      <c r="K276" s="6" cm="1">
        <f t="array" ref="K276">HlpGetInstructionSize(A276,B276,C276)</f>
        <v>1</v>
      </c>
      <c r="L276" s="6">
        <f t="shared" si="4"/>
        <v>1</v>
      </c>
    </row>
    <row r="277" spans="1:12">
      <c r="A277" s="175" t="s">
        <v>1134</v>
      </c>
      <c r="B277" s="175" t="s">
        <v>336</v>
      </c>
      <c r="C277" s="175" t="s">
        <v>1453</v>
      </c>
      <c r="D277" s="177" t="s">
        <v>295</v>
      </c>
      <c r="E277" s="179">
        <v>3</v>
      </c>
      <c r="F277" s="175" t="s">
        <v>1669</v>
      </c>
      <c r="G277" s="175" t="s">
        <v>1209</v>
      </c>
      <c r="H277" s="181"/>
      <c r="I277" s="175" t="s">
        <v>295</v>
      </c>
      <c r="J277" s="6">
        <f>IF(ISERROR(VLOOKUP(A277,'8080 Op to Hex'!$A:$A,1,0)),0,1)</f>
        <v>0</v>
      </c>
      <c r="K277" s="6" cm="1">
        <f t="array" ref="K277">HlpGetInstructionSize(A277,B277,C277)</f>
        <v>1</v>
      </c>
      <c r="L277" s="6">
        <f t="shared" si="4"/>
        <v>1</v>
      </c>
    </row>
    <row r="278" spans="1:12">
      <c r="A278" s="175" t="s">
        <v>1134</v>
      </c>
      <c r="B278" s="175" t="s">
        <v>811</v>
      </c>
      <c r="C278" s="175" t="s">
        <v>1453</v>
      </c>
      <c r="D278" s="177" t="s">
        <v>201</v>
      </c>
      <c r="E278" s="179">
        <v>3</v>
      </c>
      <c r="F278" s="175" t="s">
        <v>1670</v>
      </c>
      <c r="G278" s="175" t="s">
        <v>1209</v>
      </c>
      <c r="H278" s="181"/>
      <c r="I278" s="175" t="s">
        <v>201</v>
      </c>
      <c r="J278" s="6">
        <f>IF(ISERROR(VLOOKUP(A278,'8080 Op to Hex'!$A:$A,1,0)),0,1)</f>
        <v>0</v>
      </c>
      <c r="K278" s="6" cm="1">
        <f t="array" ref="K278">HlpGetInstructionSize(A278,B278,C278)</f>
        <v>1</v>
      </c>
      <c r="L278" s="6">
        <f t="shared" si="4"/>
        <v>1</v>
      </c>
    </row>
    <row r="279" spans="1:12">
      <c r="A279" s="175" t="s">
        <v>1134</v>
      </c>
      <c r="B279" s="175" t="s">
        <v>1221</v>
      </c>
      <c r="C279" s="175" t="s">
        <v>1453</v>
      </c>
      <c r="D279" s="177" t="s">
        <v>891</v>
      </c>
      <c r="E279" s="179">
        <v>3</v>
      </c>
      <c r="F279" s="175" t="s">
        <v>1671</v>
      </c>
      <c r="G279" s="175" t="s">
        <v>1209</v>
      </c>
      <c r="H279" s="181"/>
      <c r="I279" s="175" t="s">
        <v>891</v>
      </c>
      <c r="J279" s="6">
        <f>IF(ISERROR(VLOOKUP(A279,'8080 Op to Hex'!$A:$A,1,0)),0,1)</f>
        <v>0</v>
      </c>
      <c r="K279" s="6" cm="1">
        <f t="array" ref="K279">HlpGetInstructionSize(A279,B279,C279)</f>
        <v>1</v>
      </c>
      <c r="L279" s="6">
        <f t="shared" si="4"/>
        <v>1</v>
      </c>
    </row>
    <row r="280" spans="1:12">
      <c r="A280" s="175" t="s">
        <v>1134</v>
      </c>
      <c r="B280" s="175" t="s">
        <v>114</v>
      </c>
      <c r="C280" s="175" t="s">
        <v>1453</v>
      </c>
      <c r="D280" s="177" t="s">
        <v>900</v>
      </c>
      <c r="E280" s="179">
        <v>3</v>
      </c>
      <c r="F280" s="175" t="s">
        <v>1672</v>
      </c>
      <c r="G280" s="175" t="s">
        <v>1209</v>
      </c>
      <c r="H280" s="181"/>
      <c r="I280" s="175" t="s">
        <v>900</v>
      </c>
      <c r="J280" s="6">
        <f>IF(ISERROR(VLOOKUP(A280,'8080 Op to Hex'!$A:$A,1,0)),0,1)</f>
        <v>0</v>
      </c>
      <c r="K280" s="6" cm="1">
        <f t="array" ref="K280">HlpGetInstructionSize(A280,B280,C280)</f>
        <v>1</v>
      </c>
      <c r="L280" s="6">
        <f t="shared" si="4"/>
        <v>1</v>
      </c>
    </row>
    <row r="281" spans="1:12">
      <c r="A281" s="175" t="s">
        <v>1134</v>
      </c>
      <c r="B281" s="175" t="s">
        <v>1149</v>
      </c>
      <c r="C281" s="175" t="s">
        <v>1453</v>
      </c>
      <c r="D281" s="177" t="s">
        <v>1413</v>
      </c>
      <c r="E281" s="179">
        <v>4</v>
      </c>
      <c r="F281" s="175" t="s">
        <v>1247</v>
      </c>
      <c r="G281" s="175" t="s">
        <v>1209</v>
      </c>
      <c r="H281" s="181" t="s">
        <v>810</v>
      </c>
      <c r="I281" s="175" t="s">
        <v>891</v>
      </c>
      <c r="J281" s="6">
        <f>IF(ISERROR(VLOOKUP(A281,'8080 Op to Hex'!$A:$A,1,0)),0,1)</f>
        <v>0</v>
      </c>
      <c r="K281" s="6" cm="1">
        <f t="array" ref="K281">HlpGetInstructionSize(A281,B281,C281)</f>
        <v>1</v>
      </c>
      <c r="L281" s="6">
        <f t="shared" si="4"/>
        <v>1</v>
      </c>
    </row>
    <row r="282" spans="1:12">
      <c r="A282" s="175" t="s">
        <v>1134</v>
      </c>
      <c r="B282" s="175" t="s">
        <v>1400</v>
      </c>
      <c r="C282" s="175" t="s">
        <v>1453</v>
      </c>
      <c r="D282" s="177" t="s">
        <v>1401</v>
      </c>
      <c r="E282" s="179">
        <v>4</v>
      </c>
      <c r="F282" s="175" t="s">
        <v>1414</v>
      </c>
      <c r="G282" s="175" t="s">
        <v>1209</v>
      </c>
      <c r="H282" s="181" t="s">
        <v>1025</v>
      </c>
      <c r="I282" s="175" t="s">
        <v>891</v>
      </c>
      <c r="J282" s="6">
        <f>IF(ISERROR(VLOOKUP(A282,'8080 Op to Hex'!$A:$A,1,0)),0,1)</f>
        <v>0</v>
      </c>
      <c r="K282" s="6" cm="1">
        <f t="array" ref="K282">HlpGetInstructionSize(A282,B282,C282)</f>
        <v>1</v>
      </c>
      <c r="L282" s="6">
        <f t="shared" si="4"/>
        <v>1</v>
      </c>
    </row>
    <row r="283" spans="1:12">
      <c r="A283" s="175" t="s">
        <v>1134</v>
      </c>
      <c r="B283" s="175" t="s">
        <v>146</v>
      </c>
      <c r="C283" s="175" t="s">
        <v>1210</v>
      </c>
      <c r="D283" s="177" t="s">
        <v>335</v>
      </c>
      <c r="E283" s="179">
        <v>1</v>
      </c>
      <c r="F283" s="175" t="s">
        <v>1222</v>
      </c>
      <c r="G283" s="175" t="s">
        <v>1211</v>
      </c>
      <c r="H283" s="181"/>
      <c r="I283" s="175" t="s">
        <v>335</v>
      </c>
      <c r="J283" s="6">
        <f>IF(ISERROR(VLOOKUP(A283,'8080 Op to Hex'!$A:$A,1,0)),0,1)</f>
        <v>0</v>
      </c>
      <c r="K283" s="6" cm="1">
        <f t="array" ref="K283">HlpGetInstructionSize(A283,B283,C283)</f>
        <v>1</v>
      </c>
      <c r="L283" s="6">
        <f t="shared" si="4"/>
        <v>0</v>
      </c>
    </row>
    <row r="284" spans="1:12">
      <c r="A284" s="175" t="s">
        <v>1134</v>
      </c>
      <c r="B284" s="175" t="s">
        <v>146</v>
      </c>
      <c r="C284" s="175" t="s">
        <v>1228</v>
      </c>
      <c r="D284" s="177" t="s">
        <v>523</v>
      </c>
      <c r="E284" s="179">
        <v>1</v>
      </c>
      <c r="F284" s="175" t="s">
        <v>1233</v>
      </c>
      <c r="G284" s="175" t="s">
        <v>1211</v>
      </c>
      <c r="H284" s="181"/>
      <c r="I284" s="175" t="s">
        <v>523</v>
      </c>
      <c r="J284" s="6">
        <f>IF(ISERROR(VLOOKUP(A284,'8080 Op to Hex'!$A:$A,1,0)),0,1)</f>
        <v>0</v>
      </c>
      <c r="K284" s="6" cm="1">
        <f t="array" ref="K284">HlpGetInstructionSize(A284,B284,C284)</f>
        <v>1</v>
      </c>
      <c r="L284" s="6">
        <f t="shared" si="4"/>
        <v>0</v>
      </c>
    </row>
    <row r="285" spans="1:12">
      <c r="A285" s="175" t="s">
        <v>1134</v>
      </c>
      <c r="B285" s="175" t="s">
        <v>146</v>
      </c>
      <c r="C285" s="175" t="s">
        <v>1238</v>
      </c>
      <c r="D285" s="177" t="s">
        <v>333</v>
      </c>
      <c r="E285" s="179">
        <v>1</v>
      </c>
      <c r="F285" s="175" t="s">
        <v>1412</v>
      </c>
      <c r="G285" s="175" t="s">
        <v>1211</v>
      </c>
      <c r="H285" s="181"/>
      <c r="I285" s="175" t="s">
        <v>333</v>
      </c>
      <c r="J285" s="6">
        <f>IF(ISERROR(VLOOKUP(A285,'8080 Op to Hex'!$A:$A,1,0)),0,1)</f>
        <v>0</v>
      </c>
      <c r="K285" s="6" cm="1">
        <f t="array" ref="K285">HlpGetInstructionSize(A285,B285,C285)</f>
        <v>1</v>
      </c>
      <c r="L285" s="6">
        <f t="shared" si="4"/>
        <v>0</v>
      </c>
    </row>
    <row r="286" spans="1:12">
      <c r="A286" s="175" t="s">
        <v>1134</v>
      </c>
      <c r="B286" s="175" t="s">
        <v>146</v>
      </c>
      <c r="C286" s="175" t="s">
        <v>2193</v>
      </c>
      <c r="D286" s="177" t="s">
        <v>373</v>
      </c>
      <c r="E286" s="179">
        <v>3</v>
      </c>
      <c r="F286" s="175" t="s">
        <v>1253</v>
      </c>
      <c r="G286" s="175" t="s">
        <v>1211</v>
      </c>
      <c r="H286" s="181"/>
      <c r="I286" s="175" t="s">
        <v>373</v>
      </c>
      <c r="J286" s="6">
        <f>IF(ISERROR(VLOOKUP(A286,'8080 Op to Hex'!$A:$A,1,0)),0,1)</f>
        <v>0</v>
      </c>
      <c r="K286" s="6" cm="1">
        <f t="array" ref="K286">HlpGetInstructionSize(A286,B286,C286)</f>
        <v>1</v>
      </c>
      <c r="L286" s="6">
        <f t="shared" si="4"/>
        <v>1</v>
      </c>
    </row>
    <row r="287" spans="1:12">
      <c r="A287" s="175" t="s">
        <v>1134</v>
      </c>
      <c r="B287" s="175" t="s">
        <v>146</v>
      </c>
      <c r="C287" s="175" t="s">
        <v>1377</v>
      </c>
      <c r="D287" s="177" t="s">
        <v>1379</v>
      </c>
      <c r="E287" s="179">
        <v>4</v>
      </c>
      <c r="F287" s="175" t="s">
        <v>1416</v>
      </c>
      <c r="G287" s="175" t="s">
        <v>126</v>
      </c>
      <c r="H287" s="181" t="s">
        <v>810</v>
      </c>
      <c r="I287" s="175" t="s">
        <v>333</v>
      </c>
      <c r="J287" s="6">
        <f>IF(ISERROR(VLOOKUP(A287,'8080 Op to Hex'!$A:$A,1,0)),0,1)</f>
        <v>0</v>
      </c>
      <c r="K287" s="6" cm="1">
        <f t="array" ref="K287">HlpGetInstructionSize(A287,B287,C287)</f>
        <v>1</v>
      </c>
      <c r="L287" s="6">
        <f t="shared" si="4"/>
        <v>1</v>
      </c>
    </row>
    <row r="288" spans="1:12">
      <c r="A288" s="175" t="s">
        <v>1134</v>
      </c>
      <c r="B288" s="175" t="s">
        <v>146</v>
      </c>
      <c r="C288" s="175" t="s">
        <v>1380</v>
      </c>
      <c r="D288" s="177" t="s">
        <v>1382</v>
      </c>
      <c r="E288" s="179">
        <v>4</v>
      </c>
      <c r="F288" s="175" t="s">
        <v>1418</v>
      </c>
      <c r="G288" s="175" t="s">
        <v>126</v>
      </c>
      <c r="H288" s="181" t="s">
        <v>1025</v>
      </c>
      <c r="I288" s="175" t="s">
        <v>333</v>
      </c>
      <c r="J288" s="6">
        <f>IF(ISERROR(VLOOKUP(A288,'8080 Op to Hex'!$A:$A,1,0)),0,1)</f>
        <v>0</v>
      </c>
      <c r="K288" s="6" cm="1">
        <f t="array" ref="K288">HlpGetInstructionSize(A288,B288,C288)</f>
        <v>1</v>
      </c>
      <c r="L288" s="6">
        <f t="shared" si="4"/>
        <v>1</v>
      </c>
    </row>
    <row r="289" spans="1:12">
      <c r="A289" s="175" t="s">
        <v>1134</v>
      </c>
      <c r="B289" s="175" t="s">
        <v>144</v>
      </c>
      <c r="C289" s="175" t="s">
        <v>1238</v>
      </c>
      <c r="D289" s="177" t="s">
        <v>912</v>
      </c>
      <c r="E289" s="179">
        <v>1</v>
      </c>
      <c r="F289" s="175" t="s">
        <v>1406</v>
      </c>
      <c r="G289" s="175" t="s">
        <v>1211</v>
      </c>
      <c r="H289" s="181"/>
      <c r="I289" s="175" t="s">
        <v>912</v>
      </c>
      <c r="J289" s="6">
        <f>IF(ISERROR(VLOOKUP(A289,'8080 Op to Hex'!$A:$A,1,0)),0,1)</f>
        <v>0</v>
      </c>
      <c r="K289" s="6" cm="1">
        <f t="array" ref="K289">HlpGetInstructionSize(A289,B289,C289)</f>
        <v>1</v>
      </c>
      <c r="L289" s="6">
        <f t="shared" si="4"/>
        <v>0</v>
      </c>
    </row>
    <row r="290" spans="1:12">
      <c r="A290" s="175" t="s">
        <v>1134</v>
      </c>
      <c r="B290" s="175" t="s">
        <v>144</v>
      </c>
      <c r="C290" s="175" t="s">
        <v>1377</v>
      </c>
      <c r="D290" s="177" t="s">
        <v>1673</v>
      </c>
      <c r="E290" s="179">
        <v>4</v>
      </c>
      <c r="F290" s="175" t="s">
        <v>1674</v>
      </c>
      <c r="G290" s="175" t="s">
        <v>126</v>
      </c>
      <c r="H290" s="181" t="s">
        <v>810</v>
      </c>
      <c r="I290" s="175" t="s">
        <v>912</v>
      </c>
      <c r="J290" s="6">
        <f>IF(ISERROR(VLOOKUP(A290,'8080 Op to Hex'!$A:$A,1,0)),0,1)</f>
        <v>0</v>
      </c>
      <c r="K290" s="6" cm="1">
        <f t="array" ref="K290">HlpGetInstructionSize(A290,B290,C290)</f>
        <v>1</v>
      </c>
      <c r="L290" s="6">
        <f t="shared" si="4"/>
        <v>1</v>
      </c>
    </row>
    <row r="291" spans="1:12">
      <c r="A291" s="175" t="s">
        <v>1134</v>
      </c>
      <c r="B291" s="175" t="s">
        <v>144</v>
      </c>
      <c r="C291" s="175" t="s">
        <v>1380</v>
      </c>
      <c r="D291" s="177" t="s">
        <v>1675</v>
      </c>
      <c r="E291" s="179">
        <v>4</v>
      </c>
      <c r="F291" s="175" t="s">
        <v>1676</v>
      </c>
      <c r="G291" s="175" t="s">
        <v>126</v>
      </c>
      <c r="H291" s="181" t="s">
        <v>1025</v>
      </c>
      <c r="I291" s="175" t="s">
        <v>912</v>
      </c>
      <c r="J291" s="6">
        <f>IF(ISERROR(VLOOKUP(A291,'8080 Op to Hex'!$A:$A,1,0)),0,1)</f>
        <v>0</v>
      </c>
      <c r="K291" s="6" cm="1">
        <f t="array" ref="K291">HlpGetInstructionSize(A291,B291,C291)</f>
        <v>1</v>
      </c>
      <c r="L291" s="6">
        <f t="shared" si="4"/>
        <v>1</v>
      </c>
    </row>
    <row r="292" spans="1:12">
      <c r="A292" s="175" t="s">
        <v>1134</v>
      </c>
      <c r="B292" s="175" t="s">
        <v>182</v>
      </c>
      <c r="C292" s="175" t="s">
        <v>1238</v>
      </c>
      <c r="D292" s="177" t="s">
        <v>590</v>
      </c>
      <c r="E292" s="179">
        <v>1</v>
      </c>
      <c r="F292" s="175" t="s">
        <v>1407</v>
      </c>
      <c r="G292" s="175" t="s">
        <v>1211</v>
      </c>
      <c r="H292" s="181"/>
      <c r="I292" s="175" t="s">
        <v>590</v>
      </c>
      <c r="J292" s="6">
        <f>IF(ISERROR(VLOOKUP(A292,'8080 Op to Hex'!$A:$A,1,0)),0,1)</f>
        <v>0</v>
      </c>
      <c r="K292" s="6" cm="1">
        <f t="array" ref="K292">HlpGetInstructionSize(A292,B292,C292)</f>
        <v>1</v>
      </c>
      <c r="L292" s="6">
        <f t="shared" si="4"/>
        <v>0</v>
      </c>
    </row>
    <row r="293" spans="1:12">
      <c r="A293" s="175" t="s">
        <v>1134</v>
      </c>
      <c r="B293" s="175" t="s">
        <v>182</v>
      </c>
      <c r="C293" s="175" t="s">
        <v>1377</v>
      </c>
      <c r="D293" s="177" t="s">
        <v>1677</v>
      </c>
      <c r="E293" s="179">
        <v>4</v>
      </c>
      <c r="F293" s="175" t="s">
        <v>1678</v>
      </c>
      <c r="G293" s="175" t="s">
        <v>126</v>
      </c>
      <c r="H293" s="181" t="s">
        <v>810</v>
      </c>
      <c r="I293" s="175" t="s">
        <v>590</v>
      </c>
      <c r="J293" s="6">
        <f>IF(ISERROR(VLOOKUP(A293,'8080 Op to Hex'!$A:$A,1,0)),0,1)</f>
        <v>0</v>
      </c>
      <c r="K293" s="6" cm="1">
        <f t="array" ref="K293">HlpGetInstructionSize(A293,B293,C293)</f>
        <v>1</v>
      </c>
      <c r="L293" s="6">
        <f t="shared" si="4"/>
        <v>1</v>
      </c>
    </row>
    <row r="294" spans="1:12">
      <c r="A294" s="175" t="s">
        <v>1134</v>
      </c>
      <c r="B294" s="175" t="s">
        <v>182</v>
      </c>
      <c r="C294" s="175" t="s">
        <v>1380</v>
      </c>
      <c r="D294" s="177" t="s">
        <v>1679</v>
      </c>
      <c r="E294" s="179">
        <v>4</v>
      </c>
      <c r="F294" s="175" t="s">
        <v>1680</v>
      </c>
      <c r="G294" s="175" t="s">
        <v>126</v>
      </c>
      <c r="H294" s="181" t="s">
        <v>1025</v>
      </c>
      <c r="I294" s="175" t="s">
        <v>590</v>
      </c>
      <c r="J294" s="6">
        <f>IF(ISERROR(VLOOKUP(A294,'8080 Op to Hex'!$A:$A,1,0)),0,1)</f>
        <v>0</v>
      </c>
      <c r="K294" s="6" cm="1">
        <f t="array" ref="K294">HlpGetInstructionSize(A294,B294,C294)</f>
        <v>1</v>
      </c>
      <c r="L294" s="6">
        <f t="shared" si="4"/>
        <v>1</v>
      </c>
    </row>
    <row r="295" spans="1:12">
      <c r="A295" s="175" t="s">
        <v>1134</v>
      </c>
      <c r="B295" s="175" t="s">
        <v>183</v>
      </c>
      <c r="C295" s="175" t="s">
        <v>1238</v>
      </c>
      <c r="D295" s="177" t="s">
        <v>921</v>
      </c>
      <c r="E295" s="179">
        <v>1</v>
      </c>
      <c r="F295" s="175" t="s">
        <v>1408</v>
      </c>
      <c r="G295" s="175" t="s">
        <v>1211</v>
      </c>
      <c r="H295" s="181"/>
      <c r="I295" s="175" t="s">
        <v>921</v>
      </c>
      <c r="J295" s="6">
        <f>IF(ISERROR(VLOOKUP(A295,'8080 Op to Hex'!$A:$A,1,0)),0,1)</f>
        <v>0</v>
      </c>
      <c r="K295" s="6" cm="1">
        <f t="array" ref="K295">HlpGetInstructionSize(A295,B295,C295)</f>
        <v>1</v>
      </c>
      <c r="L295" s="6">
        <f t="shared" si="4"/>
        <v>0</v>
      </c>
    </row>
    <row r="296" spans="1:12">
      <c r="A296" s="175" t="s">
        <v>1134</v>
      </c>
      <c r="B296" s="175" t="s">
        <v>183</v>
      </c>
      <c r="C296" s="175" t="s">
        <v>1377</v>
      </c>
      <c r="D296" s="177" t="s">
        <v>1681</v>
      </c>
      <c r="E296" s="179">
        <v>4</v>
      </c>
      <c r="F296" s="175" t="s">
        <v>1682</v>
      </c>
      <c r="G296" s="175" t="s">
        <v>126</v>
      </c>
      <c r="H296" s="181" t="s">
        <v>810</v>
      </c>
      <c r="I296" s="175" t="s">
        <v>921</v>
      </c>
      <c r="J296" s="6">
        <f>IF(ISERROR(VLOOKUP(A296,'8080 Op to Hex'!$A:$A,1,0)),0,1)</f>
        <v>0</v>
      </c>
      <c r="K296" s="6" cm="1">
        <f t="array" ref="K296">HlpGetInstructionSize(A296,B296,C296)</f>
        <v>1</v>
      </c>
      <c r="L296" s="6">
        <f t="shared" si="4"/>
        <v>1</v>
      </c>
    </row>
    <row r="297" spans="1:12">
      <c r="A297" s="175" t="s">
        <v>1134</v>
      </c>
      <c r="B297" s="175" t="s">
        <v>183</v>
      </c>
      <c r="C297" s="175" t="s">
        <v>1380</v>
      </c>
      <c r="D297" s="177" t="s">
        <v>1683</v>
      </c>
      <c r="E297" s="179">
        <v>4</v>
      </c>
      <c r="F297" s="175" t="s">
        <v>1684</v>
      </c>
      <c r="G297" s="175" t="s">
        <v>126</v>
      </c>
      <c r="H297" s="181" t="s">
        <v>1025</v>
      </c>
      <c r="I297" s="175" t="s">
        <v>921</v>
      </c>
      <c r="J297" s="6">
        <f>IF(ISERROR(VLOOKUP(A297,'8080 Op to Hex'!$A:$A,1,0)),0,1)</f>
        <v>0</v>
      </c>
      <c r="K297" s="6" cm="1">
        <f t="array" ref="K297">HlpGetInstructionSize(A297,B297,C297)</f>
        <v>1</v>
      </c>
      <c r="L297" s="6">
        <f t="shared" si="4"/>
        <v>1</v>
      </c>
    </row>
    <row r="298" spans="1:12">
      <c r="A298" s="175" t="s">
        <v>1134</v>
      </c>
      <c r="B298" s="175" t="s">
        <v>265</v>
      </c>
      <c r="C298" s="175" t="s">
        <v>1238</v>
      </c>
      <c r="D298" s="177" t="s">
        <v>611</v>
      </c>
      <c r="E298" s="179">
        <v>1</v>
      </c>
      <c r="F298" s="175" t="s">
        <v>1409</v>
      </c>
      <c r="G298" s="175" t="s">
        <v>1211</v>
      </c>
      <c r="H298" s="181"/>
      <c r="I298" s="175" t="s">
        <v>611</v>
      </c>
      <c r="J298" s="6">
        <f>IF(ISERROR(VLOOKUP(A298,'8080 Op to Hex'!$A:$A,1,0)),0,1)</f>
        <v>0</v>
      </c>
      <c r="K298" s="6" cm="1">
        <f t="array" ref="K298">HlpGetInstructionSize(A298,B298,C298)</f>
        <v>1</v>
      </c>
      <c r="L298" s="6">
        <f t="shared" si="4"/>
        <v>0</v>
      </c>
    </row>
    <row r="299" spans="1:12">
      <c r="A299" s="175" t="s">
        <v>1134</v>
      </c>
      <c r="B299" s="175" t="s">
        <v>265</v>
      </c>
      <c r="C299" s="175" t="s">
        <v>1377</v>
      </c>
      <c r="D299" s="177" t="s">
        <v>1685</v>
      </c>
      <c r="E299" s="179">
        <v>4</v>
      </c>
      <c r="F299" s="175" t="s">
        <v>1686</v>
      </c>
      <c r="G299" s="175" t="s">
        <v>126</v>
      </c>
      <c r="H299" s="181" t="s">
        <v>810</v>
      </c>
      <c r="I299" s="175" t="s">
        <v>611</v>
      </c>
      <c r="J299" s="6">
        <f>IF(ISERROR(VLOOKUP(A299,'8080 Op to Hex'!$A:$A,1,0)),0,1)</f>
        <v>0</v>
      </c>
      <c r="K299" s="6" cm="1">
        <f t="array" ref="K299">HlpGetInstructionSize(A299,B299,C299)</f>
        <v>1</v>
      </c>
      <c r="L299" s="6">
        <f t="shared" si="4"/>
        <v>1</v>
      </c>
    </row>
    <row r="300" spans="1:12">
      <c r="A300" s="175" t="s">
        <v>1134</v>
      </c>
      <c r="B300" s="175" t="s">
        <v>265</v>
      </c>
      <c r="C300" s="175" t="s">
        <v>1380</v>
      </c>
      <c r="D300" s="177" t="s">
        <v>1687</v>
      </c>
      <c r="E300" s="179">
        <v>4</v>
      </c>
      <c r="F300" s="175" t="s">
        <v>1688</v>
      </c>
      <c r="G300" s="175" t="s">
        <v>126</v>
      </c>
      <c r="H300" s="181" t="s">
        <v>1025</v>
      </c>
      <c r="I300" s="175" t="s">
        <v>611</v>
      </c>
      <c r="J300" s="6">
        <f>IF(ISERROR(VLOOKUP(A300,'8080 Op to Hex'!$A:$A,1,0)),0,1)</f>
        <v>0</v>
      </c>
      <c r="K300" s="6" cm="1">
        <f t="array" ref="K300">HlpGetInstructionSize(A300,B300,C300)</f>
        <v>1</v>
      </c>
      <c r="L300" s="6">
        <f t="shared" si="4"/>
        <v>1</v>
      </c>
    </row>
    <row r="301" spans="1:12">
      <c r="A301" s="175" t="s">
        <v>1134</v>
      </c>
      <c r="B301" s="175" t="s">
        <v>303</v>
      </c>
      <c r="C301" s="175" t="s">
        <v>1238</v>
      </c>
      <c r="D301" s="177" t="s">
        <v>931</v>
      </c>
      <c r="E301" s="179">
        <v>1</v>
      </c>
      <c r="F301" s="175" t="s">
        <v>1410</v>
      </c>
      <c r="G301" s="175" t="s">
        <v>1211</v>
      </c>
      <c r="H301" s="181"/>
      <c r="I301" s="175" t="s">
        <v>931</v>
      </c>
      <c r="J301" s="6">
        <f>IF(ISERROR(VLOOKUP(A301,'8080 Op to Hex'!$A:$A,1,0)),0,1)</f>
        <v>0</v>
      </c>
      <c r="K301" s="6" cm="1">
        <f t="array" ref="K301">HlpGetInstructionSize(A301,B301,C301)</f>
        <v>1</v>
      </c>
      <c r="L301" s="6">
        <f t="shared" si="4"/>
        <v>0</v>
      </c>
    </row>
    <row r="302" spans="1:12">
      <c r="A302" s="175" t="s">
        <v>1134</v>
      </c>
      <c r="B302" s="175" t="s">
        <v>303</v>
      </c>
      <c r="C302" s="175" t="s">
        <v>1377</v>
      </c>
      <c r="D302" s="177" t="s">
        <v>1689</v>
      </c>
      <c r="E302" s="179">
        <v>4</v>
      </c>
      <c r="F302" s="175" t="s">
        <v>1690</v>
      </c>
      <c r="G302" s="175" t="s">
        <v>126</v>
      </c>
      <c r="H302" s="181" t="s">
        <v>810</v>
      </c>
      <c r="I302" s="175" t="s">
        <v>931</v>
      </c>
      <c r="J302" s="6">
        <f>IF(ISERROR(VLOOKUP(A302,'8080 Op to Hex'!$A:$A,1,0)),0,1)</f>
        <v>0</v>
      </c>
      <c r="K302" s="6" cm="1">
        <f t="array" ref="K302">HlpGetInstructionSize(A302,B302,C302)</f>
        <v>1</v>
      </c>
      <c r="L302" s="6">
        <f t="shared" si="4"/>
        <v>1</v>
      </c>
    </row>
    <row r="303" spans="1:12">
      <c r="A303" s="175" t="s">
        <v>1134</v>
      </c>
      <c r="B303" s="175" t="s">
        <v>303</v>
      </c>
      <c r="C303" s="175" t="s">
        <v>1380</v>
      </c>
      <c r="D303" s="177" t="s">
        <v>1691</v>
      </c>
      <c r="E303" s="179">
        <v>4</v>
      </c>
      <c r="F303" s="175" t="s">
        <v>1692</v>
      </c>
      <c r="G303" s="175" t="s">
        <v>126</v>
      </c>
      <c r="H303" s="181" t="s">
        <v>1025</v>
      </c>
      <c r="I303" s="175" t="s">
        <v>931</v>
      </c>
      <c r="J303" s="6">
        <f>IF(ISERROR(VLOOKUP(A303,'8080 Op to Hex'!$A:$A,1,0)),0,1)</f>
        <v>0</v>
      </c>
      <c r="K303" s="6" cm="1">
        <f t="array" ref="K303">HlpGetInstructionSize(A303,B303,C303)</f>
        <v>1</v>
      </c>
      <c r="L303" s="6">
        <f t="shared" si="4"/>
        <v>1</v>
      </c>
    </row>
    <row r="304" spans="1:12">
      <c r="A304" s="175" t="s">
        <v>1134</v>
      </c>
      <c r="B304" s="175" t="s">
        <v>327</v>
      </c>
      <c r="C304" s="175" t="s">
        <v>1238</v>
      </c>
      <c r="D304" s="177" t="s">
        <v>633</v>
      </c>
      <c r="E304" s="179">
        <v>1</v>
      </c>
      <c r="F304" s="175" t="s">
        <v>1411</v>
      </c>
      <c r="G304" s="175" t="s">
        <v>1211</v>
      </c>
      <c r="H304" s="181"/>
      <c r="I304" s="175" t="s">
        <v>633</v>
      </c>
      <c r="J304" s="6">
        <f>IF(ISERROR(VLOOKUP(A304,'8080 Op to Hex'!$A:$A,1,0)),0,1)</f>
        <v>0</v>
      </c>
      <c r="K304" s="6" cm="1">
        <f t="array" ref="K304">HlpGetInstructionSize(A304,B304,C304)</f>
        <v>1</v>
      </c>
      <c r="L304" s="6">
        <f t="shared" si="4"/>
        <v>0</v>
      </c>
    </row>
    <row r="305" spans="1:12">
      <c r="A305" s="175" t="s">
        <v>1134</v>
      </c>
      <c r="B305" s="175" t="s">
        <v>327</v>
      </c>
      <c r="C305" s="175" t="s">
        <v>1377</v>
      </c>
      <c r="D305" s="177" t="s">
        <v>1693</v>
      </c>
      <c r="E305" s="179">
        <v>4</v>
      </c>
      <c r="F305" s="175" t="s">
        <v>1694</v>
      </c>
      <c r="G305" s="175" t="s">
        <v>126</v>
      </c>
      <c r="H305" s="181" t="s">
        <v>810</v>
      </c>
      <c r="I305" s="175" t="s">
        <v>633</v>
      </c>
      <c r="J305" s="6">
        <f>IF(ISERROR(VLOOKUP(A305,'8080 Op to Hex'!$A:$A,1,0)),0,1)</f>
        <v>0</v>
      </c>
      <c r="K305" s="6" cm="1">
        <f t="array" ref="K305">HlpGetInstructionSize(A305,B305,C305)</f>
        <v>1</v>
      </c>
      <c r="L305" s="6">
        <f t="shared" si="4"/>
        <v>1</v>
      </c>
    </row>
    <row r="306" spans="1:12">
      <c r="A306" s="175" t="s">
        <v>1134</v>
      </c>
      <c r="B306" s="175" t="s">
        <v>327</v>
      </c>
      <c r="C306" s="175" t="s">
        <v>1380</v>
      </c>
      <c r="D306" s="177" t="s">
        <v>1695</v>
      </c>
      <c r="E306" s="179">
        <v>4</v>
      </c>
      <c r="F306" s="175" t="s">
        <v>1696</v>
      </c>
      <c r="G306" s="175" t="s">
        <v>126</v>
      </c>
      <c r="H306" s="181" t="s">
        <v>1025</v>
      </c>
      <c r="I306" s="175" t="s">
        <v>633</v>
      </c>
      <c r="J306" s="6">
        <f>IF(ISERROR(VLOOKUP(A306,'8080 Op to Hex'!$A:$A,1,0)),0,1)</f>
        <v>0</v>
      </c>
      <c r="K306" s="6" cm="1">
        <f t="array" ref="K306">HlpGetInstructionSize(A306,B306,C306)</f>
        <v>1</v>
      </c>
      <c r="L306" s="6">
        <f t="shared" si="4"/>
        <v>1</v>
      </c>
    </row>
    <row r="307" spans="1:12">
      <c r="A307" s="175" t="s">
        <v>1134</v>
      </c>
      <c r="B307" s="175" t="s">
        <v>1210</v>
      </c>
      <c r="C307" s="175" t="s">
        <v>146</v>
      </c>
      <c r="D307" s="177" t="s">
        <v>878</v>
      </c>
      <c r="E307" s="179">
        <v>1</v>
      </c>
      <c r="F307" s="175" t="s">
        <v>1402</v>
      </c>
      <c r="G307" s="175" t="s">
        <v>1211</v>
      </c>
      <c r="H307" s="181"/>
      <c r="I307" s="175" t="s">
        <v>878</v>
      </c>
      <c r="J307" s="6">
        <f>IF(ISERROR(VLOOKUP(A307,'8080 Op to Hex'!$A:$A,1,0)),0,1)</f>
        <v>0</v>
      </c>
      <c r="K307" s="6" cm="1">
        <f t="array" ref="K307">HlpGetInstructionSize(A307,B307,C307)</f>
        <v>1</v>
      </c>
      <c r="L307" s="6">
        <f t="shared" si="4"/>
        <v>0</v>
      </c>
    </row>
    <row r="308" spans="1:12">
      <c r="A308" s="175" t="s">
        <v>1134</v>
      </c>
      <c r="B308" s="175" t="s">
        <v>1228</v>
      </c>
      <c r="C308" s="175" t="s">
        <v>146</v>
      </c>
      <c r="D308" s="177" t="s">
        <v>458</v>
      </c>
      <c r="E308" s="179">
        <v>1</v>
      </c>
      <c r="F308" s="175" t="s">
        <v>1403</v>
      </c>
      <c r="G308" s="175" t="s">
        <v>1211</v>
      </c>
      <c r="H308" s="181"/>
      <c r="I308" s="175" t="s">
        <v>458</v>
      </c>
      <c r="J308" s="6">
        <f>IF(ISERROR(VLOOKUP(A308,'8080 Op to Hex'!$A:$A,1,0)),0,1)</f>
        <v>0</v>
      </c>
      <c r="K308" s="6" cm="1">
        <f t="array" ref="K308">HlpGetInstructionSize(A308,B308,C308)</f>
        <v>1</v>
      </c>
      <c r="L308" s="6">
        <f t="shared" si="4"/>
        <v>0</v>
      </c>
    </row>
    <row r="309" spans="1:12">
      <c r="A309" s="175" t="s">
        <v>1134</v>
      </c>
      <c r="B309" s="175" t="s">
        <v>1238</v>
      </c>
      <c r="C309" s="175" t="s">
        <v>146</v>
      </c>
      <c r="D309" s="177" t="s">
        <v>942</v>
      </c>
      <c r="E309" s="179">
        <v>1</v>
      </c>
      <c r="F309" s="175" t="s">
        <v>1263</v>
      </c>
      <c r="G309" s="175" t="s">
        <v>1211</v>
      </c>
      <c r="H309" s="181"/>
      <c r="I309" s="175" t="s">
        <v>942</v>
      </c>
      <c r="J309" s="6">
        <f>IF(ISERROR(VLOOKUP(A309,'8080 Op to Hex'!$A:$A,1,0)),0,1)</f>
        <v>0</v>
      </c>
      <c r="K309" s="6" cm="1">
        <f t="array" ref="K309">HlpGetInstructionSize(A309,B309,C309)</f>
        <v>1</v>
      </c>
      <c r="L309" s="6">
        <f t="shared" si="4"/>
        <v>0</v>
      </c>
    </row>
    <row r="310" spans="1:12">
      <c r="A310" s="175" t="s">
        <v>1134</v>
      </c>
      <c r="B310" s="175" t="s">
        <v>1238</v>
      </c>
      <c r="C310" s="175" t="s">
        <v>144</v>
      </c>
      <c r="D310" s="177" t="s">
        <v>935</v>
      </c>
      <c r="E310" s="179">
        <v>1</v>
      </c>
      <c r="F310" s="175" t="s">
        <v>1256</v>
      </c>
      <c r="G310" s="175" t="s">
        <v>1211</v>
      </c>
      <c r="H310" s="181"/>
      <c r="I310" s="175" t="s">
        <v>935</v>
      </c>
      <c r="J310" s="6">
        <f>IF(ISERROR(VLOOKUP(A310,'8080 Op to Hex'!$A:$A,1,0)),0,1)</f>
        <v>0</v>
      </c>
      <c r="K310" s="6" cm="1">
        <f t="array" ref="K310">HlpGetInstructionSize(A310,B310,C310)</f>
        <v>1</v>
      </c>
      <c r="L310" s="6">
        <f t="shared" si="4"/>
        <v>0</v>
      </c>
    </row>
    <row r="311" spans="1:12">
      <c r="A311" s="175" t="s">
        <v>1134</v>
      </c>
      <c r="B311" s="175" t="s">
        <v>1238</v>
      </c>
      <c r="C311" s="175" t="s">
        <v>182</v>
      </c>
      <c r="D311" s="177" t="s">
        <v>936</v>
      </c>
      <c r="E311" s="179">
        <v>1</v>
      </c>
      <c r="F311" s="175" t="s">
        <v>1257</v>
      </c>
      <c r="G311" s="175" t="s">
        <v>1211</v>
      </c>
      <c r="H311" s="181"/>
      <c r="I311" s="175" t="s">
        <v>936</v>
      </c>
      <c r="J311" s="6">
        <f>IF(ISERROR(VLOOKUP(A311,'8080 Op to Hex'!$A:$A,1,0)),0,1)</f>
        <v>0</v>
      </c>
      <c r="K311" s="6" cm="1">
        <f t="array" ref="K311">HlpGetInstructionSize(A311,B311,C311)</f>
        <v>1</v>
      </c>
      <c r="L311" s="6">
        <f t="shared" si="4"/>
        <v>0</v>
      </c>
    </row>
    <row r="312" spans="1:12">
      <c r="A312" s="175" t="s">
        <v>1134</v>
      </c>
      <c r="B312" s="175" t="s">
        <v>1238</v>
      </c>
      <c r="C312" s="175" t="s">
        <v>183</v>
      </c>
      <c r="D312" s="177" t="s">
        <v>937</v>
      </c>
      <c r="E312" s="179">
        <v>1</v>
      </c>
      <c r="F312" s="175" t="s">
        <v>1258</v>
      </c>
      <c r="G312" s="175" t="s">
        <v>1211</v>
      </c>
      <c r="H312" s="181"/>
      <c r="I312" s="175" t="s">
        <v>937</v>
      </c>
      <c r="J312" s="6">
        <f>IF(ISERROR(VLOOKUP(A312,'8080 Op to Hex'!$A:$A,1,0)),0,1)</f>
        <v>0</v>
      </c>
      <c r="K312" s="6" cm="1">
        <f t="array" ref="K312">HlpGetInstructionSize(A312,B312,C312)</f>
        <v>1</v>
      </c>
      <c r="L312" s="6">
        <f t="shared" si="4"/>
        <v>0</v>
      </c>
    </row>
    <row r="313" spans="1:12">
      <c r="A313" s="175" t="s">
        <v>1134</v>
      </c>
      <c r="B313" s="175" t="s">
        <v>1238</v>
      </c>
      <c r="C313" s="175" t="s">
        <v>265</v>
      </c>
      <c r="D313" s="177" t="s">
        <v>938</v>
      </c>
      <c r="E313" s="179">
        <v>1</v>
      </c>
      <c r="F313" s="175" t="s">
        <v>1259</v>
      </c>
      <c r="G313" s="175" t="s">
        <v>1211</v>
      </c>
      <c r="H313" s="181"/>
      <c r="I313" s="175" t="s">
        <v>938</v>
      </c>
      <c r="J313" s="6">
        <f>IF(ISERROR(VLOOKUP(A313,'8080 Op to Hex'!$A:$A,1,0)),0,1)</f>
        <v>0</v>
      </c>
      <c r="K313" s="6" cm="1">
        <f t="array" ref="K313">HlpGetInstructionSize(A313,B313,C313)</f>
        <v>1</v>
      </c>
      <c r="L313" s="6">
        <f t="shared" si="4"/>
        <v>0</v>
      </c>
    </row>
    <row r="314" spans="1:12">
      <c r="A314" s="175" t="s">
        <v>1134</v>
      </c>
      <c r="B314" s="175" t="s">
        <v>1238</v>
      </c>
      <c r="C314" s="175" t="s">
        <v>303</v>
      </c>
      <c r="D314" s="177" t="s">
        <v>939</v>
      </c>
      <c r="E314" s="179">
        <v>1</v>
      </c>
      <c r="F314" s="175" t="s">
        <v>1260</v>
      </c>
      <c r="G314" s="175" t="s">
        <v>1211</v>
      </c>
      <c r="H314" s="181"/>
      <c r="I314" s="175" t="s">
        <v>939</v>
      </c>
      <c r="J314" s="6">
        <f>IF(ISERROR(VLOOKUP(A314,'8080 Op to Hex'!$A:$A,1,0)),0,1)</f>
        <v>0</v>
      </c>
      <c r="K314" s="6" cm="1">
        <f t="array" ref="K314">HlpGetInstructionSize(A314,B314,C314)</f>
        <v>1</v>
      </c>
      <c r="L314" s="6">
        <f t="shared" si="4"/>
        <v>0</v>
      </c>
    </row>
    <row r="315" spans="1:12">
      <c r="A315" s="175" t="s">
        <v>1134</v>
      </c>
      <c r="B315" s="175" t="s">
        <v>1238</v>
      </c>
      <c r="C315" s="175" t="s">
        <v>327</v>
      </c>
      <c r="D315" s="177" t="s">
        <v>940</v>
      </c>
      <c r="E315" s="179">
        <v>1</v>
      </c>
      <c r="F315" s="175" t="s">
        <v>1261</v>
      </c>
      <c r="G315" s="175" t="s">
        <v>1211</v>
      </c>
      <c r="H315" s="181"/>
      <c r="I315" s="175" t="s">
        <v>940</v>
      </c>
      <c r="J315" s="6">
        <f>IF(ISERROR(VLOOKUP(A315,'8080 Op to Hex'!$A:$A,1,0)),0,1)</f>
        <v>0</v>
      </c>
      <c r="K315" s="6" cm="1">
        <f t="array" ref="K315">HlpGetInstructionSize(A315,B315,C315)</f>
        <v>1</v>
      </c>
      <c r="L315" s="6">
        <f t="shared" si="4"/>
        <v>0</v>
      </c>
    </row>
    <row r="316" spans="1:12">
      <c r="A316" s="175" t="s">
        <v>1134</v>
      </c>
      <c r="B316" s="175" t="s">
        <v>1238</v>
      </c>
      <c r="C316" s="175" t="s">
        <v>1452</v>
      </c>
      <c r="D316" s="177" t="s">
        <v>903</v>
      </c>
      <c r="E316" s="179">
        <v>2</v>
      </c>
      <c r="F316" s="175" t="s">
        <v>1250</v>
      </c>
      <c r="G316" s="175" t="s">
        <v>1217</v>
      </c>
      <c r="H316" s="181"/>
      <c r="I316" s="175" t="s">
        <v>903</v>
      </c>
      <c r="J316" s="6">
        <f>IF(ISERROR(VLOOKUP(A316,'8080 Op to Hex'!$A:$A,1,0)),0,1)</f>
        <v>0</v>
      </c>
      <c r="K316" s="6" cm="1">
        <f t="array" ref="K316">HlpGetInstructionSize(A316,B316,C316)</f>
        <v>1</v>
      </c>
      <c r="L316" s="6">
        <f t="shared" si="4"/>
        <v>1</v>
      </c>
    </row>
    <row r="317" spans="1:12">
      <c r="A317" s="175" t="s">
        <v>1134</v>
      </c>
      <c r="B317" s="175" t="s">
        <v>1377</v>
      </c>
      <c r="C317" s="175" t="s">
        <v>146</v>
      </c>
      <c r="D317" s="177" t="s">
        <v>1378</v>
      </c>
      <c r="E317" s="179">
        <v>4</v>
      </c>
      <c r="F317" s="175" t="s">
        <v>1415</v>
      </c>
      <c r="G317" s="175" t="s">
        <v>126</v>
      </c>
      <c r="H317" s="181" t="s">
        <v>810</v>
      </c>
      <c r="I317" s="175" t="s">
        <v>942</v>
      </c>
      <c r="J317" s="6">
        <f>IF(ISERROR(VLOOKUP(A317,'8080 Op to Hex'!$A:$A,1,0)),0,1)</f>
        <v>0</v>
      </c>
      <c r="K317" s="6" cm="1">
        <f t="array" ref="K317">HlpGetInstructionSize(A317,B317,C317)</f>
        <v>1</v>
      </c>
      <c r="L317" s="6">
        <f>IF(E317&lt;&gt;K317,1,0)</f>
        <v>1</v>
      </c>
    </row>
    <row r="318" spans="1:12">
      <c r="A318" s="175" t="s">
        <v>1134</v>
      </c>
      <c r="B318" s="175" t="s">
        <v>1377</v>
      </c>
      <c r="C318" s="175" t="s">
        <v>144</v>
      </c>
      <c r="D318" s="177" t="s">
        <v>1697</v>
      </c>
      <c r="E318" s="179">
        <v>4</v>
      </c>
      <c r="F318" s="175" t="s">
        <v>1698</v>
      </c>
      <c r="G318" s="175" t="s">
        <v>126</v>
      </c>
      <c r="H318" s="181" t="s">
        <v>810</v>
      </c>
      <c r="I318" s="175" t="s">
        <v>935</v>
      </c>
      <c r="J318" s="6">
        <f>IF(ISERROR(VLOOKUP(A318,'8080 Op to Hex'!$A:$A,1,0)),0,1)</f>
        <v>0</v>
      </c>
      <c r="K318" s="6" cm="1">
        <f t="array" ref="K318">HlpGetInstructionSize(A318,B318,C318)</f>
        <v>1</v>
      </c>
      <c r="L318" s="6">
        <f t="shared" si="4"/>
        <v>1</v>
      </c>
    </row>
    <row r="319" spans="1:12">
      <c r="A319" s="175" t="s">
        <v>1134</v>
      </c>
      <c r="B319" s="175" t="s">
        <v>1377</v>
      </c>
      <c r="C319" s="175" t="s">
        <v>182</v>
      </c>
      <c r="D319" s="177" t="s">
        <v>1699</v>
      </c>
      <c r="E319" s="179">
        <v>4</v>
      </c>
      <c r="F319" s="175" t="s">
        <v>1700</v>
      </c>
      <c r="G319" s="175" t="s">
        <v>126</v>
      </c>
      <c r="H319" s="181" t="s">
        <v>810</v>
      </c>
      <c r="I319" s="175" t="s">
        <v>936</v>
      </c>
      <c r="J319" s="6">
        <f>IF(ISERROR(VLOOKUP(A319,'8080 Op to Hex'!$A:$A,1,0)),0,1)</f>
        <v>0</v>
      </c>
      <c r="K319" s="6" cm="1">
        <f t="array" ref="K319">HlpGetInstructionSize(A319,B319,C319)</f>
        <v>1</v>
      </c>
      <c r="L319" s="6">
        <f t="shared" si="4"/>
        <v>1</v>
      </c>
    </row>
    <row r="320" spans="1:12">
      <c r="A320" s="175" t="s">
        <v>1134</v>
      </c>
      <c r="B320" s="175" t="s">
        <v>1377</v>
      </c>
      <c r="C320" s="175" t="s">
        <v>183</v>
      </c>
      <c r="D320" s="177" t="s">
        <v>1701</v>
      </c>
      <c r="E320" s="179">
        <v>4</v>
      </c>
      <c r="F320" s="175" t="s">
        <v>1702</v>
      </c>
      <c r="G320" s="175" t="s">
        <v>126</v>
      </c>
      <c r="H320" s="181" t="s">
        <v>810</v>
      </c>
      <c r="I320" s="175" t="s">
        <v>937</v>
      </c>
      <c r="J320" s="6">
        <f>IF(ISERROR(VLOOKUP(A320,'8080 Op to Hex'!$A:$A,1,0)),0,1)</f>
        <v>0</v>
      </c>
      <c r="K320" s="6" cm="1">
        <f t="array" ref="K320">HlpGetInstructionSize(A320,B320,C320)</f>
        <v>1</v>
      </c>
      <c r="L320" s="6">
        <f t="shared" si="4"/>
        <v>1</v>
      </c>
    </row>
    <row r="321" spans="1:12">
      <c r="A321" s="175" t="s">
        <v>1134</v>
      </c>
      <c r="B321" s="175" t="s">
        <v>1377</v>
      </c>
      <c r="C321" s="175" t="s">
        <v>265</v>
      </c>
      <c r="D321" s="177" t="s">
        <v>1703</v>
      </c>
      <c r="E321" s="179">
        <v>4</v>
      </c>
      <c r="F321" s="175" t="s">
        <v>1704</v>
      </c>
      <c r="G321" s="175" t="s">
        <v>126</v>
      </c>
      <c r="H321" s="181" t="s">
        <v>810</v>
      </c>
      <c r="I321" s="175" t="s">
        <v>938</v>
      </c>
      <c r="J321" s="6">
        <f>IF(ISERROR(VLOOKUP(A321,'8080 Op to Hex'!$A:$A,1,0)),0,1)</f>
        <v>0</v>
      </c>
      <c r="K321" s="6" cm="1">
        <f t="array" ref="K321">HlpGetInstructionSize(A321,B321,C321)</f>
        <v>1</v>
      </c>
      <c r="L321" s="6">
        <f t="shared" si="4"/>
        <v>1</v>
      </c>
    </row>
    <row r="322" spans="1:12">
      <c r="A322" s="175" t="s">
        <v>1134</v>
      </c>
      <c r="B322" s="175" t="s">
        <v>1377</v>
      </c>
      <c r="C322" s="175" t="s">
        <v>303</v>
      </c>
      <c r="D322" s="177" t="s">
        <v>1705</v>
      </c>
      <c r="E322" s="179">
        <v>4</v>
      </c>
      <c r="F322" s="175" t="s">
        <v>1706</v>
      </c>
      <c r="G322" s="175" t="s">
        <v>126</v>
      </c>
      <c r="H322" s="181" t="s">
        <v>810</v>
      </c>
      <c r="I322" s="175" t="s">
        <v>939</v>
      </c>
      <c r="J322" s="6">
        <f>IF(ISERROR(VLOOKUP(A322,'8080 Op to Hex'!$A:$A,1,0)),0,1)</f>
        <v>0</v>
      </c>
      <c r="K322" s="6" cm="1">
        <f t="array" ref="K322">HlpGetInstructionSize(A322,B322,C322)</f>
        <v>1</v>
      </c>
      <c r="L322" s="6">
        <f t="shared" ref="L322:L384" si="5">IF(E322&lt;&gt;K322,1,0)</f>
        <v>1</v>
      </c>
    </row>
    <row r="323" spans="1:12">
      <c r="A323" s="175" t="s">
        <v>1134</v>
      </c>
      <c r="B323" s="175" t="s">
        <v>1377</v>
      </c>
      <c r="C323" s="175" t="s">
        <v>327</v>
      </c>
      <c r="D323" s="177" t="s">
        <v>1707</v>
      </c>
      <c r="E323" s="179">
        <v>4</v>
      </c>
      <c r="F323" s="175" t="s">
        <v>1708</v>
      </c>
      <c r="G323" s="175" t="s">
        <v>126</v>
      </c>
      <c r="H323" s="181" t="s">
        <v>810</v>
      </c>
      <c r="I323" s="175" t="s">
        <v>940</v>
      </c>
      <c r="J323" s="6">
        <f>IF(ISERROR(VLOOKUP(A323,'8080 Op to Hex'!$A:$A,1,0)),0,1)</f>
        <v>0</v>
      </c>
      <c r="K323" s="6" cm="1">
        <f t="array" ref="K323">HlpGetInstructionSize(A323,B323,C323)</f>
        <v>1</v>
      </c>
      <c r="L323" s="6">
        <f t="shared" si="5"/>
        <v>1</v>
      </c>
    </row>
    <row r="324" spans="1:12">
      <c r="A324" s="175" t="s">
        <v>1134</v>
      </c>
      <c r="B324" s="175" t="s">
        <v>1377</v>
      </c>
      <c r="C324" s="175" t="s">
        <v>1452</v>
      </c>
      <c r="D324" s="177" t="s">
        <v>1709</v>
      </c>
      <c r="E324" s="179">
        <v>5</v>
      </c>
      <c r="F324" s="175" t="s">
        <v>1710</v>
      </c>
      <c r="G324" s="175" t="s">
        <v>126</v>
      </c>
      <c r="H324" s="181" t="s">
        <v>810</v>
      </c>
      <c r="I324" s="175" t="s">
        <v>903</v>
      </c>
      <c r="J324" s="6">
        <f>IF(ISERROR(VLOOKUP(A324,'8080 Op to Hex'!$A:$A,1,0)),0,1)</f>
        <v>0</v>
      </c>
      <c r="K324" s="6" cm="1">
        <f t="array" ref="K324">HlpGetInstructionSize(A324,B324,C324)</f>
        <v>1</v>
      </c>
      <c r="L324" s="6">
        <f t="shared" si="5"/>
        <v>1</v>
      </c>
    </row>
    <row r="325" spans="1:12">
      <c r="A325" s="175" t="s">
        <v>1134</v>
      </c>
      <c r="B325" s="175" t="s">
        <v>1380</v>
      </c>
      <c r="C325" s="175" t="s">
        <v>146</v>
      </c>
      <c r="D325" s="177" t="s">
        <v>1381</v>
      </c>
      <c r="E325" s="179">
        <v>4</v>
      </c>
      <c r="F325" s="175" t="s">
        <v>1417</v>
      </c>
      <c r="G325" s="175" t="s">
        <v>126</v>
      </c>
      <c r="H325" s="181" t="s">
        <v>1025</v>
      </c>
      <c r="I325" s="175" t="s">
        <v>942</v>
      </c>
      <c r="J325" s="6">
        <f>IF(ISERROR(VLOOKUP(A325,'8080 Op to Hex'!$A:$A,1,0)),0,1)</f>
        <v>0</v>
      </c>
      <c r="K325" s="6" cm="1">
        <f t="array" ref="K325">HlpGetInstructionSize(A325,B325,C325)</f>
        <v>1</v>
      </c>
      <c r="L325" s="6">
        <f t="shared" si="5"/>
        <v>1</v>
      </c>
    </row>
    <row r="326" spans="1:12">
      <c r="A326" s="175" t="s">
        <v>1134</v>
      </c>
      <c r="B326" s="175" t="s">
        <v>1380</v>
      </c>
      <c r="C326" s="175" t="s">
        <v>144</v>
      </c>
      <c r="D326" s="177" t="s">
        <v>1711</v>
      </c>
      <c r="E326" s="179">
        <v>4</v>
      </c>
      <c r="F326" s="175" t="s">
        <v>1712</v>
      </c>
      <c r="G326" s="175" t="s">
        <v>126</v>
      </c>
      <c r="H326" s="181" t="s">
        <v>1025</v>
      </c>
      <c r="I326" s="175" t="s">
        <v>935</v>
      </c>
      <c r="J326" s="6">
        <f>IF(ISERROR(VLOOKUP(A326,'8080 Op to Hex'!$A:$A,1,0)),0,1)</f>
        <v>0</v>
      </c>
      <c r="K326" s="6" cm="1">
        <f t="array" ref="K326">HlpGetInstructionSize(A326,B326,C326)</f>
        <v>1</v>
      </c>
      <c r="L326" s="6">
        <f t="shared" si="5"/>
        <v>1</v>
      </c>
    </row>
    <row r="327" spans="1:12">
      <c r="A327" s="175" t="s">
        <v>1134</v>
      </c>
      <c r="B327" s="175" t="s">
        <v>1380</v>
      </c>
      <c r="C327" s="175" t="s">
        <v>182</v>
      </c>
      <c r="D327" s="177" t="s">
        <v>1713</v>
      </c>
      <c r="E327" s="179">
        <v>4</v>
      </c>
      <c r="F327" s="175" t="s">
        <v>1714</v>
      </c>
      <c r="G327" s="175" t="s">
        <v>126</v>
      </c>
      <c r="H327" s="181" t="s">
        <v>1025</v>
      </c>
      <c r="I327" s="175" t="s">
        <v>936</v>
      </c>
      <c r="J327" s="6">
        <f>IF(ISERROR(VLOOKUP(A327,'8080 Op to Hex'!$A:$A,1,0)),0,1)</f>
        <v>0</v>
      </c>
      <c r="K327" s="6" cm="1">
        <f t="array" ref="K327">HlpGetInstructionSize(A327,B327,C327)</f>
        <v>1</v>
      </c>
      <c r="L327" s="6">
        <f t="shared" si="5"/>
        <v>1</v>
      </c>
    </row>
    <row r="328" spans="1:12">
      <c r="A328" s="175" t="s">
        <v>1134</v>
      </c>
      <c r="B328" s="175" t="s">
        <v>1380</v>
      </c>
      <c r="C328" s="175" t="s">
        <v>183</v>
      </c>
      <c r="D328" s="177" t="s">
        <v>1715</v>
      </c>
      <c r="E328" s="179">
        <v>4</v>
      </c>
      <c r="F328" s="175" t="s">
        <v>1716</v>
      </c>
      <c r="G328" s="175" t="s">
        <v>126</v>
      </c>
      <c r="H328" s="181" t="s">
        <v>1025</v>
      </c>
      <c r="I328" s="175" t="s">
        <v>937</v>
      </c>
      <c r="J328" s="6">
        <f>IF(ISERROR(VLOOKUP(A328,'8080 Op to Hex'!$A:$A,1,0)),0,1)</f>
        <v>0</v>
      </c>
      <c r="K328" s="6" cm="1">
        <f t="array" ref="K328">HlpGetInstructionSize(A328,B328,C328)</f>
        <v>1</v>
      </c>
      <c r="L328" s="6">
        <f t="shared" si="5"/>
        <v>1</v>
      </c>
    </row>
    <row r="329" spans="1:12">
      <c r="A329" s="175" t="s">
        <v>1134</v>
      </c>
      <c r="B329" s="175" t="s">
        <v>1380</v>
      </c>
      <c r="C329" s="175" t="s">
        <v>265</v>
      </c>
      <c r="D329" s="177" t="s">
        <v>1717</v>
      </c>
      <c r="E329" s="179">
        <v>4</v>
      </c>
      <c r="F329" s="175" t="s">
        <v>1718</v>
      </c>
      <c r="G329" s="175" t="s">
        <v>126</v>
      </c>
      <c r="H329" s="181" t="s">
        <v>1025</v>
      </c>
      <c r="I329" s="175" t="s">
        <v>938</v>
      </c>
      <c r="J329" s="6">
        <f>IF(ISERROR(VLOOKUP(A329,'8080 Op to Hex'!$A:$A,1,0)),0,1)</f>
        <v>0</v>
      </c>
      <c r="K329" s="6" cm="1">
        <f t="array" ref="K329">HlpGetInstructionSize(A329,B329,C329)</f>
        <v>1</v>
      </c>
      <c r="L329" s="6">
        <f t="shared" si="5"/>
        <v>1</v>
      </c>
    </row>
    <row r="330" spans="1:12">
      <c r="A330" s="175" t="s">
        <v>1134</v>
      </c>
      <c r="B330" s="175" t="s">
        <v>1380</v>
      </c>
      <c r="C330" s="175" t="s">
        <v>303</v>
      </c>
      <c r="D330" s="177" t="s">
        <v>1719</v>
      </c>
      <c r="E330" s="179">
        <v>4</v>
      </c>
      <c r="F330" s="175" t="s">
        <v>1720</v>
      </c>
      <c r="G330" s="175" t="s">
        <v>126</v>
      </c>
      <c r="H330" s="181" t="s">
        <v>1025</v>
      </c>
      <c r="I330" s="175" t="s">
        <v>939</v>
      </c>
      <c r="J330" s="6">
        <f>IF(ISERROR(VLOOKUP(A330,'8080 Op to Hex'!$A:$A,1,0)),0,1)</f>
        <v>0</v>
      </c>
      <c r="K330" s="6" cm="1">
        <f t="array" ref="K330">HlpGetInstructionSize(A330,B330,C330)</f>
        <v>1</v>
      </c>
      <c r="L330" s="6">
        <f t="shared" si="5"/>
        <v>1</v>
      </c>
    </row>
    <row r="331" spans="1:12">
      <c r="A331" s="175" t="s">
        <v>1134</v>
      </c>
      <c r="B331" s="175" t="s">
        <v>1380</v>
      </c>
      <c r="C331" s="175" t="s">
        <v>327</v>
      </c>
      <c r="D331" s="177" t="s">
        <v>1721</v>
      </c>
      <c r="E331" s="179">
        <v>4</v>
      </c>
      <c r="F331" s="175" t="s">
        <v>1722</v>
      </c>
      <c r="G331" s="175" t="s">
        <v>126</v>
      </c>
      <c r="H331" s="181" t="s">
        <v>1025</v>
      </c>
      <c r="I331" s="175" t="s">
        <v>940</v>
      </c>
      <c r="J331" s="6">
        <f>IF(ISERROR(VLOOKUP(A331,'8080 Op to Hex'!$A:$A,1,0)),0,1)</f>
        <v>0</v>
      </c>
      <c r="K331" s="6" cm="1">
        <f t="array" ref="K331">HlpGetInstructionSize(A331,B331,C331)</f>
        <v>1</v>
      </c>
      <c r="L331" s="6">
        <f t="shared" si="5"/>
        <v>1</v>
      </c>
    </row>
    <row r="332" spans="1:12">
      <c r="A332" s="175" t="s">
        <v>1134</v>
      </c>
      <c r="B332" s="175" t="s">
        <v>1380</v>
      </c>
      <c r="C332" s="175" t="s">
        <v>1452</v>
      </c>
      <c r="D332" s="177" t="s">
        <v>1723</v>
      </c>
      <c r="E332" s="179">
        <v>5</v>
      </c>
      <c r="F332" s="175" t="s">
        <v>1724</v>
      </c>
      <c r="G332" s="175" t="s">
        <v>126</v>
      </c>
      <c r="H332" s="181" t="s">
        <v>1025</v>
      </c>
      <c r="I332" s="175" t="s">
        <v>903</v>
      </c>
      <c r="J332" s="6">
        <f>IF(ISERROR(VLOOKUP(A332,'8080 Op to Hex'!$A:$A,1,0)),0,1)</f>
        <v>0</v>
      </c>
      <c r="K332" s="6" cm="1">
        <f t="array" ref="K332">HlpGetInstructionSize(A332,B332,C332)</f>
        <v>1</v>
      </c>
      <c r="L332" s="6">
        <f t="shared" si="5"/>
        <v>1</v>
      </c>
    </row>
    <row r="333" spans="1:12">
      <c r="A333" s="175" t="s">
        <v>1134</v>
      </c>
      <c r="B333" s="175" t="s">
        <v>1453</v>
      </c>
      <c r="C333" s="175" t="s">
        <v>146</v>
      </c>
      <c r="D333" s="177" t="s">
        <v>901</v>
      </c>
      <c r="E333" s="179">
        <v>3</v>
      </c>
      <c r="F333" s="175" t="s">
        <v>1405</v>
      </c>
      <c r="G333" s="175" t="s">
        <v>1211</v>
      </c>
      <c r="H333" s="181"/>
      <c r="I333" s="175" t="s">
        <v>901</v>
      </c>
      <c r="J333" s="6">
        <f>IF(ISERROR(VLOOKUP(A333,'8080 Op to Hex'!$A:$A,1,0)),0,1)</f>
        <v>0</v>
      </c>
      <c r="K333" s="6" cm="1">
        <f t="array" ref="K333">HlpGetInstructionSize(A333,B333,C333)</f>
        <v>1</v>
      </c>
      <c r="L333" s="6">
        <f t="shared" si="5"/>
        <v>1</v>
      </c>
    </row>
    <row r="334" spans="1:12">
      <c r="A334" s="175" t="s">
        <v>1134</v>
      </c>
      <c r="B334" s="175" t="s">
        <v>1453</v>
      </c>
      <c r="C334" s="175" t="s">
        <v>1221</v>
      </c>
      <c r="D334" s="177" t="s">
        <v>202</v>
      </c>
      <c r="E334" s="179">
        <v>3</v>
      </c>
      <c r="F334" s="175" t="s">
        <v>1239</v>
      </c>
      <c r="G334" s="175" t="s">
        <v>1211</v>
      </c>
      <c r="H334" s="181"/>
      <c r="I334" s="175" t="s">
        <v>202</v>
      </c>
      <c r="J334" s="6">
        <f>IF(ISERROR(VLOOKUP(A334,'8080 Op to Hex'!$A:$A,1,0)),0,1)</f>
        <v>0</v>
      </c>
      <c r="K334" s="6" cm="1">
        <f t="array" ref="K334">HlpGetInstructionSize(A334,B334,C334)</f>
        <v>1</v>
      </c>
      <c r="L334" s="6">
        <f t="shared" si="5"/>
        <v>1</v>
      </c>
    </row>
    <row r="335" spans="1:12">
      <c r="A335" s="175" t="s">
        <v>1134</v>
      </c>
      <c r="B335" s="175" t="s">
        <v>1221</v>
      </c>
      <c r="C335" s="175" t="s">
        <v>2193</v>
      </c>
      <c r="D335" s="177" t="s">
        <v>372</v>
      </c>
      <c r="E335" s="179">
        <v>3</v>
      </c>
      <c r="F335" s="175" t="s">
        <v>1404</v>
      </c>
      <c r="G335" s="175" t="s">
        <v>1211</v>
      </c>
      <c r="H335" s="181"/>
      <c r="I335" s="175" t="s">
        <v>372</v>
      </c>
      <c r="J335" s="6">
        <f>IF(ISERROR(VLOOKUP(A335,'8080 Op to Hex'!$A:$A,1,0)),0,1)</f>
        <v>0</v>
      </c>
      <c r="K335" s="6" cm="1">
        <f t="array" ref="K335">HlpGetInstructionSize(A335,B335,C335)</f>
        <v>1</v>
      </c>
      <c r="L335" s="6">
        <f t="shared" si="5"/>
        <v>1</v>
      </c>
    </row>
    <row r="336" spans="1:12">
      <c r="A336" s="175" t="s">
        <v>1134</v>
      </c>
      <c r="B336" s="175" t="s">
        <v>336</v>
      </c>
      <c r="C336" s="175" t="s">
        <v>2193</v>
      </c>
      <c r="D336" s="177" t="s">
        <v>1725</v>
      </c>
      <c r="E336" s="179">
        <v>4</v>
      </c>
      <c r="F336" s="175" t="s">
        <v>1726</v>
      </c>
      <c r="G336" s="175" t="s">
        <v>1211</v>
      </c>
      <c r="H336" s="181" t="s">
        <v>842</v>
      </c>
      <c r="I336" s="175" t="s">
        <v>584</v>
      </c>
      <c r="J336" s="6">
        <f>IF(ISERROR(VLOOKUP(A336,'8080 Op to Hex'!$A:$A,1,0)),0,1)</f>
        <v>0</v>
      </c>
      <c r="K336" s="6" cm="1">
        <f t="array" ref="K336">HlpGetInstructionSize(A336,B336,C336)</f>
        <v>1</v>
      </c>
      <c r="L336" s="6">
        <f t="shared" si="5"/>
        <v>1</v>
      </c>
    </row>
    <row r="337" spans="1:12">
      <c r="A337" s="175" t="s">
        <v>1134</v>
      </c>
      <c r="B337" s="175" t="s">
        <v>811</v>
      </c>
      <c r="C337" s="175" t="s">
        <v>2193</v>
      </c>
      <c r="D337" s="177" t="s">
        <v>1727</v>
      </c>
      <c r="E337" s="179">
        <v>4</v>
      </c>
      <c r="F337" s="175" t="s">
        <v>1728</v>
      </c>
      <c r="G337" s="175" t="s">
        <v>1211</v>
      </c>
      <c r="H337" s="181" t="s">
        <v>842</v>
      </c>
      <c r="I337" s="175" t="s">
        <v>605</v>
      </c>
      <c r="J337" s="6">
        <f>IF(ISERROR(VLOOKUP(A337,'8080 Op to Hex'!$A:$A,1,0)),0,1)</f>
        <v>0</v>
      </c>
      <c r="K337" s="6" cm="1">
        <f t="array" ref="K337">HlpGetInstructionSize(A337,B337,C337)</f>
        <v>1</v>
      </c>
      <c r="L337" s="6">
        <f t="shared" si="5"/>
        <v>1</v>
      </c>
    </row>
    <row r="338" spans="1:12">
      <c r="A338" s="175" t="s">
        <v>1134</v>
      </c>
      <c r="B338" s="175" t="s">
        <v>114</v>
      </c>
      <c r="C338" s="175" t="s">
        <v>2193</v>
      </c>
      <c r="D338" s="177" t="s">
        <v>1729</v>
      </c>
      <c r="E338" s="179">
        <v>4</v>
      </c>
      <c r="F338" s="175" t="s">
        <v>1730</v>
      </c>
      <c r="G338" s="175" t="s">
        <v>1211</v>
      </c>
      <c r="H338" s="181" t="s">
        <v>842</v>
      </c>
      <c r="I338" s="175" t="s">
        <v>649</v>
      </c>
      <c r="J338" s="6">
        <f>IF(ISERROR(VLOOKUP(A338,'8080 Op to Hex'!$A:$A,1,0)),0,1)</f>
        <v>0</v>
      </c>
      <c r="K338" s="6" cm="1">
        <f t="array" ref="K338">HlpGetInstructionSize(A338,B338,C338)</f>
        <v>1</v>
      </c>
      <c r="L338" s="6">
        <f t="shared" si="5"/>
        <v>1</v>
      </c>
    </row>
    <row r="339" spans="1:12">
      <c r="A339" s="175" t="s">
        <v>1134</v>
      </c>
      <c r="B339" s="175" t="s">
        <v>1149</v>
      </c>
      <c r="C339" s="175" t="s">
        <v>2193</v>
      </c>
      <c r="D339" s="177" t="s">
        <v>1731</v>
      </c>
      <c r="E339" s="179">
        <v>4</v>
      </c>
      <c r="F339" s="175" t="s">
        <v>1732</v>
      </c>
      <c r="G339" s="175" t="s">
        <v>1211</v>
      </c>
      <c r="H339" s="181" t="s">
        <v>810</v>
      </c>
      <c r="I339" s="175" t="s">
        <v>372</v>
      </c>
      <c r="J339" s="6">
        <f>IF(ISERROR(VLOOKUP(A339,'8080 Op to Hex'!$A:$A,1,0)),0,1)</f>
        <v>0</v>
      </c>
      <c r="K339" s="6" cm="1">
        <f t="array" ref="K339">HlpGetInstructionSize(A339,B339,C339)</f>
        <v>1</v>
      </c>
      <c r="L339" s="6">
        <f t="shared" si="5"/>
        <v>1</v>
      </c>
    </row>
    <row r="340" spans="1:12">
      <c r="A340" s="175" t="s">
        <v>1134</v>
      </c>
      <c r="B340" s="175" t="s">
        <v>1400</v>
      </c>
      <c r="C340" s="175" t="s">
        <v>2193</v>
      </c>
      <c r="D340" s="177" t="s">
        <v>1733</v>
      </c>
      <c r="E340" s="179">
        <v>4</v>
      </c>
      <c r="F340" s="175" t="s">
        <v>1734</v>
      </c>
      <c r="G340" s="175" t="s">
        <v>1211</v>
      </c>
      <c r="H340" s="181" t="s">
        <v>1025</v>
      </c>
      <c r="I340" s="175" t="s">
        <v>372</v>
      </c>
      <c r="J340" s="6">
        <f>IF(ISERROR(VLOOKUP(A340,'8080 Op to Hex'!$A:$A,1,0)),0,1)</f>
        <v>0</v>
      </c>
      <c r="K340" s="6" cm="1">
        <f t="array" ref="K340">HlpGetInstructionSize(A340,B340,C340)</f>
        <v>1</v>
      </c>
      <c r="L340" s="6">
        <f t="shared" si="5"/>
        <v>1</v>
      </c>
    </row>
    <row r="341" spans="1:12">
      <c r="A341" s="175" t="s">
        <v>1134</v>
      </c>
      <c r="B341" s="175" t="s">
        <v>2193</v>
      </c>
      <c r="C341" s="175" t="s">
        <v>336</v>
      </c>
      <c r="D341" s="177" t="s">
        <v>1735</v>
      </c>
      <c r="E341" s="179">
        <v>4</v>
      </c>
      <c r="F341" s="175" t="s">
        <v>1736</v>
      </c>
      <c r="G341" s="175" t="s">
        <v>1211</v>
      </c>
      <c r="H341" s="181" t="s">
        <v>842</v>
      </c>
      <c r="I341" s="175" t="s">
        <v>909</v>
      </c>
      <c r="J341" s="6">
        <f>IF(ISERROR(VLOOKUP(A341,'8080 Op to Hex'!$A:$A,1,0)),0,1)</f>
        <v>0</v>
      </c>
      <c r="K341" s="6" cm="1">
        <f t="array" ref="K341">HlpGetInstructionSize(A341,B341,C341)</f>
        <v>1</v>
      </c>
      <c r="L341" s="6">
        <f t="shared" si="5"/>
        <v>1</v>
      </c>
    </row>
    <row r="342" spans="1:12">
      <c r="A342" s="175" t="s">
        <v>1134</v>
      </c>
      <c r="B342" s="175" t="s">
        <v>2193</v>
      </c>
      <c r="C342" s="175" t="s">
        <v>811</v>
      </c>
      <c r="D342" s="177" t="s">
        <v>1737</v>
      </c>
      <c r="E342" s="179">
        <v>4</v>
      </c>
      <c r="F342" s="175" t="s">
        <v>1738</v>
      </c>
      <c r="G342" s="175" t="s">
        <v>1211</v>
      </c>
      <c r="H342" s="181" t="s">
        <v>842</v>
      </c>
      <c r="I342" s="175" t="s">
        <v>919</v>
      </c>
      <c r="J342" s="6">
        <f>IF(ISERROR(VLOOKUP(A342,'8080 Op to Hex'!$A:$A,1,0)),0,1)</f>
        <v>0</v>
      </c>
      <c r="K342" s="6" cm="1">
        <f t="array" ref="K342">HlpGetInstructionSize(A342,B342,C342)</f>
        <v>1</v>
      </c>
      <c r="L342" s="6">
        <f t="shared" si="5"/>
        <v>1</v>
      </c>
    </row>
    <row r="343" spans="1:12">
      <c r="A343" s="175" t="s">
        <v>1134</v>
      </c>
      <c r="B343" s="175" t="s">
        <v>2193</v>
      </c>
      <c r="C343" s="175" t="s">
        <v>114</v>
      </c>
      <c r="D343" s="177" t="s">
        <v>1739</v>
      </c>
      <c r="E343" s="179">
        <v>4</v>
      </c>
      <c r="F343" s="175" t="s">
        <v>1740</v>
      </c>
      <c r="G343" s="175" t="s">
        <v>1211</v>
      </c>
      <c r="H343" s="181" t="s">
        <v>842</v>
      </c>
      <c r="I343" s="175" t="s">
        <v>938</v>
      </c>
      <c r="J343" s="6">
        <f>IF(ISERROR(VLOOKUP(A343,'8080 Op to Hex'!$A:$A,1,0)),0,1)</f>
        <v>0</v>
      </c>
      <c r="K343" s="6" cm="1">
        <f t="array" ref="K343">HlpGetInstructionSize(A343,B343,C343)</f>
        <v>1</v>
      </c>
      <c r="L343" s="6">
        <f t="shared" si="5"/>
        <v>1</v>
      </c>
    </row>
    <row r="344" spans="1:12">
      <c r="A344" s="175" t="s">
        <v>1134</v>
      </c>
      <c r="B344" s="175" t="s">
        <v>2193</v>
      </c>
      <c r="C344" s="175" t="s">
        <v>1149</v>
      </c>
      <c r="D344" s="177" t="s">
        <v>1741</v>
      </c>
      <c r="E344" s="179">
        <v>4</v>
      </c>
      <c r="F344" s="175" t="s">
        <v>1742</v>
      </c>
      <c r="G344" s="175" t="s">
        <v>1211</v>
      </c>
      <c r="H344" s="181" t="s">
        <v>810</v>
      </c>
      <c r="I344" s="175" t="s">
        <v>202</v>
      </c>
      <c r="J344" s="6">
        <f>IF(ISERROR(VLOOKUP(A344,'8080 Op to Hex'!$A:$A,1,0)),0,1)</f>
        <v>0</v>
      </c>
      <c r="K344" s="6" cm="1">
        <f t="array" ref="K344">HlpGetInstructionSize(A344,B344,C344)</f>
        <v>1</v>
      </c>
      <c r="L344" s="6">
        <f t="shared" si="5"/>
        <v>1</v>
      </c>
    </row>
    <row r="345" spans="1:12">
      <c r="A345" s="175" t="s">
        <v>1134</v>
      </c>
      <c r="B345" s="175" t="s">
        <v>2193</v>
      </c>
      <c r="C345" s="175" t="s">
        <v>1400</v>
      </c>
      <c r="D345" s="177" t="s">
        <v>1743</v>
      </c>
      <c r="E345" s="179">
        <v>4</v>
      </c>
      <c r="F345" s="175" t="s">
        <v>1744</v>
      </c>
      <c r="G345" s="175" t="s">
        <v>1211</v>
      </c>
      <c r="H345" s="181" t="s">
        <v>1025</v>
      </c>
      <c r="I345" s="175" t="s">
        <v>202</v>
      </c>
      <c r="J345" s="6">
        <f>IF(ISERROR(VLOOKUP(A345,'8080 Op to Hex'!$A:$A,1,0)),0,1)</f>
        <v>0</v>
      </c>
      <c r="K345" s="6" cm="1">
        <f t="array" ref="K345">HlpGetInstructionSize(A345,B345,C345)</f>
        <v>1</v>
      </c>
      <c r="L345" s="6">
        <f t="shared" si="5"/>
        <v>1</v>
      </c>
    </row>
    <row r="346" spans="1:12">
      <c r="A346" s="175" t="s">
        <v>1745</v>
      </c>
      <c r="B346" s="175"/>
      <c r="C346" s="175"/>
      <c r="D346" s="177" t="s">
        <v>1746</v>
      </c>
      <c r="E346" s="179">
        <v>2</v>
      </c>
      <c r="F346" s="175" t="s">
        <v>1747</v>
      </c>
      <c r="G346" s="175" t="s">
        <v>1387</v>
      </c>
      <c r="H346" s="181" t="s">
        <v>842</v>
      </c>
      <c r="I346" s="175" t="s">
        <v>717</v>
      </c>
      <c r="J346" s="6">
        <f>IF(ISERROR(VLOOKUP(A346,'8080 Op to Hex'!$A:$A,1,0)),0,1)</f>
        <v>0</v>
      </c>
      <c r="K346" s="6" cm="1">
        <f t="array" ref="K346">HlpGetInstructionSize(A346,B346,C346)</f>
        <v>1</v>
      </c>
      <c r="L346" s="6">
        <f t="shared" si="5"/>
        <v>1</v>
      </c>
    </row>
    <row r="347" spans="1:12">
      <c r="A347" s="175" t="s">
        <v>1388</v>
      </c>
      <c r="B347" s="175"/>
      <c r="C347" s="175"/>
      <c r="D347" s="177" t="s">
        <v>1389</v>
      </c>
      <c r="E347" s="179">
        <v>2</v>
      </c>
      <c r="F347" s="175" t="s">
        <v>1390</v>
      </c>
      <c r="G347" s="175" t="s">
        <v>1387</v>
      </c>
      <c r="H347" s="181" t="s">
        <v>842</v>
      </c>
      <c r="I347" s="175" t="s">
        <v>738</v>
      </c>
      <c r="J347" s="6">
        <f>IF(ISERROR(VLOOKUP(A347,'8080 Op to Hex'!$A:$A,1,0)),0,1)</f>
        <v>0</v>
      </c>
      <c r="K347" s="6" cm="1">
        <f t="array" ref="K347">HlpGetInstructionSize(A347,B347,C347)</f>
        <v>1</v>
      </c>
      <c r="L347" s="6">
        <f t="shared" si="5"/>
        <v>1</v>
      </c>
    </row>
    <row r="348" spans="1:12">
      <c r="A348" s="175" t="s">
        <v>1748</v>
      </c>
      <c r="B348" s="175"/>
      <c r="C348" s="175"/>
      <c r="D348" s="177" t="s">
        <v>1749</v>
      </c>
      <c r="E348" s="179">
        <v>2</v>
      </c>
      <c r="F348" s="175" t="s">
        <v>1750</v>
      </c>
      <c r="G348" s="175" t="s">
        <v>1387</v>
      </c>
      <c r="H348" s="181" t="s">
        <v>842</v>
      </c>
      <c r="I348" s="175" t="s">
        <v>701</v>
      </c>
      <c r="J348" s="6">
        <f>IF(ISERROR(VLOOKUP(A348,'8080 Op to Hex'!$A:$A,1,0)),0,1)</f>
        <v>0</v>
      </c>
      <c r="K348" s="6" cm="1">
        <f t="array" ref="K348">HlpGetInstructionSize(A348,B348,C348)</f>
        <v>1</v>
      </c>
      <c r="L348" s="6">
        <f t="shared" si="5"/>
        <v>1</v>
      </c>
    </row>
    <row r="349" spans="1:12">
      <c r="A349" s="175" t="s">
        <v>1384</v>
      </c>
      <c r="B349" s="175"/>
      <c r="C349" s="175"/>
      <c r="D349" s="177" t="s">
        <v>1385</v>
      </c>
      <c r="E349" s="179">
        <v>2</v>
      </c>
      <c r="F349" s="175" t="s">
        <v>1386</v>
      </c>
      <c r="G349" s="175" t="s">
        <v>1387</v>
      </c>
      <c r="H349" s="181" t="s">
        <v>842</v>
      </c>
      <c r="I349" s="175" t="s">
        <v>495</v>
      </c>
      <c r="J349" s="6">
        <f>IF(ISERROR(VLOOKUP(A349,'8080 Op to Hex'!$A:$A,1,0)),0,1)</f>
        <v>0</v>
      </c>
      <c r="K349" s="6" cm="1">
        <f t="array" ref="K349">HlpGetInstructionSize(A349,B349,C349)</f>
        <v>1</v>
      </c>
      <c r="L349" s="6">
        <f t="shared" si="5"/>
        <v>1</v>
      </c>
    </row>
    <row r="350" spans="1:12">
      <c r="A350" s="175" t="s">
        <v>357</v>
      </c>
      <c r="B350" s="175"/>
      <c r="C350" s="175"/>
      <c r="D350" s="177" t="s">
        <v>1751</v>
      </c>
      <c r="E350" s="179">
        <v>2</v>
      </c>
      <c r="F350" s="175" t="s">
        <v>1752</v>
      </c>
      <c r="G350" s="175" t="s">
        <v>1127</v>
      </c>
      <c r="H350" s="181" t="s">
        <v>842</v>
      </c>
      <c r="I350" s="175" t="s">
        <v>910</v>
      </c>
      <c r="J350" s="6">
        <f>IF(ISERROR(VLOOKUP(A350,'8080 Op to Hex'!$A:$A,1,0)),0,1)</f>
        <v>0</v>
      </c>
      <c r="K350" s="6" cm="1">
        <f t="array" ref="K350">HlpGetInstructionSize(A350,B350,C350)</f>
        <v>1</v>
      </c>
      <c r="L350" s="6">
        <f t="shared" si="5"/>
        <v>1</v>
      </c>
    </row>
    <row r="351" spans="1:12">
      <c r="A351" s="175" t="s">
        <v>110</v>
      </c>
      <c r="B351" s="175"/>
      <c r="C351" s="175"/>
      <c r="D351" s="177" t="s">
        <v>215</v>
      </c>
      <c r="E351" s="179">
        <v>1</v>
      </c>
      <c r="F351" s="175" t="s">
        <v>498</v>
      </c>
      <c r="G351" s="175" t="s">
        <v>1208</v>
      </c>
      <c r="H351" s="181"/>
      <c r="I351" s="175" t="s">
        <v>215</v>
      </c>
      <c r="J351" s="6">
        <f>IF(ISERROR(VLOOKUP(A351,'8080 Op to Hex'!$A:$A,1,0)),0,1)</f>
        <v>1</v>
      </c>
      <c r="K351" s="6" cm="1">
        <f t="array" ref="K351">HlpGetInstructionSize(A351,B351,C351)</f>
        <v>1</v>
      </c>
      <c r="L351" s="6">
        <f t="shared" si="5"/>
        <v>0</v>
      </c>
    </row>
    <row r="352" spans="1:12">
      <c r="A352" s="175" t="s">
        <v>1294</v>
      </c>
      <c r="B352" s="175" t="s">
        <v>146</v>
      </c>
      <c r="C352" s="175" t="s">
        <v>1238</v>
      </c>
      <c r="D352" s="177" t="s">
        <v>488</v>
      </c>
      <c r="E352" s="179">
        <v>1</v>
      </c>
      <c r="F352" s="175" t="s">
        <v>1301</v>
      </c>
      <c r="G352" s="175" t="s">
        <v>172</v>
      </c>
      <c r="H352" s="181"/>
      <c r="I352" s="175" t="s">
        <v>488</v>
      </c>
      <c r="J352" s="6">
        <f>IF(ISERROR(VLOOKUP(A352,'8080 Op to Hex'!$A:$A,1,0)),0,1)</f>
        <v>0</v>
      </c>
      <c r="K352" s="6" cm="1">
        <f t="array" ref="K352">HlpGetInstructionSize(A352,B352,C352)</f>
        <v>1</v>
      </c>
      <c r="L352" s="6">
        <f>IF(E352&lt;&gt;K352,1,0)</f>
        <v>0</v>
      </c>
    </row>
    <row r="353" spans="1:12">
      <c r="A353" s="175" t="s">
        <v>1294</v>
      </c>
      <c r="B353" s="175" t="s">
        <v>146</v>
      </c>
      <c r="C353" s="175" t="s">
        <v>1377</v>
      </c>
      <c r="D353" s="177" t="s">
        <v>1426</v>
      </c>
      <c r="E353" s="179">
        <v>4</v>
      </c>
      <c r="F353" s="175" t="s">
        <v>1427</v>
      </c>
      <c r="G353" s="175" t="s">
        <v>126</v>
      </c>
      <c r="H353" s="181" t="s">
        <v>810</v>
      </c>
      <c r="I353" s="175" t="s">
        <v>488</v>
      </c>
      <c r="J353" s="6">
        <f>IF(ISERROR(VLOOKUP(A353,'8080 Op to Hex'!$A:$A,1,0)),0,1)</f>
        <v>0</v>
      </c>
      <c r="K353" s="6" cm="1">
        <f t="array" ref="K353">HlpGetInstructionSize(A353,B353,C353)</f>
        <v>1</v>
      </c>
      <c r="L353" s="6">
        <f t="shared" si="5"/>
        <v>1</v>
      </c>
    </row>
    <row r="354" spans="1:12">
      <c r="A354" s="175" t="s">
        <v>1294</v>
      </c>
      <c r="B354" s="175" t="s">
        <v>146</v>
      </c>
      <c r="C354" s="175" t="s">
        <v>1380</v>
      </c>
      <c r="D354" s="177" t="s">
        <v>1428</v>
      </c>
      <c r="E354" s="179">
        <v>4</v>
      </c>
      <c r="F354" s="175" t="s">
        <v>1429</v>
      </c>
      <c r="G354" s="175" t="s">
        <v>126</v>
      </c>
      <c r="H354" s="181" t="s">
        <v>1025</v>
      </c>
      <c r="I354" s="175" t="s">
        <v>488</v>
      </c>
      <c r="J354" s="6">
        <f>IF(ISERROR(VLOOKUP(A354,'8080 Op to Hex'!$A:$A,1,0)),0,1)</f>
        <v>0</v>
      </c>
      <c r="K354" s="6" cm="1">
        <f t="array" ref="K354">HlpGetInstructionSize(A354,B354,C354)</f>
        <v>1</v>
      </c>
      <c r="L354" s="6">
        <f t="shared" si="5"/>
        <v>1</v>
      </c>
    </row>
    <row r="355" spans="1:12">
      <c r="A355" s="175" t="s">
        <v>1294</v>
      </c>
      <c r="B355" s="175" t="s">
        <v>146</v>
      </c>
      <c r="C355" s="175" t="s">
        <v>146</v>
      </c>
      <c r="D355" s="177" t="s">
        <v>487</v>
      </c>
      <c r="E355" s="179">
        <v>1</v>
      </c>
      <c r="F355" s="175" t="s">
        <v>1302</v>
      </c>
      <c r="G355" s="175" t="s">
        <v>172</v>
      </c>
      <c r="H355" s="181"/>
      <c r="I355" s="175" t="s">
        <v>487</v>
      </c>
      <c r="J355" s="6">
        <f>IF(ISERROR(VLOOKUP(A355,'8080 Op to Hex'!$A:$A,1,0)),0,1)</f>
        <v>0</v>
      </c>
      <c r="K355" s="6" cm="1">
        <f t="array" ref="K355">HlpGetInstructionSize(A355,B355,C355)</f>
        <v>1</v>
      </c>
      <c r="L355" s="6">
        <f>IF(E355&lt;&gt;K355,1,0)</f>
        <v>0</v>
      </c>
    </row>
    <row r="356" spans="1:12">
      <c r="A356" s="175" t="s">
        <v>1294</v>
      </c>
      <c r="B356" s="175" t="s">
        <v>146</v>
      </c>
      <c r="C356" s="175" t="s">
        <v>144</v>
      </c>
      <c r="D356" s="177" t="s">
        <v>495</v>
      </c>
      <c r="E356" s="179">
        <v>1</v>
      </c>
      <c r="F356" s="175" t="s">
        <v>1295</v>
      </c>
      <c r="G356" s="175" t="s">
        <v>172</v>
      </c>
      <c r="H356" s="181"/>
      <c r="I356" s="175" t="s">
        <v>495</v>
      </c>
      <c r="J356" s="6">
        <f>IF(ISERROR(VLOOKUP(A356,'8080 Op to Hex'!$A:$A,1,0)),0,1)</f>
        <v>0</v>
      </c>
      <c r="K356" s="6" cm="1">
        <f t="array" ref="K356">HlpGetInstructionSize(A356,B356,C356)</f>
        <v>1</v>
      </c>
      <c r="L356" s="6">
        <f t="shared" si="5"/>
        <v>0</v>
      </c>
    </row>
    <row r="357" spans="1:12">
      <c r="A357" s="175" t="s">
        <v>1294</v>
      </c>
      <c r="B357" s="175" t="s">
        <v>146</v>
      </c>
      <c r="C357" s="175" t="s">
        <v>182</v>
      </c>
      <c r="D357" s="177" t="s">
        <v>493</v>
      </c>
      <c r="E357" s="179">
        <v>1</v>
      </c>
      <c r="F357" s="175" t="s">
        <v>1296</v>
      </c>
      <c r="G357" s="175" t="s">
        <v>172</v>
      </c>
      <c r="H357" s="181"/>
      <c r="I357" s="175" t="s">
        <v>493</v>
      </c>
      <c r="J357" s="6">
        <f>IF(ISERROR(VLOOKUP(A357,'8080 Op to Hex'!$A:$A,1,0)),0,1)</f>
        <v>0</v>
      </c>
      <c r="K357" s="6" cm="1">
        <f t="array" ref="K357">HlpGetInstructionSize(A357,B357,C357)</f>
        <v>1</v>
      </c>
      <c r="L357" s="6">
        <f t="shared" si="5"/>
        <v>0</v>
      </c>
    </row>
    <row r="358" spans="1:12">
      <c r="A358" s="175" t="s">
        <v>1294</v>
      </c>
      <c r="B358" s="175" t="s">
        <v>146</v>
      </c>
      <c r="C358" s="175" t="s">
        <v>183</v>
      </c>
      <c r="D358" s="177" t="s">
        <v>492</v>
      </c>
      <c r="E358" s="179">
        <v>1</v>
      </c>
      <c r="F358" s="175" t="s">
        <v>1297</v>
      </c>
      <c r="G358" s="175" t="s">
        <v>172</v>
      </c>
      <c r="H358" s="181"/>
      <c r="I358" s="175" t="s">
        <v>492</v>
      </c>
      <c r="J358" s="6">
        <f>IF(ISERROR(VLOOKUP(A358,'8080 Op to Hex'!$A:$A,1,0)),0,1)</f>
        <v>0</v>
      </c>
      <c r="K358" s="6" cm="1">
        <f t="array" ref="K358">HlpGetInstructionSize(A358,B358,C358)</f>
        <v>1</v>
      </c>
      <c r="L358" s="6">
        <f t="shared" si="5"/>
        <v>0</v>
      </c>
    </row>
    <row r="359" spans="1:12">
      <c r="A359" s="175" t="s">
        <v>1294</v>
      </c>
      <c r="B359" s="175" t="s">
        <v>146</v>
      </c>
      <c r="C359" s="175" t="s">
        <v>265</v>
      </c>
      <c r="D359" s="177" t="s">
        <v>491</v>
      </c>
      <c r="E359" s="179">
        <v>1</v>
      </c>
      <c r="F359" s="175" t="s">
        <v>1298</v>
      </c>
      <c r="G359" s="175" t="s">
        <v>172</v>
      </c>
      <c r="H359" s="181"/>
      <c r="I359" s="175" t="s">
        <v>491</v>
      </c>
      <c r="J359" s="6">
        <f>IF(ISERROR(VLOOKUP(A359,'8080 Op to Hex'!$A:$A,1,0)),0,1)</f>
        <v>0</v>
      </c>
      <c r="K359" s="6" cm="1">
        <f t="array" ref="K359">HlpGetInstructionSize(A359,B359,C359)</f>
        <v>1</v>
      </c>
      <c r="L359" s="6">
        <f t="shared" si="5"/>
        <v>0</v>
      </c>
    </row>
    <row r="360" spans="1:12">
      <c r="A360" s="175" t="s">
        <v>1294</v>
      </c>
      <c r="B360" s="175" t="s">
        <v>146</v>
      </c>
      <c r="C360" s="175" t="s">
        <v>303</v>
      </c>
      <c r="D360" s="177" t="s">
        <v>490</v>
      </c>
      <c r="E360" s="179">
        <v>1</v>
      </c>
      <c r="F360" s="175" t="s">
        <v>1299</v>
      </c>
      <c r="G360" s="175" t="s">
        <v>172</v>
      </c>
      <c r="H360" s="181"/>
      <c r="I360" s="175" t="s">
        <v>490</v>
      </c>
      <c r="J360" s="6">
        <f>IF(ISERROR(VLOOKUP(A360,'8080 Op to Hex'!$A:$A,1,0)),0,1)</f>
        <v>0</v>
      </c>
      <c r="K360" s="6" cm="1">
        <f t="array" ref="K360">HlpGetInstructionSize(A360,B360,C360)</f>
        <v>1</v>
      </c>
      <c r="L360" s="6">
        <f t="shared" si="5"/>
        <v>0</v>
      </c>
    </row>
    <row r="361" spans="1:12">
      <c r="A361" s="175" t="s">
        <v>1294</v>
      </c>
      <c r="B361" s="175" t="s">
        <v>146</v>
      </c>
      <c r="C361" s="175" t="s">
        <v>327</v>
      </c>
      <c r="D361" s="177" t="s">
        <v>489</v>
      </c>
      <c r="E361" s="179">
        <v>1</v>
      </c>
      <c r="F361" s="175" t="s">
        <v>1300</v>
      </c>
      <c r="G361" s="175" t="s">
        <v>172</v>
      </c>
      <c r="H361" s="181"/>
      <c r="I361" s="175" t="s">
        <v>489</v>
      </c>
      <c r="J361" s="6">
        <f>IF(ISERROR(VLOOKUP(A361,'8080 Op to Hex'!$A:$A,1,0)),0,1)</f>
        <v>0</v>
      </c>
      <c r="K361" s="6" cm="1">
        <f t="array" ref="K361">HlpGetInstructionSize(A361,B361,C361)</f>
        <v>1</v>
      </c>
      <c r="L361" s="6">
        <f t="shared" si="5"/>
        <v>0</v>
      </c>
    </row>
    <row r="362" spans="1:12">
      <c r="A362" s="175" t="s">
        <v>1294</v>
      </c>
      <c r="B362" s="175" t="s">
        <v>146</v>
      </c>
      <c r="C362" s="175" t="s">
        <v>1452</v>
      </c>
      <c r="D362" s="177" t="s">
        <v>976</v>
      </c>
      <c r="E362" s="179">
        <v>2</v>
      </c>
      <c r="F362" s="175" t="s">
        <v>1334</v>
      </c>
      <c r="G362" s="175" t="s">
        <v>172</v>
      </c>
      <c r="H362" s="181"/>
      <c r="I362" s="175" t="s">
        <v>976</v>
      </c>
      <c r="J362" s="6">
        <f>IF(ISERROR(VLOOKUP(A362,'8080 Op to Hex'!$A:$A,1,0)),0,1)</f>
        <v>0</v>
      </c>
      <c r="K362" s="6" cm="1">
        <f t="array" ref="K362">HlpGetInstructionSize(A362,B362,C362)</f>
        <v>1</v>
      </c>
      <c r="L362" s="6">
        <f t="shared" si="5"/>
        <v>1</v>
      </c>
    </row>
    <row r="363" spans="1:12">
      <c r="A363" s="175" t="s">
        <v>1753</v>
      </c>
      <c r="B363" s="175"/>
      <c r="C363" s="175"/>
      <c r="D363" s="177" t="s">
        <v>1754</v>
      </c>
      <c r="E363" s="179">
        <v>2</v>
      </c>
      <c r="F363" s="175" t="s">
        <v>1755</v>
      </c>
      <c r="G363" s="175" t="s">
        <v>1387</v>
      </c>
      <c r="H363" s="181" t="s">
        <v>842</v>
      </c>
      <c r="I363" s="175" t="s">
        <v>744</v>
      </c>
      <c r="J363" s="6">
        <f>IF(ISERROR(VLOOKUP(A363,'8080 Op to Hex'!$A:$A,1,0)),0,1)</f>
        <v>0</v>
      </c>
      <c r="K363" s="6" cm="1">
        <f t="array" ref="K363">HlpGetInstructionSize(A363,B363,C363)</f>
        <v>1</v>
      </c>
      <c r="L363" s="6">
        <f t="shared" si="5"/>
        <v>1</v>
      </c>
    </row>
    <row r="364" spans="1:12">
      <c r="A364" s="175" t="s">
        <v>1756</v>
      </c>
      <c r="B364" s="175"/>
      <c r="C364" s="175"/>
      <c r="D364" s="177" t="s">
        <v>1757</v>
      </c>
      <c r="E364" s="179">
        <v>2</v>
      </c>
      <c r="F364" s="175" t="s">
        <v>1758</v>
      </c>
      <c r="G364" s="175" t="s">
        <v>1387</v>
      </c>
      <c r="H364" s="181" t="s">
        <v>842</v>
      </c>
      <c r="I364" s="175" t="s">
        <v>491</v>
      </c>
      <c r="J364" s="6">
        <f>IF(ISERROR(VLOOKUP(A364,'8080 Op to Hex'!$A:$A,1,0)),0,1)</f>
        <v>0</v>
      </c>
      <c r="K364" s="6" cm="1">
        <f t="array" ref="K364">HlpGetInstructionSize(A364,B364,C364)</f>
        <v>1</v>
      </c>
      <c r="L364" s="6">
        <f t="shared" si="5"/>
        <v>1</v>
      </c>
    </row>
    <row r="365" spans="1:12">
      <c r="A365" s="175" t="s">
        <v>869</v>
      </c>
      <c r="B365" s="175" t="s">
        <v>1616</v>
      </c>
      <c r="C365" s="175" t="s">
        <v>146</v>
      </c>
      <c r="D365" s="177" t="s">
        <v>791</v>
      </c>
      <c r="E365" s="179">
        <v>2</v>
      </c>
      <c r="F365" s="175" t="s">
        <v>1759</v>
      </c>
      <c r="G365" s="175" t="s">
        <v>1314</v>
      </c>
      <c r="H365" s="181"/>
      <c r="I365" s="175" t="s">
        <v>791</v>
      </c>
      <c r="J365" s="6">
        <f>IF(ISERROR(VLOOKUP(A365,'8080 Op to Hex'!$A:$A,1,0)),0,1)</f>
        <v>1</v>
      </c>
      <c r="K365" s="6" cm="1">
        <f t="array" ref="K365">HlpGetInstructionSize(A365,B365,C365)</f>
        <v>1</v>
      </c>
      <c r="L365" s="6">
        <f t="shared" si="5"/>
        <v>1</v>
      </c>
    </row>
    <row r="366" spans="1:12">
      <c r="A366" s="175" t="s">
        <v>869</v>
      </c>
      <c r="B366" s="175" t="s">
        <v>1617</v>
      </c>
      <c r="C366" s="175" t="s">
        <v>146</v>
      </c>
      <c r="D366" s="177" t="s">
        <v>1760</v>
      </c>
      <c r="E366" s="179">
        <v>2</v>
      </c>
      <c r="F366" s="175" t="s">
        <v>1761</v>
      </c>
      <c r="G366" s="175" t="s">
        <v>1314</v>
      </c>
      <c r="H366" s="181" t="s">
        <v>842</v>
      </c>
      <c r="I366" s="175" t="s">
        <v>944</v>
      </c>
      <c r="J366" s="6">
        <f>IF(ISERROR(VLOOKUP(A366,'8080 Op to Hex'!$A:$A,1,0)),0,1)</f>
        <v>1</v>
      </c>
      <c r="K366" s="6" cm="1">
        <f t="array" ref="K366">HlpGetInstructionSize(A366,B366,C366)</f>
        <v>1</v>
      </c>
      <c r="L366" s="6">
        <f t="shared" si="5"/>
        <v>1</v>
      </c>
    </row>
    <row r="367" spans="1:12">
      <c r="A367" s="175" t="s">
        <v>869</v>
      </c>
      <c r="B367" s="175" t="s">
        <v>1617</v>
      </c>
      <c r="C367" s="175" t="s">
        <v>144</v>
      </c>
      <c r="D367" s="177" t="s">
        <v>1762</v>
      </c>
      <c r="E367" s="179">
        <v>2</v>
      </c>
      <c r="F367" s="175" t="s">
        <v>1763</v>
      </c>
      <c r="G367" s="175" t="s">
        <v>1314</v>
      </c>
      <c r="H367" s="181" t="s">
        <v>842</v>
      </c>
      <c r="I367" s="175" t="s">
        <v>908</v>
      </c>
      <c r="J367" s="6">
        <f>IF(ISERROR(VLOOKUP(A367,'8080 Op to Hex'!$A:$A,1,0)),0,1)</f>
        <v>1</v>
      </c>
      <c r="K367" s="6" cm="1">
        <f t="array" ref="K367">HlpGetInstructionSize(A367,B367,C367)</f>
        <v>1</v>
      </c>
      <c r="L367" s="6">
        <f t="shared" si="5"/>
        <v>1</v>
      </c>
    </row>
    <row r="368" spans="1:12">
      <c r="A368" s="175" t="s">
        <v>869</v>
      </c>
      <c r="B368" s="175" t="s">
        <v>1617</v>
      </c>
      <c r="C368" s="175" t="s">
        <v>182</v>
      </c>
      <c r="D368" s="177" t="s">
        <v>1764</v>
      </c>
      <c r="E368" s="179">
        <v>2</v>
      </c>
      <c r="F368" s="175" t="s">
        <v>1765</v>
      </c>
      <c r="G368" s="175" t="s">
        <v>1314</v>
      </c>
      <c r="H368" s="181" t="s">
        <v>842</v>
      </c>
      <c r="I368" s="175" t="s">
        <v>915</v>
      </c>
      <c r="J368" s="6">
        <f>IF(ISERROR(VLOOKUP(A368,'8080 Op to Hex'!$A:$A,1,0)),0,1)</f>
        <v>1</v>
      </c>
      <c r="K368" s="6" cm="1">
        <f t="array" ref="K368">HlpGetInstructionSize(A368,B368,C368)</f>
        <v>1</v>
      </c>
      <c r="L368" s="6">
        <f t="shared" si="5"/>
        <v>1</v>
      </c>
    </row>
    <row r="369" spans="1:12">
      <c r="A369" s="175" t="s">
        <v>869</v>
      </c>
      <c r="B369" s="175" t="s">
        <v>1617</v>
      </c>
      <c r="C369" s="175" t="s">
        <v>183</v>
      </c>
      <c r="D369" s="177" t="s">
        <v>1766</v>
      </c>
      <c r="E369" s="179">
        <v>2</v>
      </c>
      <c r="F369" s="175" t="s">
        <v>1767</v>
      </c>
      <c r="G369" s="175" t="s">
        <v>1314</v>
      </c>
      <c r="H369" s="181" t="s">
        <v>842</v>
      </c>
      <c r="I369" s="175" t="s">
        <v>917</v>
      </c>
      <c r="J369" s="6">
        <f>IF(ISERROR(VLOOKUP(A369,'8080 Op to Hex'!$A:$A,1,0)),0,1)</f>
        <v>1</v>
      </c>
      <c r="K369" s="6" cm="1">
        <f t="array" ref="K369">HlpGetInstructionSize(A369,B369,C369)</f>
        <v>1</v>
      </c>
      <c r="L369" s="6">
        <f t="shared" si="5"/>
        <v>1</v>
      </c>
    </row>
    <row r="370" spans="1:12">
      <c r="A370" s="175" t="s">
        <v>869</v>
      </c>
      <c r="B370" s="175" t="s">
        <v>1617</v>
      </c>
      <c r="C370" s="175" t="s">
        <v>265</v>
      </c>
      <c r="D370" s="177" t="s">
        <v>1768</v>
      </c>
      <c r="E370" s="179">
        <v>2</v>
      </c>
      <c r="F370" s="175" t="s">
        <v>1769</v>
      </c>
      <c r="G370" s="175" t="s">
        <v>1314</v>
      </c>
      <c r="H370" s="181" t="s">
        <v>842</v>
      </c>
      <c r="I370" s="175" t="s">
        <v>924</v>
      </c>
      <c r="J370" s="6">
        <f>IF(ISERROR(VLOOKUP(A370,'8080 Op to Hex'!$A:$A,1,0)),0,1)</f>
        <v>1</v>
      </c>
      <c r="K370" s="6" cm="1">
        <f t="array" ref="K370">HlpGetInstructionSize(A370,B370,C370)</f>
        <v>1</v>
      </c>
      <c r="L370" s="6">
        <f t="shared" si="5"/>
        <v>1</v>
      </c>
    </row>
    <row r="371" spans="1:12">
      <c r="A371" s="175" t="s">
        <v>869</v>
      </c>
      <c r="B371" s="175" t="s">
        <v>1617</v>
      </c>
      <c r="C371" s="175" t="s">
        <v>303</v>
      </c>
      <c r="D371" s="177" t="s">
        <v>1770</v>
      </c>
      <c r="E371" s="179">
        <v>2</v>
      </c>
      <c r="F371" s="175" t="s">
        <v>1771</v>
      </c>
      <c r="G371" s="175" t="s">
        <v>1314</v>
      </c>
      <c r="H371" s="181" t="s">
        <v>842</v>
      </c>
      <c r="I371" s="175" t="s">
        <v>926</v>
      </c>
      <c r="J371" s="6">
        <f>IF(ISERROR(VLOOKUP(A371,'8080 Op to Hex'!$A:$A,1,0)),0,1)</f>
        <v>1</v>
      </c>
      <c r="K371" s="6" cm="1">
        <f t="array" ref="K371">HlpGetInstructionSize(A371,B371,C371)</f>
        <v>1</v>
      </c>
      <c r="L371" s="6">
        <f t="shared" si="5"/>
        <v>1</v>
      </c>
    </row>
    <row r="372" spans="1:12">
      <c r="A372" s="175" t="s">
        <v>869</v>
      </c>
      <c r="B372" s="175" t="s">
        <v>1617</v>
      </c>
      <c r="C372" s="175" t="s">
        <v>327</v>
      </c>
      <c r="D372" s="177" t="s">
        <v>1772</v>
      </c>
      <c r="E372" s="179">
        <v>2</v>
      </c>
      <c r="F372" s="175" t="s">
        <v>1773</v>
      </c>
      <c r="G372" s="175" t="s">
        <v>1314</v>
      </c>
      <c r="H372" s="181" t="s">
        <v>842</v>
      </c>
      <c r="I372" s="175" t="s">
        <v>934</v>
      </c>
      <c r="J372" s="6">
        <f>IF(ISERROR(VLOOKUP(A372,'8080 Op to Hex'!$A:$A,1,0)),0,1)</f>
        <v>1</v>
      </c>
      <c r="K372" s="6" cm="1">
        <f t="array" ref="K372">HlpGetInstructionSize(A372,B372,C372)</f>
        <v>1</v>
      </c>
      <c r="L372" s="6">
        <f t="shared" si="5"/>
        <v>1</v>
      </c>
    </row>
    <row r="373" spans="1:12">
      <c r="A373" s="175" t="s">
        <v>1774</v>
      </c>
      <c r="B373" s="175"/>
      <c r="C373" s="175"/>
      <c r="D373" s="177" t="s">
        <v>1775</v>
      </c>
      <c r="E373" s="179">
        <v>2</v>
      </c>
      <c r="F373" s="175" t="s">
        <v>1776</v>
      </c>
      <c r="G373" s="175" t="s">
        <v>1387</v>
      </c>
      <c r="H373" s="181" t="s">
        <v>842</v>
      </c>
      <c r="I373" s="175" t="s">
        <v>326</v>
      </c>
      <c r="J373" s="6">
        <f>IF(ISERROR(VLOOKUP(A373,'8080 Op to Hex'!$A:$A,1,0)),0,1)</f>
        <v>0</v>
      </c>
      <c r="K373" s="6" cm="1">
        <f t="array" ref="K373">HlpGetInstructionSize(A373,B373,C373)</f>
        <v>1</v>
      </c>
      <c r="L373" s="6">
        <f t="shared" si="5"/>
        <v>1</v>
      </c>
    </row>
    <row r="374" spans="1:12">
      <c r="A374" s="175" t="s">
        <v>1777</v>
      </c>
      <c r="B374" s="175"/>
      <c r="C374" s="175"/>
      <c r="D374" s="177" t="s">
        <v>1778</v>
      </c>
      <c r="E374" s="179">
        <v>2</v>
      </c>
      <c r="F374" s="175" t="s">
        <v>1779</v>
      </c>
      <c r="G374" s="175" t="s">
        <v>1387</v>
      </c>
      <c r="H374" s="181" t="s">
        <v>842</v>
      </c>
      <c r="I374" s="175" t="s">
        <v>707</v>
      </c>
      <c r="J374" s="6">
        <f>IF(ISERROR(VLOOKUP(A374,'8080 Op to Hex'!$A:$A,1,0)),0,1)</f>
        <v>0</v>
      </c>
      <c r="K374" s="6" cm="1">
        <f t="array" ref="K374">HlpGetInstructionSize(A374,B374,C374)</f>
        <v>1</v>
      </c>
      <c r="L374" s="6">
        <f t="shared" si="5"/>
        <v>1</v>
      </c>
    </row>
    <row r="375" spans="1:12">
      <c r="A375" s="175" t="s">
        <v>275</v>
      </c>
      <c r="B375" s="175" t="s">
        <v>728</v>
      </c>
      <c r="C375" s="175"/>
      <c r="D375" s="177" t="s">
        <v>848</v>
      </c>
      <c r="E375" s="179">
        <v>1</v>
      </c>
      <c r="F375" s="175" t="s">
        <v>1330</v>
      </c>
      <c r="G375" s="175" t="s">
        <v>130</v>
      </c>
      <c r="H375" s="181"/>
      <c r="I375" s="175" t="s">
        <v>848</v>
      </c>
      <c r="J375" s="6">
        <f>IF(ISERROR(VLOOKUP(A375,'8080 Op to Hex'!$A:$A,1,0)),0,1)</f>
        <v>1</v>
      </c>
      <c r="K375" s="6" cm="1">
        <f t="array" ref="K375">HlpGetInstructionSize(A375,B375,C375)</f>
        <v>1</v>
      </c>
      <c r="L375" s="6">
        <f t="shared" si="5"/>
        <v>0</v>
      </c>
    </row>
    <row r="376" spans="1:12">
      <c r="A376" s="175" t="s">
        <v>275</v>
      </c>
      <c r="B376" s="175" t="s">
        <v>336</v>
      </c>
      <c r="C376" s="175"/>
      <c r="D376" s="177" t="s">
        <v>756</v>
      </c>
      <c r="E376" s="179">
        <v>1</v>
      </c>
      <c r="F376" s="175" t="s">
        <v>1305</v>
      </c>
      <c r="G376" s="175" t="s">
        <v>130</v>
      </c>
      <c r="H376" s="181"/>
      <c r="I376" s="175" t="s">
        <v>756</v>
      </c>
      <c r="J376" s="6">
        <f>IF(ISERROR(VLOOKUP(A376,'8080 Op to Hex'!$A:$A,1,0)),0,1)</f>
        <v>1</v>
      </c>
      <c r="K376" s="6" cm="1">
        <f t="array" ref="K376">HlpGetInstructionSize(A376,B376,C376)</f>
        <v>1</v>
      </c>
      <c r="L376" s="6">
        <f t="shared" si="5"/>
        <v>0</v>
      </c>
    </row>
    <row r="377" spans="1:12">
      <c r="A377" s="175" t="s">
        <v>275</v>
      </c>
      <c r="B377" s="175" t="s">
        <v>811</v>
      </c>
      <c r="C377" s="175"/>
      <c r="D377" s="177" t="s">
        <v>787</v>
      </c>
      <c r="E377" s="179">
        <v>1</v>
      </c>
      <c r="F377" s="175" t="s">
        <v>1312</v>
      </c>
      <c r="G377" s="175" t="s">
        <v>130</v>
      </c>
      <c r="H377" s="181"/>
      <c r="I377" s="175" t="s">
        <v>787</v>
      </c>
      <c r="J377" s="6">
        <f>IF(ISERROR(VLOOKUP(A377,'8080 Op to Hex'!$A:$A,1,0)),0,1)</f>
        <v>1</v>
      </c>
      <c r="K377" s="6" cm="1">
        <f t="array" ref="K377">HlpGetInstructionSize(A377,B377,C377)</f>
        <v>1</v>
      </c>
      <c r="L377" s="6">
        <f t="shared" si="5"/>
        <v>0</v>
      </c>
    </row>
    <row r="378" spans="1:12">
      <c r="A378" s="175" t="s">
        <v>275</v>
      </c>
      <c r="B378" s="175" t="s">
        <v>1221</v>
      </c>
      <c r="C378" s="175"/>
      <c r="D378" s="177" t="s">
        <v>818</v>
      </c>
      <c r="E378" s="179">
        <v>1</v>
      </c>
      <c r="F378" s="175" t="s">
        <v>1320</v>
      </c>
      <c r="G378" s="175" t="s">
        <v>130</v>
      </c>
      <c r="H378" s="181"/>
      <c r="I378" s="175" t="s">
        <v>818</v>
      </c>
      <c r="J378" s="6">
        <f>IF(ISERROR(VLOOKUP(A378,'8080 Op to Hex'!$A:$A,1,0)),0,1)</f>
        <v>1</v>
      </c>
      <c r="K378" s="6" cm="1">
        <f t="array" ref="K378">HlpGetInstructionSize(A378,B378,C378)</f>
        <v>1</v>
      </c>
      <c r="L378" s="6">
        <f t="shared" si="5"/>
        <v>0</v>
      </c>
    </row>
    <row r="379" spans="1:12">
      <c r="A379" s="175" t="s">
        <v>275</v>
      </c>
      <c r="B379" s="175" t="s">
        <v>1149</v>
      </c>
      <c r="C379" s="175"/>
      <c r="D379" s="177" t="s">
        <v>1780</v>
      </c>
      <c r="E379" s="179">
        <v>2</v>
      </c>
      <c r="F379" s="175" t="s">
        <v>1781</v>
      </c>
      <c r="G379" s="175" t="s">
        <v>130</v>
      </c>
      <c r="H379" s="181" t="s">
        <v>810</v>
      </c>
      <c r="I379" s="175" t="s">
        <v>818</v>
      </c>
      <c r="J379" s="6">
        <f>IF(ISERROR(VLOOKUP(A379,'8080 Op to Hex'!$A:$A,1,0)),0,1)</f>
        <v>1</v>
      </c>
      <c r="K379" s="6" cm="1">
        <f t="array" ref="K379">HlpGetInstructionSize(A379,B379,C379)</f>
        <v>1</v>
      </c>
      <c r="L379" s="6">
        <f>IF(E379&lt;&gt;K379,1,0)</f>
        <v>1</v>
      </c>
    </row>
    <row r="380" spans="1:12">
      <c r="A380" s="175" t="s">
        <v>275</v>
      </c>
      <c r="B380" s="175" t="s">
        <v>1400</v>
      </c>
      <c r="C380" s="175"/>
      <c r="D380" s="177" t="s">
        <v>1782</v>
      </c>
      <c r="E380" s="179">
        <v>2</v>
      </c>
      <c r="F380" s="175" t="s">
        <v>1783</v>
      </c>
      <c r="G380" s="175" t="s">
        <v>130</v>
      </c>
      <c r="H380" s="181" t="s">
        <v>1025</v>
      </c>
      <c r="I380" s="175" t="s">
        <v>818</v>
      </c>
      <c r="J380" s="6">
        <f>IF(ISERROR(VLOOKUP(A380,'8080 Op to Hex'!$A:$A,1,0)),0,1)</f>
        <v>1</v>
      </c>
      <c r="K380" s="6" cm="1">
        <f t="array" ref="K380">HlpGetInstructionSize(A380,B380,C380)</f>
        <v>1</v>
      </c>
      <c r="L380" s="6">
        <f>IF(E380&lt;&gt;K380,1,0)</f>
        <v>1</v>
      </c>
    </row>
    <row r="381" spans="1:12">
      <c r="A381" s="175" t="s">
        <v>143</v>
      </c>
      <c r="B381" s="175" t="s">
        <v>728</v>
      </c>
      <c r="C381" s="175"/>
      <c r="D381" s="177" t="s">
        <v>857</v>
      </c>
      <c r="E381" s="179">
        <v>1</v>
      </c>
      <c r="F381" s="175" t="s">
        <v>1333</v>
      </c>
      <c r="G381" s="175" t="s">
        <v>130</v>
      </c>
      <c r="H381" s="181"/>
      <c r="I381" s="175" t="s">
        <v>857</v>
      </c>
      <c r="J381" s="6">
        <f>IF(ISERROR(VLOOKUP(A381,'8080 Op to Hex'!$A:$A,1,0)),0,1)</f>
        <v>1</v>
      </c>
      <c r="K381" s="6" cm="1">
        <f t="array" ref="K381">HlpGetInstructionSize(A381,B381,C381)</f>
        <v>1</v>
      </c>
      <c r="L381" s="6">
        <f t="shared" si="5"/>
        <v>0</v>
      </c>
    </row>
    <row r="382" spans="1:12">
      <c r="A382" s="175" t="s">
        <v>143</v>
      </c>
      <c r="B382" s="175" t="s">
        <v>336</v>
      </c>
      <c r="C382" s="175"/>
      <c r="D382" s="177" t="s">
        <v>764</v>
      </c>
      <c r="E382" s="179">
        <v>1</v>
      </c>
      <c r="F382" s="175" t="s">
        <v>1307</v>
      </c>
      <c r="G382" s="175" t="s">
        <v>130</v>
      </c>
      <c r="H382" s="181"/>
      <c r="I382" s="175" t="s">
        <v>764</v>
      </c>
      <c r="J382" s="6">
        <f>IF(ISERROR(VLOOKUP(A382,'8080 Op to Hex'!$A:$A,1,0)),0,1)</f>
        <v>1</v>
      </c>
      <c r="K382" s="6" cm="1">
        <f t="array" ref="K382">HlpGetInstructionSize(A382,B382,C382)</f>
        <v>1</v>
      </c>
      <c r="L382" s="6">
        <f t="shared" si="5"/>
        <v>0</v>
      </c>
    </row>
    <row r="383" spans="1:12">
      <c r="A383" s="175" t="s">
        <v>143</v>
      </c>
      <c r="B383" s="175" t="s">
        <v>811</v>
      </c>
      <c r="C383" s="175"/>
      <c r="D383" s="177" t="s">
        <v>795</v>
      </c>
      <c r="E383" s="179">
        <v>1</v>
      </c>
      <c r="F383" s="175" t="s">
        <v>1316</v>
      </c>
      <c r="G383" s="175" t="s">
        <v>130</v>
      </c>
      <c r="H383" s="181"/>
      <c r="I383" s="175" t="s">
        <v>795</v>
      </c>
      <c r="J383" s="6">
        <f>IF(ISERROR(VLOOKUP(A383,'8080 Op to Hex'!$A:$A,1,0)),0,1)</f>
        <v>1</v>
      </c>
      <c r="K383" s="6" cm="1">
        <f t="array" ref="K383">HlpGetInstructionSize(A383,B383,C383)</f>
        <v>1</v>
      </c>
      <c r="L383" s="6">
        <f t="shared" si="5"/>
        <v>0</v>
      </c>
    </row>
    <row r="384" spans="1:12">
      <c r="A384" s="175" t="s">
        <v>143</v>
      </c>
      <c r="B384" s="175" t="s">
        <v>1221</v>
      </c>
      <c r="C384" s="175"/>
      <c r="D384" s="177" t="s">
        <v>825</v>
      </c>
      <c r="E384" s="179">
        <v>1</v>
      </c>
      <c r="F384" s="175" t="s">
        <v>1323</v>
      </c>
      <c r="G384" s="175" t="s">
        <v>130</v>
      </c>
      <c r="H384" s="181"/>
      <c r="I384" s="175" t="s">
        <v>825</v>
      </c>
      <c r="J384" s="6">
        <f>IF(ISERROR(VLOOKUP(A384,'8080 Op to Hex'!$A:$A,1,0)),0,1)</f>
        <v>1</v>
      </c>
      <c r="K384" s="6" cm="1">
        <f t="array" ref="K384">HlpGetInstructionSize(A384,B384,C384)</f>
        <v>1</v>
      </c>
      <c r="L384" s="6">
        <f t="shared" si="5"/>
        <v>0</v>
      </c>
    </row>
    <row r="385" spans="1:12">
      <c r="A385" s="175" t="s">
        <v>143</v>
      </c>
      <c r="B385" s="175" t="s">
        <v>1149</v>
      </c>
      <c r="C385" s="175"/>
      <c r="D385" s="177" t="s">
        <v>1784</v>
      </c>
      <c r="E385" s="179">
        <v>2</v>
      </c>
      <c r="F385" s="175" t="s">
        <v>1785</v>
      </c>
      <c r="G385" s="175" t="s">
        <v>130</v>
      </c>
      <c r="H385" s="181" t="s">
        <v>810</v>
      </c>
      <c r="I385" s="175" t="s">
        <v>825</v>
      </c>
      <c r="J385" s="6">
        <f>IF(ISERROR(VLOOKUP(A385,'8080 Op to Hex'!$A:$A,1,0)),0,1)</f>
        <v>1</v>
      </c>
      <c r="K385" s="6" cm="1">
        <f t="array" ref="K385">HlpGetInstructionSize(A385,B385,C385)</f>
        <v>1</v>
      </c>
      <c r="L385" s="6">
        <f>IF(E385&lt;&gt;K385,1,0)</f>
        <v>1</v>
      </c>
    </row>
    <row r="386" spans="1:12">
      <c r="A386" s="175" t="s">
        <v>143</v>
      </c>
      <c r="B386" s="175" t="s">
        <v>1400</v>
      </c>
      <c r="C386" s="175"/>
      <c r="D386" s="177" t="s">
        <v>1786</v>
      </c>
      <c r="E386" s="179">
        <v>2</v>
      </c>
      <c r="F386" s="175" t="s">
        <v>1787</v>
      </c>
      <c r="G386" s="175" t="s">
        <v>130</v>
      </c>
      <c r="H386" s="181" t="s">
        <v>1025</v>
      </c>
      <c r="I386" s="175" t="s">
        <v>825</v>
      </c>
      <c r="J386" s="6">
        <f>IF(ISERROR(VLOOKUP(A386,'8080 Op to Hex'!$A:$A,1,0)),0,1)</f>
        <v>1</v>
      </c>
      <c r="K386" s="6" cm="1">
        <f t="array" ref="K386">HlpGetInstructionSize(A386,B386,C386)</f>
        <v>1</v>
      </c>
      <c r="L386" s="6">
        <f>IF(E386&lt;&gt;K386,1,0)</f>
        <v>1</v>
      </c>
    </row>
    <row r="387" spans="1:12">
      <c r="A387" s="175" t="s">
        <v>1308</v>
      </c>
      <c r="B387" s="175" t="s">
        <v>776</v>
      </c>
      <c r="C387" s="175"/>
      <c r="D387" s="177" t="s">
        <v>776</v>
      </c>
      <c r="E387" s="179">
        <v>1</v>
      </c>
      <c r="F387" s="175" t="s">
        <v>1309</v>
      </c>
      <c r="G387" s="175" t="s">
        <v>1206</v>
      </c>
      <c r="H387" s="181" t="s">
        <v>776</v>
      </c>
      <c r="I387" s="175" t="s">
        <v>776</v>
      </c>
      <c r="J387" s="6">
        <f>IF(ISERROR(VLOOKUP(A387,'8080 Op to Hex'!$A:$A,1,0)),0,1)</f>
        <v>0</v>
      </c>
      <c r="K387" s="6" cm="1">
        <f t="array" ref="K387">HlpGetInstructionSize(A387,B387,C387)</f>
        <v>1</v>
      </c>
      <c r="L387" s="6">
        <f t="shared" ref="L387:L449" si="6">IF(E387&lt;&gt;K387,1,0)</f>
        <v>0</v>
      </c>
    </row>
    <row r="388" spans="1:12">
      <c r="A388" s="175" t="s">
        <v>1308</v>
      </c>
      <c r="B388" s="175" t="s">
        <v>810</v>
      </c>
      <c r="C388" s="175"/>
      <c r="D388" s="177" t="s">
        <v>810</v>
      </c>
      <c r="E388" s="179">
        <v>1</v>
      </c>
      <c r="F388" s="175" t="s">
        <v>1317</v>
      </c>
      <c r="G388" s="175" t="s">
        <v>1206</v>
      </c>
      <c r="H388" s="181" t="s">
        <v>810</v>
      </c>
      <c r="I388" s="175" t="s">
        <v>810</v>
      </c>
      <c r="J388" s="6">
        <f>IF(ISERROR(VLOOKUP(A388,'8080 Op to Hex'!$A:$A,1,0)),0,1)</f>
        <v>0</v>
      </c>
      <c r="K388" s="6" cm="1">
        <f t="array" ref="K388">HlpGetInstructionSize(A388,B388,C388)</f>
        <v>1</v>
      </c>
      <c r="L388" s="6">
        <f t="shared" si="6"/>
        <v>0</v>
      </c>
    </row>
    <row r="389" spans="1:12">
      <c r="A389" s="175" t="s">
        <v>1308</v>
      </c>
      <c r="B389" s="175" t="s">
        <v>842</v>
      </c>
      <c r="C389" s="175"/>
      <c r="D389" s="177" t="s">
        <v>842</v>
      </c>
      <c r="E389" s="179">
        <v>1</v>
      </c>
      <c r="F389" s="175" t="s">
        <v>1327</v>
      </c>
      <c r="G389" s="175" t="s">
        <v>1206</v>
      </c>
      <c r="H389" s="181" t="s">
        <v>842</v>
      </c>
      <c r="I389" s="175" t="s">
        <v>842</v>
      </c>
      <c r="J389" s="6">
        <f>IF(ISERROR(VLOOKUP(A389,'8080 Op to Hex'!$A:$A,1,0)),0,1)</f>
        <v>0</v>
      </c>
      <c r="K389" s="6" cm="1">
        <f t="array" ref="K389">HlpGetInstructionSize(A389,B389,C389)</f>
        <v>1</v>
      </c>
      <c r="L389" s="6">
        <f t="shared" si="6"/>
        <v>0</v>
      </c>
    </row>
    <row r="390" spans="1:12">
      <c r="A390" s="175" t="s">
        <v>1308</v>
      </c>
      <c r="B390" s="175" t="s">
        <v>1025</v>
      </c>
      <c r="C390" s="175"/>
      <c r="D390" s="177" t="s">
        <v>1025</v>
      </c>
      <c r="E390" s="179">
        <v>1</v>
      </c>
      <c r="F390" s="175" t="s">
        <v>1340</v>
      </c>
      <c r="G390" s="175" t="s">
        <v>1206</v>
      </c>
      <c r="H390" s="181" t="s">
        <v>1025</v>
      </c>
      <c r="I390" s="175" t="s">
        <v>1025</v>
      </c>
      <c r="J390" s="6">
        <f>IF(ISERROR(VLOOKUP(A390,'8080 Op to Hex'!$A:$A,1,0)),0,1)</f>
        <v>0</v>
      </c>
      <c r="K390" s="6" cm="1">
        <f t="array" ref="K390">HlpGetInstructionSize(A390,B390,C390)</f>
        <v>1</v>
      </c>
      <c r="L390" s="6">
        <f t="shared" si="6"/>
        <v>0</v>
      </c>
    </row>
    <row r="391" spans="1:12">
      <c r="A391" s="175" t="s">
        <v>1359</v>
      </c>
      <c r="B391" s="175" t="s">
        <v>209</v>
      </c>
      <c r="C391" s="175" t="s">
        <v>1238</v>
      </c>
      <c r="D391" s="177" t="s">
        <v>1788</v>
      </c>
      <c r="E391" s="179">
        <v>2</v>
      </c>
      <c r="F391" s="175" t="s">
        <v>1789</v>
      </c>
      <c r="G391" s="175" t="s">
        <v>118</v>
      </c>
      <c r="H391" s="181" t="s">
        <v>776</v>
      </c>
      <c r="I391" s="175" t="s">
        <v>948</v>
      </c>
      <c r="J391" s="6">
        <f>IF(ISERROR(VLOOKUP(A391,'8080 Op to Hex'!$A:$A,1,0)),0,1)</f>
        <v>0</v>
      </c>
      <c r="K391" s="6" cm="1">
        <f t="array" ref="K391">HlpGetInstructionSize(A391,B391,C391)</f>
        <v>1</v>
      </c>
      <c r="L391" s="6">
        <f t="shared" si="6"/>
        <v>1</v>
      </c>
    </row>
    <row r="392" spans="1:12">
      <c r="A392" s="175" t="s">
        <v>1359</v>
      </c>
      <c r="B392" s="175" t="s">
        <v>209</v>
      </c>
      <c r="C392" s="175" t="s">
        <v>146</v>
      </c>
      <c r="D392" s="177" t="s">
        <v>1790</v>
      </c>
      <c r="E392" s="179">
        <v>2</v>
      </c>
      <c r="F392" s="175" t="s">
        <v>1360</v>
      </c>
      <c r="G392" s="175" t="s">
        <v>118</v>
      </c>
      <c r="H392" s="181" t="s">
        <v>776</v>
      </c>
      <c r="I392" s="175" t="s">
        <v>949</v>
      </c>
      <c r="J392" s="6">
        <f>IF(ISERROR(VLOOKUP(A392,'8080 Op to Hex'!$A:$A,1,0)),0,1)</f>
        <v>0</v>
      </c>
      <c r="K392" s="6" cm="1">
        <f t="array" ref="K392">HlpGetInstructionSize(A392,B392,C392)</f>
        <v>1</v>
      </c>
      <c r="L392" s="6">
        <f t="shared" si="6"/>
        <v>1</v>
      </c>
    </row>
    <row r="393" spans="1:12">
      <c r="A393" s="175" t="s">
        <v>1359</v>
      </c>
      <c r="B393" s="175" t="s">
        <v>209</v>
      </c>
      <c r="C393" s="175" t="s">
        <v>144</v>
      </c>
      <c r="D393" s="177" t="s">
        <v>1791</v>
      </c>
      <c r="E393" s="179">
        <v>2</v>
      </c>
      <c r="F393" s="175" t="s">
        <v>1792</v>
      </c>
      <c r="G393" s="175" t="s">
        <v>118</v>
      </c>
      <c r="H393" s="181" t="s">
        <v>776</v>
      </c>
      <c r="I393" s="175" t="s">
        <v>216</v>
      </c>
      <c r="J393" s="6">
        <f>IF(ISERROR(VLOOKUP(A393,'8080 Op to Hex'!$A:$A,1,0)),0,1)</f>
        <v>0</v>
      </c>
      <c r="K393" s="6" cm="1">
        <f t="array" ref="K393">HlpGetInstructionSize(A393,B393,C393)</f>
        <v>1</v>
      </c>
      <c r="L393" s="6">
        <f t="shared" si="6"/>
        <v>1</v>
      </c>
    </row>
    <row r="394" spans="1:12">
      <c r="A394" s="175" t="s">
        <v>1359</v>
      </c>
      <c r="B394" s="175" t="s">
        <v>209</v>
      </c>
      <c r="C394" s="175" t="s">
        <v>182</v>
      </c>
      <c r="D394" s="177" t="s">
        <v>1793</v>
      </c>
      <c r="E394" s="179">
        <v>2</v>
      </c>
      <c r="F394" s="175" t="s">
        <v>1794</v>
      </c>
      <c r="G394" s="175" t="s">
        <v>118</v>
      </c>
      <c r="H394" s="181" t="s">
        <v>776</v>
      </c>
      <c r="I394" s="175" t="s">
        <v>449</v>
      </c>
      <c r="J394" s="6">
        <f>IF(ISERROR(VLOOKUP(A394,'8080 Op to Hex'!$A:$A,1,0)),0,1)</f>
        <v>0</v>
      </c>
      <c r="K394" s="6" cm="1">
        <f t="array" ref="K394">HlpGetInstructionSize(A394,B394,C394)</f>
        <v>1</v>
      </c>
      <c r="L394" s="6">
        <f t="shared" si="6"/>
        <v>1</v>
      </c>
    </row>
    <row r="395" spans="1:12">
      <c r="A395" s="175" t="s">
        <v>1359</v>
      </c>
      <c r="B395" s="175" t="s">
        <v>209</v>
      </c>
      <c r="C395" s="175" t="s">
        <v>183</v>
      </c>
      <c r="D395" s="177" t="s">
        <v>1795</v>
      </c>
      <c r="E395" s="179">
        <v>2</v>
      </c>
      <c r="F395" s="175" t="s">
        <v>1796</v>
      </c>
      <c r="G395" s="175" t="s">
        <v>118</v>
      </c>
      <c r="H395" s="181" t="s">
        <v>776</v>
      </c>
      <c r="I395" s="175" t="s">
        <v>276</v>
      </c>
      <c r="J395" s="6">
        <f>IF(ISERROR(VLOOKUP(A395,'8080 Op to Hex'!$A:$A,1,0)),0,1)</f>
        <v>0</v>
      </c>
      <c r="K395" s="6" cm="1">
        <f t="array" ref="K395">HlpGetInstructionSize(A395,B395,C395)</f>
        <v>1</v>
      </c>
      <c r="L395" s="6">
        <f t="shared" si="6"/>
        <v>1</v>
      </c>
    </row>
    <row r="396" spans="1:12">
      <c r="A396" s="175" t="s">
        <v>1359</v>
      </c>
      <c r="B396" s="175" t="s">
        <v>209</v>
      </c>
      <c r="C396" s="175" t="s">
        <v>265</v>
      </c>
      <c r="D396" s="177" t="s">
        <v>1797</v>
      </c>
      <c r="E396" s="179">
        <v>2</v>
      </c>
      <c r="F396" s="175" t="s">
        <v>1798</v>
      </c>
      <c r="G396" s="175" t="s">
        <v>118</v>
      </c>
      <c r="H396" s="181" t="s">
        <v>776</v>
      </c>
      <c r="I396" s="175" t="s">
        <v>945</v>
      </c>
      <c r="J396" s="6">
        <f>IF(ISERROR(VLOOKUP(A396,'8080 Op to Hex'!$A:$A,1,0)),0,1)</f>
        <v>0</v>
      </c>
      <c r="K396" s="6" cm="1">
        <f t="array" ref="K396">HlpGetInstructionSize(A396,B396,C396)</f>
        <v>1</v>
      </c>
      <c r="L396" s="6">
        <f t="shared" si="6"/>
        <v>1</v>
      </c>
    </row>
    <row r="397" spans="1:12">
      <c r="A397" s="175" t="s">
        <v>1359</v>
      </c>
      <c r="B397" s="175" t="s">
        <v>209</v>
      </c>
      <c r="C397" s="175" t="s">
        <v>303</v>
      </c>
      <c r="D397" s="177" t="s">
        <v>1799</v>
      </c>
      <c r="E397" s="179">
        <v>2</v>
      </c>
      <c r="F397" s="175" t="s">
        <v>1800</v>
      </c>
      <c r="G397" s="175" t="s">
        <v>118</v>
      </c>
      <c r="H397" s="181" t="s">
        <v>776</v>
      </c>
      <c r="I397" s="175" t="s">
        <v>946</v>
      </c>
      <c r="J397" s="6">
        <f>IF(ISERROR(VLOOKUP(A397,'8080 Op to Hex'!$A:$A,1,0)),0,1)</f>
        <v>0</v>
      </c>
      <c r="K397" s="6" cm="1">
        <f t="array" ref="K397">HlpGetInstructionSize(A397,B397,C397)</f>
        <v>1</v>
      </c>
      <c r="L397" s="6">
        <f t="shared" si="6"/>
        <v>1</v>
      </c>
    </row>
    <row r="398" spans="1:12">
      <c r="A398" s="175" t="s">
        <v>1359</v>
      </c>
      <c r="B398" s="175" t="s">
        <v>209</v>
      </c>
      <c r="C398" s="175" t="s">
        <v>327</v>
      </c>
      <c r="D398" s="177" t="s">
        <v>1801</v>
      </c>
      <c r="E398" s="179">
        <v>2</v>
      </c>
      <c r="F398" s="175" t="s">
        <v>1802</v>
      </c>
      <c r="G398" s="175" t="s">
        <v>118</v>
      </c>
      <c r="H398" s="181" t="s">
        <v>776</v>
      </c>
      <c r="I398" s="175" t="s">
        <v>947</v>
      </c>
      <c r="J398" s="6">
        <f>IF(ISERROR(VLOOKUP(A398,'8080 Op to Hex'!$A:$A,1,0)),0,1)</f>
        <v>0</v>
      </c>
      <c r="K398" s="6" cm="1">
        <f t="array" ref="K398">HlpGetInstructionSize(A398,B398,C398)</f>
        <v>1</v>
      </c>
      <c r="L398" s="6">
        <f t="shared" si="6"/>
        <v>1</v>
      </c>
    </row>
    <row r="399" spans="1:12">
      <c r="A399" s="175" t="s">
        <v>1359</v>
      </c>
      <c r="B399" s="175" t="s">
        <v>210</v>
      </c>
      <c r="C399" s="175" t="s">
        <v>1238</v>
      </c>
      <c r="D399" s="177" t="s">
        <v>1803</v>
      </c>
      <c r="E399" s="179">
        <v>2</v>
      </c>
      <c r="F399" s="175" t="s">
        <v>1804</v>
      </c>
      <c r="G399" s="175" t="s">
        <v>118</v>
      </c>
      <c r="H399" s="181" t="s">
        <v>776</v>
      </c>
      <c r="I399" s="175" t="s">
        <v>675</v>
      </c>
      <c r="J399" s="6">
        <f>IF(ISERROR(VLOOKUP(A399,'8080 Op to Hex'!$A:$A,1,0)),0,1)</f>
        <v>0</v>
      </c>
      <c r="K399" s="6" cm="1">
        <f t="array" ref="K399">HlpGetInstructionSize(A399,B399,C399)</f>
        <v>1</v>
      </c>
      <c r="L399" s="6">
        <f t="shared" si="6"/>
        <v>1</v>
      </c>
    </row>
    <row r="400" spans="1:12">
      <c r="A400" s="175" t="s">
        <v>1359</v>
      </c>
      <c r="B400" s="175" t="s">
        <v>210</v>
      </c>
      <c r="C400" s="175" t="s">
        <v>146</v>
      </c>
      <c r="D400" s="177" t="s">
        <v>1805</v>
      </c>
      <c r="E400" s="179">
        <v>2</v>
      </c>
      <c r="F400" s="175" t="s">
        <v>1361</v>
      </c>
      <c r="G400" s="175" t="s">
        <v>118</v>
      </c>
      <c r="H400" s="181" t="s">
        <v>776</v>
      </c>
      <c r="I400" s="175" t="s">
        <v>677</v>
      </c>
      <c r="J400" s="6">
        <f>IF(ISERROR(VLOOKUP(A400,'8080 Op to Hex'!$A:$A,1,0)),0,1)</f>
        <v>0</v>
      </c>
      <c r="K400" s="6" cm="1">
        <f t="array" ref="K400">HlpGetInstructionSize(A400,B400,C400)</f>
        <v>1</v>
      </c>
      <c r="L400" s="6">
        <f t="shared" si="6"/>
        <v>1</v>
      </c>
    </row>
    <row r="401" spans="1:12">
      <c r="A401" s="175" t="s">
        <v>1359</v>
      </c>
      <c r="B401" s="175" t="s">
        <v>210</v>
      </c>
      <c r="C401" s="175" t="s">
        <v>144</v>
      </c>
      <c r="D401" s="177" t="s">
        <v>1806</v>
      </c>
      <c r="E401" s="179">
        <v>2</v>
      </c>
      <c r="F401" s="175" t="s">
        <v>1807</v>
      </c>
      <c r="G401" s="175" t="s">
        <v>118</v>
      </c>
      <c r="H401" s="181" t="s">
        <v>776</v>
      </c>
      <c r="I401" s="175" t="s">
        <v>950</v>
      </c>
      <c r="J401" s="6">
        <f>IF(ISERROR(VLOOKUP(A401,'8080 Op to Hex'!$A:$A,1,0)),0,1)</f>
        <v>0</v>
      </c>
      <c r="K401" s="6" cm="1">
        <f t="array" ref="K401">HlpGetInstructionSize(A401,B401,C401)</f>
        <v>1</v>
      </c>
      <c r="L401" s="6">
        <f t="shared" si="6"/>
        <v>1</v>
      </c>
    </row>
    <row r="402" spans="1:12">
      <c r="A402" s="175" t="s">
        <v>1359</v>
      </c>
      <c r="B402" s="175" t="s">
        <v>210</v>
      </c>
      <c r="C402" s="175" t="s">
        <v>182</v>
      </c>
      <c r="D402" s="177" t="s">
        <v>1808</v>
      </c>
      <c r="E402" s="179">
        <v>2</v>
      </c>
      <c r="F402" s="175" t="s">
        <v>1809</v>
      </c>
      <c r="G402" s="175" t="s">
        <v>118</v>
      </c>
      <c r="H402" s="181" t="s">
        <v>776</v>
      </c>
      <c r="I402" s="175" t="s">
        <v>951</v>
      </c>
      <c r="J402" s="6">
        <f>IF(ISERROR(VLOOKUP(A402,'8080 Op to Hex'!$A:$A,1,0)),0,1)</f>
        <v>0</v>
      </c>
      <c r="K402" s="6" cm="1">
        <f t="array" ref="K402">HlpGetInstructionSize(A402,B402,C402)</f>
        <v>1</v>
      </c>
      <c r="L402" s="6">
        <f t="shared" si="6"/>
        <v>1</v>
      </c>
    </row>
    <row r="403" spans="1:12">
      <c r="A403" s="175" t="s">
        <v>1359</v>
      </c>
      <c r="B403" s="175" t="s">
        <v>210</v>
      </c>
      <c r="C403" s="175" t="s">
        <v>183</v>
      </c>
      <c r="D403" s="177" t="s">
        <v>1810</v>
      </c>
      <c r="E403" s="179">
        <v>2</v>
      </c>
      <c r="F403" s="175" t="s">
        <v>1811</v>
      </c>
      <c r="G403" s="175" t="s">
        <v>118</v>
      </c>
      <c r="H403" s="181" t="s">
        <v>776</v>
      </c>
      <c r="I403" s="175" t="s">
        <v>667</v>
      </c>
      <c r="J403" s="6">
        <f>IF(ISERROR(VLOOKUP(A403,'8080 Op to Hex'!$A:$A,1,0)),0,1)</f>
        <v>0</v>
      </c>
      <c r="K403" s="6" cm="1">
        <f t="array" ref="K403">HlpGetInstructionSize(A403,B403,C403)</f>
        <v>1</v>
      </c>
      <c r="L403" s="6">
        <f t="shared" si="6"/>
        <v>1</v>
      </c>
    </row>
    <row r="404" spans="1:12">
      <c r="A404" s="175" t="s">
        <v>1359</v>
      </c>
      <c r="B404" s="175" t="s">
        <v>210</v>
      </c>
      <c r="C404" s="175" t="s">
        <v>265</v>
      </c>
      <c r="D404" s="177" t="s">
        <v>1812</v>
      </c>
      <c r="E404" s="179">
        <v>2</v>
      </c>
      <c r="F404" s="175" t="s">
        <v>1813</v>
      </c>
      <c r="G404" s="175" t="s">
        <v>118</v>
      </c>
      <c r="H404" s="181" t="s">
        <v>776</v>
      </c>
      <c r="I404" s="175" t="s">
        <v>669</v>
      </c>
      <c r="J404" s="6">
        <f>IF(ISERROR(VLOOKUP(A404,'8080 Op to Hex'!$A:$A,1,0)),0,1)</f>
        <v>0</v>
      </c>
      <c r="K404" s="6" cm="1">
        <f t="array" ref="K404">HlpGetInstructionSize(A404,B404,C404)</f>
        <v>1</v>
      </c>
      <c r="L404" s="6">
        <f t="shared" si="6"/>
        <v>1</v>
      </c>
    </row>
    <row r="405" spans="1:12">
      <c r="A405" s="175" t="s">
        <v>1359</v>
      </c>
      <c r="B405" s="175" t="s">
        <v>210</v>
      </c>
      <c r="C405" s="175" t="s">
        <v>303</v>
      </c>
      <c r="D405" s="177" t="s">
        <v>1814</v>
      </c>
      <c r="E405" s="179">
        <v>2</v>
      </c>
      <c r="F405" s="175" t="s">
        <v>1815</v>
      </c>
      <c r="G405" s="175" t="s">
        <v>118</v>
      </c>
      <c r="H405" s="181" t="s">
        <v>776</v>
      </c>
      <c r="I405" s="175" t="s">
        <v>671</v>
      </c>
      <c r="J405" s="6">
        <f>IF(ISERROR(VLOOKUP(A405,'8080 Op to Hex'!$A:$A,1,0)),0,1)</f>
        <v>0</v>
      </c>
      <c r="K405" s="6" cm="1">
        <f t="array" ref="K405">HlpGetInstructionSize(A405,B405,C405)</f>
        <v>1</v>
      </c>
      <c r="L405" s="6">
        <f t="shared" si="6"/>
        <v>1</v>
      </c>
    </row>
    <row r="406" spans="1:12">
      <c r="A406" s="175" t="s">
        <v>1359</v>
      </c>
      <c r="B406" s="175" t="s">
        <v>210</v>
      </c>
      <c r="C406" s="175" t="s">
        <v>327</v>
      </c>
      <c r="D406" s="177" t="s">
        <v>1816</v>
      </c>
      <c r="E406" s="179">
        <v>2</v>
      </c>
      <c r="F406" s="175" t="s">
        <v>1817</v>
      </c>
      <c r="G406" s="175" t="s">
        <v>118</v>
      </c>
      <c r="H406" s="181" t="s">
        <v>776</v>
      </c>
      <c r="I406" s="175" t="s">
        <v>673</v>
      </c>
      <c r="J406" s="6">
        <f>IF(ISERROR(VLOOKUP(A406,'8080 Op to Hex'!$A:$A,1,0)),0,1)</f>
        <v>0</v>
      </c>
      <c r="K406" s="6" cm="1">
        <f t="array" ref="K406">HlpGetInstructionSize(A406,B406,C406)</f>
        <v>1</v>
      </c>
      <c r="L406" s="6">
        <f t="shared" si="6"/>
        <v>1</v>
      </c>
    </row>
    <row r="407" spans="1:12">
      <c r="A407" s="175" t="s">
        <v>1359</v>
      </c>
      <c r="B407" s="175" t="s">
        <v>234</v>
      </c>
      <c r="C407" s="175" t="s">
        <v>1238</v>
      </c>
      <c r="D407" s="177" t="s">
        <v>1818</v>
      </c>
      <c r="E407" s="179">
        <v>2</v>
      </c>
      <c r="F407" s="175" t="s">
        <v>1819</v>
      </c>
      <c r="G407" s="175" t="s">
        <v>118</v>
      </c>
      <c r="H407" s="181" t="s">
        <v>776</v>
      </c>
      <c r="I407" s="175" t="s">
        <v>958</v>
      </c>
      <c r="J407" s="6">
        <f>IF(ISERROR(VLOOKUP(A407,'8080 Op to Hex'!$A:$A,1,0)),0,1)</f>
        <v>0</v>
      </c>
      <c r="K407" s="6" cm="1">
        <f t="array" ref="K407">HlpGetInstructionSize(A407,B407,C407)</f>
        <v>1</v>
      </c>
      <c r="L407" s="6">
        <f t="shared" si="6"/>
        <v>1</v>
      </c>
    </row>
    <row r="408" spans="1:12">
      <c r="A408" s="175" t="s">
        <v>1359</v>
      </c>
      <c r="B408" s="175" t="s">
        <v>234</v>
      </c>
      <c r="C408" s="175" t="s">
        <v>146</v>
      </c>
      <c r="D408" s="177" t="s">
        <v>1820</v>
      </c>
      <c r="E408" s="179">
        <v>2</v>
      </c>
      <c r="F408" s="175" t="s">
        <v>1362</v>
      </c>
      <c r="G408" s="175" t="s">
        <v>118</v>
      </c>
      <c r="H408" s="181" t="s">
        <v>776</v>
      </c>
      <c r="I408" s="175" t="s">
        <v>959</v>
      </c>
      <c r="J408" s="6">
        <f>IF(ISERROR(VLOOKUP(A408,'8080 Op to Hex'!$A:$A,1,0)),0,1)</f>
        <v>0</v>
      </c>
      <c r="K408" s="6" cm="1">
        <f t="array" ref="K408">HlpGetInstructionSize(A408,B408,C408)</f>
        <v>1</v>
      </c>
      <c r="L408" s="6">
        <f t="shared" si="6"/>
        <v>1</v>
      </c>
    </row>
    <row r="409" spans="1:12">
      <c r="A409" s="175" t="s">
        <v>1359</v>
      </c>
      <c r="B409" s="175" t="s">
        <v>234</v>
      </c>
      <c r="C409" s="175" t="s">
        <v>144</v>
      </c>
      <c r="D409" s="177" t="s">
        <v>1821</v>
      </c>
      <c r="E409" s="179">
        <v>2</v>
      </c>
      <c r="F409" s="175" t="s">
        <v>1822</v>
      </c>
      <c r="G409" s="175" t="s">
        <v>118</v>
      </c>
      <c r="H409" s="181" t="s">
        <v>776</v>
      </c>
      <c r="I409" s="175" t="s">
        <v>952</v>
      </c>
      <c r="J409" s="6">
        <f>IF(ISERROR(VLOOKUP(A409,'8080 Op to Hex'!$A:$A,1,0)),0,1)</f>
        <v>0</v>
      </c>
      <c r="K409" s="6" cm="1">
        <f t="array" ref="K409">HlpGetInstructionSize(A409,B409,C409)</f>
        <v>1</v>
      </c>
      <c r="L409" s="6">
        <f t="shared" si="6"/>
        <v>1</v>
      </c>
    </row>
    <row r="410" spans="1:12">
      <c r="A410" s="175" t="s">
        <v>1359</v>
      </c>
      <c r="B410" s="175" t="s">
        <v>234</v>
      </c>
      <c r="C410" s="175" t="s">
        <v>182</v>
      </c>
      <c r="D410" s="177" t="s">
        <v>1823</v>
      </c>
      <c r="E410" s="179">
        <v>2</v>
      </c>
      <c r="F410" s="175" t="s">
        <v>1824</v>
      </c>
      <c r="G410" s="175" t="s">
        <v>118</v>
      </c>
      <c r="H410" s="181" t="s">
        <v>776</v>
      </c>
      <c r="I410" s="175" t="s">
        <v>953</v>
      </c>
      <c r="J410" s="6">
        <f>IF(ISERROR(VLOOKUP(A410,'8080 Op to Hex'!$A:$A,1,0)),0,1)</f>
        <v>0</v>
      </c>
      <c r="K410" s="6" cm="1">
        <f t="array" ref="K410">HlpGetInstructionSize(A410,B410,C410)</f>
        <v>1</v>
      </c>
      <c r="L410" s="6">
        <f t="shared" si="6"/>
        <v>1</v>
      </c>
    </row>
    <row r="411" spans="1:12">
      <c r="A411" s="175" t="s">
        <v>1359</v>
      </c>
      <c r="B411" s="175" t="s">
        <v>234</v>
      </c>
      <c r="C411" s="175" t="s">
        <v>183</v>
      </c>
      <c r="D411" s="177" t="s">
        <v>1825</v>
      </c>
      <c r="E411" s="179">
        <v>2</v>
      </c>
      <c r="F411" s="175" t="s">
        <v>1826</v>
      </c>
      <c r="G411" s="175" t="s">
        <v>118</v>
      </c>
      <c r="H411" s="181" t="s">
        <v>776</v>
      </c>
      <c r="I411" s="175" t="s">
        <v>954</v>
      </c>
      <c r="J411" s="6">
        <f>IF(ISERROR(VLOOKUP(A411,'8080 Op to Hex'!$A:$A,1,0)),0,1)</f>
        <v>0</v>
      </c>
      <c r="K411" s="6" cm="1">
        <f t="array" ref="K411">HlpGetInstructionSize(A411,B411,C411)</f>
        <v>1</v>
      </c>
      <c r="L411" s="6">
        <f t="shared" si="6"/>
        <v>1</v>
      </c>
    </row>
    <row r="412" spans="1:12">
      <c r="A412" s="175" t="s">
        <v>1359</v>
      </c>
      <c r="B412" s="175" t="s">
        <v>234</v>
      </c>
      <c r="C412" s="175" t="s">
        <v>265</v>
      </c>
      <c r="D412" s="177" t="s">
        <v>1827</v>
      </c>
      <c r="E412" s="179">
        <v>2</v>
      </c>
      <c r="F412" s="175" t="s">
        <v>1828</v>
      </c>
      <c r="G412" s="175" t="s">
        <v>118</v>
      </c>
      <c r="H412" s="181" t="s">
        <v>776</v>
      </c>
      <c r="I412" s="175" t="s">
        <v>955</v>
      </c>
      <c r="J412" s="6">
        <f>IF(ISERROR(VLOOKUP(A412,'8080 Op to Hex'!$A:$A,1,0)),0,1)</f>
        <v>0</v>
      </c>
      <c r="K412" s="6" cm="1">
        <f t="array" ref="K412">HlpGetInstructionSize(A412,B412,C412)</f>
        <v>1</v>
      </c>
      <c r="L412" s="6">
        <f t="shared" si="6"/>
        <v>1</v>
      </c>
    </row>
    <row r="413" spans="1:12">
      <c r="A413" s="175" t="s">
        <v>1359</v>
      </c>
      <c r="B413" s="175" t="s">
        <v>234</v>
      </c>
      <c r="C413" s="175" t="s">
        <v>303</v>
      </c>
      <c r="D413" s="177" t="s">
        <v>1829</v>
      </c>
      <c r="E413" s="179">
        <v>2</v>
      </c>
      <c r="F413" s="175" t="s">
        <v>1830</v>
      </c>
      <c r="G413" s="175" t="s">
        <v>118</v>
      </c>
      <c r="H413" s="181" t="s">
        <v>776</v>
      </c>
      <c r="I413" s="175" t="s">
        <v>956</v>
      </c>
      <c r="J413" s="6">
        <f>IF(ISERROR(VLOOKUP(A413,'8080 Op to Hex'!$A:$A,1,0)),0,1)</f>
        <v>0</v>
      </c>
      <c r="K413" s="6" cm="1">
        <f t="array" ref="K413">HlpGetInstructionSize(A413,B413,C413)</f>
        <v>1</v>
      </c>
      <c r="L413" s="6">
        <f t="shared" si="6"/>
        <v>1</v>
      </c>
    </row>
    <row r="414" spans="1:12">
      <c r="A414" s="175" t="s">
        <v>1359</v>
      </c>
      <c r="B414" s="175" t="s">
        <v>234</v>
      </c>
      <c r="C414" s="175" t="s">
        <v>327</v>
      </c>
      <c r="D414" s="177" t="s">
        <v>1831</v>
      </c>
      <c r="E414" s="179">
        <v>2</v>
      </c>
      <c r="F414" s="175" t="s">
        <v>1832</v>
      </c>
      <c r="G414" s="175" t="s">
        <v>118</v>
      </c>
      <c r="H414" s="181" t="s">
        <v>776</v>
      </c>
      <c r="I414" s="175" t="s">
        <v>957</v>
      </c>
      <c r="J414" s="6">
        <f>IF(ISERROR(VLOOKUP(A414,'8080 Op to Hex'!$A:$A,1,0)),0,1)</f>
        <v>0</v>
      </c>
      <c r="K414" s="6" cm="1">
        <f t="array" ref="K414">HlpGetInstructionSize(A414,B414,C414)</f>
        <v>1</v>
      </c>
      <c r="L414" s="6">
        <f t="shared" si="6"/>
        <v>1</v>
      </c>
    </row>
    <row r="415" spans="1:12">
      <c r="A415" s="175" t="s">
        <v>1359</v>
      </c>
      <c r="B415" s="175" t="s">
        <v>233</v>
      </c>
      <c r="C415" s="175" t="s">
        <v>1238</v>
      </c>
      <c r="D415" s="177" t="s">
        <v>1833</v>
      </c>
      <c r="E415" s="179">
        <v>2</v>
      </c>
      <c r="F415" s="175" t="s">
        <v>1834</v>
      </c>
      <c r="G415" s="175" t="s">
        <v>118</v>
      </c>
      <c r="H415" s="181" t="s">
        <v>776</v>
      </c>
      <c r="I415" s="175" t="s">
        <v>697</v>
      </c>
      <c r="J415" s="6">
        <f>IF(ISERROR(VLOOKUP(A415,'8080 Op to Hex'!$A:$A,1,0)),0,1)</f>
        <v>0</v>
      </c>
      <c r="K415" s="6" cm="1">
        <f t="array" ref="K415">HlpGetInstructionSize(A415,B415,C415)</f>
        <v>1</v>
      </c>
      <c r="L415" s="6">
        <f t="shared" si="6"/>
        <v>1</v>
      </c>
    </row>
    <row r="416" spans="1:12">
      <c r="A416" s="175" t="s">
        <v>1359</v>
      </c>
      <c r="B416" s="175" t="s">
        <v>233</v>
      </c>
      <c r="C416" s="175" t="s">
        <v>146</v>
      </c>
      <c r="D416" s="177" t="s">
        <v>1835</v>
      </c>
      <c r="E416" s="179">
        <v>2</v>
      </c>
      <c r="F416" s="175" t="s">
        <v>1363</v>
      </c>
      <c r="G416" s="175" t="s">
        <v>118</v>
      </c>
      <c r="H416" s="181" t="s">
        <v>776</v>
      </c>
      <c r="I416" s="175" t="s">
        <v>699</v>
      </c>
      <c r="J416" s="6">
        <f>IF(ISERROR(VLOOKUP(A416,'8080 Op to Hex'!$A:$A,1,0)),0,1)</f>
        <v>0</v>
      </c>
      <c r="K416" s="6" cm="1">
        <f t="array" ref="K416">HlpGetInstructionSize(A416,B416,C416)</f>
        <v>1</v>
      </c>
      <c r="L416" s="6">
        <f t="shared" si="6"/>
        <v>1</v>
      </c>
    </row>
    <row r="417" spans="1:12">
      <c r="A417" s="175" t="s">
        <v>1359</v>
      </c>
      <c r="B417" s="175" t="s">
        <v>233</v>
      </c>
      <c r="C417" s="175" t="s">
        <v>144</v>
      </c>
      <c r="D417" s="177" t="s">
        <v>1836</v>
      </c>
      <c r="E417" s="179">
        <v>2</v>
      </c>
      <c r="F417" s="175" t="s">
        <v>1837</v>
      </c>
      <c r="G417" s="175" t="s">
        <v>118</v>
      </c>
      <c r="H417" s="181" t="s">
        <v>776</v>
      </c>
      <c r="I417" s="175" t="s">
        <v>960</v>
      </c>
      <c r="J417" s="6">
        <f>IF(ISERROR(VLOOKUP(A417,'8080 Op to Hex'!$A:$A,1,0)),0,1)</f>
        <v>0</v>
      </c>
      <c r="K417" s="6" cm="1">
        <f t="array" ref="K417">HlpGetInstructionSize(A417,B417,C417)</f>
        <v>1</v>
      </c>
      <c r="L417" s="6">
        <f t="shared" si="6"/>
        <v>1</v>
      </c>
    </row>
    <row r="418" spans="1:12">
      <c r="A418" s="175" t="s">
        <v>1359</v>
      </c>
      <c r="B418" s="175" t="s">
        <v>233</v>
      </c>
      <c r="C418" s="175" t="s">
        <v>182</v>
      </c>
      <c r="D418" s="177" t="s">
        <v>1838</v>
      </c>
      <c r="E418" s="179">
        <v>2</v>
      </c>
      <c r="F418" s="175" t="s">
        <v>1839</v>
      </c>
      <c r="G418" s="175" t="s">
        <v>118</v>
      </c>
      <c r="H418" s="181" t="s">
        <v>776</v>
      </c>
      <c r="I418" s="175" t="s">
        <v>361</v>
      </c>
      <c r="J418" s="6">
        <f>IF(ISERROR(VLOOKUP(A418,'8080 Op to Hex'!$A:$A,1,0)),0,1)</f>
        <v>0</v>
      </c>
      <c r="K418" s="6" cm="1">
        <f t="array" ref="K418">HlpGetInstructionSize(A418,B418,C418)</f>
        <v>1</v>
      </c>
      <c r="L418" s="6">
        <f t="shared" si="6"/>
        <v>1</v>
      </c>
    </row>
    <row r="419" spans="1:12">
      <c r="A419" s="175" t="s">
        <v>1359</v>
      </c>
      <c r="B419" s="175" t="s">
        <v>233</v>
      </c>
      <c r="C419" s="175" t="s">
        <v>183</v>
      </c>
      <c r="D419" s="177" t="s">
        <v>1840</v>
      </c>
      <c r="E419" s="179">
        <v>2</v>
      </c>
      <c r="F419" s="175" t="s">
        <v>1841</v>
      </c>
      <c r="G419" s="175" t="s">
        <v>118</v>
      </c>
      <c r="H419" s="181" t="s">
        <v>776</v>
      </c>
      <c r="I419" s="175" t="s">
        <v>689</v>
      </c>
      <c r="J419" s="6">
        <f>IF(ISERROR(VLOOKUP(A419,'8080 Op to Hex'!$A:$A,1,0)),0,1)</f>
        <v>0</v>
      </c>
      <c r="K419" s="6" cm="1">
        <f t="array" ref="K419">HlpGetInstructionSize(A419,B419,C419)</f>
        <v>1</v>
      </c>
      <c r="L419" s="6">
        <f t="shared" si="6"/>
        <v>1</v>
      </c>
    </row>
    <row r="420" spans="1:12">
      <c r="A420" s="175" t="s">
        <v>1359</v>
      </c>
      <c r="B420" s="175" t="s">
        <v>233</v>
      </c>
      <c r="C420" s="175" t="s">
        <v>265</v>
      </c>
      <c r="D420" s="177" t="s">
        <v>1842</v>
      </c>
      <c r="E420" s="179">
        <v>2</v>
      </c>
      <c r="F420" s="175" t="s">
        <v>1843</v>
      </c>
      <c r="G420" s="175" t="s">
        <v>118</v>
      </c>
      <c r="H420" s="181" t="s">
        <v>776</v>
      </c>
      <c r="I420" s="175" t="s">
        <v>691</v>
      </c>
      <c r="J420" s="6">
        <f>IF(ISERROR(VLOOKUP(A420,'8080 Op to Hex'!$A:$A,1,0)),0,1)</f>
        <v>0</v>
      </c>
      <c r="K420" s="6" cm="1">
        <f t="array" ref="K420">HlpGetInstructionSize(A420,B420,C420)</f>
        <v>1</v>
      </c>
      <c r="L420" s="6">
        <f t="shared" si="6"/>
        <v>1</v>
      </c>
    </row>
    <row r="421" spans="1:12">
      <c r="A421" s="175" t="s">
        <v>1359</v>
      </c>
      <c r="B421" s="175" t="s">
        <v>233</v>
      </c>
      <c r="C421" s="175" t="s">
        <v>303</v>
      </c>
      <c r="D421" s="177" t="s">
        <v>1844</v>
      </c>
      <c r="E421" s="179">
        <v>2</v>
      </c>
      <c r="F421" s="175" t="s">
        <v>1845</v>
      </c>
      <c r="G421" s="175" t="s">
        <v>118</v>
      </c>
      <c r="H421" s="181" t="s">
        <v>776</v>
      </c>
      <c r="I421" s="175" t="s">
        <v>693</v>
      </c>
      <c r="J421" s="6">
        <f>IF(ISERROR(VLOOKUP(A421,'8080 Op to Hex'!$A:$A,1,0)),0,1)</f>
        <v>0</v>
      </c>
      <c r="K421" s="6" cm="1">
        <f t="array" ref="K421">HlpGetInstructionSize(A421,B421,C421)</f>
        <v>1</v>
      </c>
      <c r="L421" s="6">
        <f t="shared" si="6"/>
        <v>1</v>
      </c>
    </row>
    <row r="422" spans="1:12">
      <c r="A422" s="175" t="s">
        <v>1359</v>
      </c>
      <c r="B422" s="175" t="s">
        <v>233</v>
      </c>
      <c r="C422" s="175" t="s">
        <v>327</v>
      </c>
      <c r="D422" s="177" t="s">
        <v>1846</v>
      </c>
      <c r="E422" s="179">
        <v>2</v>
      </c>
      <c r="F422" s="175" t="s">
        <v>1847</v>
      </c>
      <c r="G422" s="175" t="s">
        <v>118</v>
      </c>
      <c r="H422" s="181" t="s">
        <v>776</v>
      </c>
      <c r="I422" s="175" t="s">
        <v>695</v>
      </c>
      <c r="J422" s="6">
        <f>IF(ISERROR(VLOOKUP(A422,'8080 Op to Hex'!$A:$A,1,0)),0,1)</f>
        <v>0</v>
      </c>
      <c r="K422" s="6" cm="1">
        <f t="array" ref="K422">HlpGetInstructionSize(A422,B422,C422)</f>
        <v>1</v>
      </c>
      <c r="L422" s="6">
        <f t="shared" si="6"/>
        <v>1</v>
      </c>
    </row>
    <row r="423" spans="1:12">
      <c r="A423" s="175" t="s">
        <v>1359</v>
      </c>
      <c r="B423" s="175" t="s">
        <v>1246</v>
      </c>
      <c r="C423" s="175" t="s">
        <v>1238</v>
      </c>
      <c r="D423" s="177" t="s">
        <v>1848</v>
      </c>
      <c r="E423" s="179">
        <v>2</v>
      </c>
      <c r="F423" s="175" t="s">
        <v>1849</v>
      </c>
      <c r="G423" s="175" t="s">
        <v>118</v>
      </c>
      <c r="H423" s="181" t="s">
        <v>776</v>
      </c>
      <c r="I423" s="175" t="s">
        <v>713</v>
      </c>
      <c r="J423" s="6">
        <f>IF(ISERROR(VLOOKUP(A423,'8080 Op to Hex'!$A:$A,1,0)),0,1)</f>
        <v>0</v>
      </c>
      <c r="K423" s="6" cm="1">
        <f t="array" ref="K423">HlpGetInstructionSize(A423,B423,C423)</f>
        <v>1</v>
      </c>
      <c r="L423" s="6">
        <f t="shared" si="6"/>
        <v>1</v>
      </c>
    </row>
    <row r="424" spans="1:12">
      <c r="A424" s="175" t="s">
        <v>1359</v>
      </c>
      <c r="B424" s="175" t="s">
        <v>1246</v>
      </c>
      <c r="C424" s="175" t="s">
        <v>146</v>
      </c>
      <c r="D424" s="177" t="s">
        <v>1850</v>
      </c>
      <c r="E424" s="179">
        <v>2</v>
      </c>
      <c r="F424" s="175" t="s">
        <v>1364</v>
      </c>
      <c r="G424" s="175" t="s">
        <v>118</v>
      </c>
      <c r="H424" s="181" t="s">
        <v>776</v>
      </c>
      <c r="I424" s="175" t="s">
        <v>715</v>
      </c>
      <c r="J424" s="6">
        <f>IF(ISERROR(VLOOKUP(A424,'8080 Op to Hex'!$A:$A,1,0)),0,1)</f>
        <v>0</v>
      </c>
      <c r="K424" s="6" cm="1">
        <f t="array" ref="K424">HlpGetInstructionSize(A424,B424,C424)</f>
        <v>1</v>
      </c>
      <c r="L424" s="6">
        <f t="shared" si="6"/>
        <v>1</v>
      </c>
    </row>
    <row r="425" spans="1:12">
      <c r="A425" s="175" t="s">
        <v>1359</v>
      </c>
      <c r="B425" s="175" t="s">
        <v>1246</v>
      </c>
      <c r="C425" s="175" t="s">
        <v>144</v>
      </c>
      <c r="D425" s="177" t="s">
        <v>1851</v>
      </c>
      <c r="E425" s="179">
        <v>2</v>
      </c>
      <c r="F425" s="175" t="s">
        <v>1852</v>
      </c>
      <c r="G425" s="175" t="s">
        <v>118</v>
      </c>
      <c r="H425" s="181" t="s">
        <v>776</v>
      </c>
      <c r="I425" s="175" t="s">
        <v>701</v>
      </c>
      <c r="J425" s="6">
        <f>IF(ISERROR(VLOOKUP(A425,'8080 Op to Hex'!$A:$A,1,0)),0,1)</f>
        <v>0</v>
      </c>
      <c r="K425" s="6" cm="1">
        <f t="array" ref="K425">HlpGetInstructionSize(A425,B425,C425)</f>
        <v>1</v>
      </c>
      <c r="L425" s="6">
        <f t="shared" si="6"/>
        <v>1</v>
      </c>
    </row>
    <row r="426" spans="1:12">
      <c r="A426" s="175" t="s">
        <v>1359</v>
      </c>
      <c r="B426" s="175" t="s">
        <v>1246</v>
      </c>
      <c r="C426" s="175" t="s">
        <v>182</v>
      </c>
      <c r="D426" s="177" t="s">
        <v>1853</v>
      </c>
      <c r="E426" s="179">
        <v>2</v>
      </c>
      <c r="F426" s="175" t="s">
        <v>1854</v>
      </c>
      <c r="G426" s="175" t="s">
        <v>118</v>
      </c>
      <c r="H426" s="181" t="s">
        <v>776</v>
      </c>
      <c r="I426" s="175" t="s">
        <v>703</v>
      </c>
      <c r="J426" s="6">
        <f>IF(ISERROR(VLOOKUP(A426,'8080 Op to Hex'!$A:$A,1,0)),0,1)</f>
        <v>0</v>
      </c>
      <c r="K426" s="6" cm="1">
        <f t="array" ref="K426">HlpGetInstructionSize(A426,B426,C426)</f>
        <v>1</v>
      </c>
      <c r="L426" s="6">
        <f t="shared" si="6"/>
        <v>1</v>
      </c>
    </row>
    <row r="427" spans="1:12">
      <c r="A427" s="175" t="s">
        <v>1359</v>
      </c>
      <c r="B427" s="175" t="s">
        <v>1246</v>
      </c>
      <c r="C427" s="175" t="s">
        <v>183</v>
      </c>
      <c r="D427" s="177" t="s">
        <v>1855</v>
      </c>
      <c r="E427" s="179">
        <v>2</v>
      </c>
      <c r="F427" s="175" t="s">
        <v>1856</v>
      </c>
      <c r="G427" s="175" t="s">
        <v>118</v>
      </c>
      <c r="H427" s="181" t="s">
        <v>776</v>
      </c>
      <c r="I427" s="175" t="s">
        <v>705</v>
      </c>
      <c r="J427" s="6">
        <f>IF(ISERROR(VLOOKUP(A427,'8080 Op to Hex'!$A:$A,1,0)),0,1)</f>
        <v>0</v>
      </c>
      <c r="K427" s="6" cm="1">
        <f t="array" ref="K427">HlpGetInstructionSize(A427,B427,C427)</f>
        <v>1</v>
      </c>
      <c r="L427" s="6">
        <f t="shared" si="6"/>
        <v>1</v>
      </c>
    </row>
    <row r="428" spans="1:12">
      <c r="A428" s="175" t="s">
        <v>1359</v>
      </c>
      <c r="B428" s="175" t="s">
        <v>1246</v>
      </c>
      <c r="C428" s="175" t="s">
        <v>265</v>
      </c>
      <c r="D428" s="177" t="s">
        <v>1857</v>
      </c>
      <c r="E428" s="179">
        <v>2</v>
      </c>
      <c r="F428" s="175" t="s">
        <v>1858</v>
      </c>
      <c r="G428" s="175" t="s">
        <v>118</v>
      </c>
      <c r="H428" s="181" t="s">
        <v>776</v>
      </c>
      <c r="I428" s="175" t="s">
        <v>707</v>
      </c>
      <c r="J428" s="6">
        <f>IF(ISERROR(VLOOKUP(A428,'8080 Op to Hex'!$A:$A,1,0)),0,1)</f>
        <v>0</v>
      </c>
      <c r="K428" s="6" cm="1">
        <f t="array" ref="K428">HlpGetInstructionSize(A428,B428,C428)</f>
        <v>1</v>
      </c>
      <c r="L428" s="6">
        <f t="shared" si="6"/>
        <v>1</v>
      </c>
    </row>
    <row r="429" spans="1:12">
      <c r="A429" s="175" t="s">
        <v>1359</v>
      </c>
      <c r="B429" s="175" t="s">
        <v>1246</v>
      </c>
      <c r="C429" s="175" t="s">
        <v>303</v>
      </c>
      <c r="D429" s="177" t="s">
        <v>1859</v>
      </c>
      <c r="E429" s="179">
        <v>2</v>
      </c>
      <c r="F429" s="175" t="s">
        <v>1860</v>
      </c>
      <c r="G429" s="175" t="s">
        <v>118</v>
      </c>
      <c r="H429" s="181" t="s">
        <v>776</v>
      </c>
      <c r="I429" s="175" t="s">
        <v>709</v>
      </c>
      <c r="J429" s="6">
        <f>IF(ISERROR(VLOOKUP(A429,'8080 Op to Hex'!$A:$A,1,0)),0,1)</f>
        <v>0</v>
      </c>
      <c r="K429" s="6" cm="1">
        <f t="array" ref="K429">HlpGetInstructionSize(A429,B429,C429)</f>
        <v>1</v>
      </c>
      <c r="L429" s="6">
        <f t="shared" si="6"/>
        <v>1</v>
      </c>
    </row>
    <row r="430" spans="1:12">
      <c r="A430" s="175" t="s">
        <v>1359</v>
      </c>
      <c r="B430" s="175" t="s">
        <v>1246</v>
      </c>
      <c r="C430" s="175" t="s">
        <v>327</v>
      </c>
      <c r="D430" s="177" t="s">
        <v>1861</v>
      </c>
      <c r="E430" s="179">
        <v>2</v>
      </c>
      <c r="F430" s="175" t="s">
        <v>1862</v>
      </c>
      <c r="G430" s="175" t="s">
        <v>118</v>
      </c>
      <c r="H430" s="181" t="s">
        <v>776</v>
      </c>
      <c r="I430" s="175" t="s">
        <v>711</v>
      </c>
      <c r="J430" s="6">
        <f>IF(ISERROR(VLOOKUP(A430,'8080 Op to Hex'!$A:$A,1,0)),0,1)</f>
        <v>0</v>
      </c>
      <c r="K430" s="6" cm="1">
        <f t="array" ref="K430">HlpGetInstructionSize(A430,B430,C430)</f>
        <v>1</v>
      </c>
      <c r="L430" s="6">
        <f t="shared" si="6"/>
        <v>1</v>
      </c>
    </row>
    <row r="431" spans="1:12">
      <c r="A431" s="175" t="s">
        <v>1359</v>
      </c>
      <c r="B431" s="175" t="s">
        <v>253</v>
      </c>
      <c r="C431" s="175" t="s">
        <v>1238</v>
      </c>
      <c r="D431" s="177" t="s">
        <v>1863</v>
      </c>
      <c r="E431" s="179">
        <v>2</v>
      </c>
      <c r="F431" s="175" t="s">
        <v>1864</v>
      </c>
      <c r="G431" s="175" t="s">
        <v>118</v>
      </c>
      <c r="H431" s="181" t="s">
        <v>776</v>
      </c>
      <c r="I431" s="175" t="s">
        <v>726</v>
      </c>
      <c r="J431" s="6">
        <f>IF(ISERROR(VLOOKUP(A431,'8080 Op to Hex'!$A:$A,1,0)),0,1)</f>
        <v>0</v>
      </c>
      <c r="K431" s="6" cm="1">
        <f t="array" ref="K431">HlpGetInstructionSize(A431,B431,C431)</f>
        <v>1</v>
      </c>
      <c r="L431" s="6">
        <f t="shared" si="6"/>
        <v>1</v>
      </c>
    </row>
    <row r="432" spans="1:12">
      <c r="A432" s="175" t="s">
        <v>1359</v>
      </c>
      <c r="B432" s="175" t="s">
        <v>253</v>
      </c>
      <c r="C432" s="175" t="s">
        <v>146</v>
      </c>
      <c r="D432" s="177" t="s">
        <v>1865</v>
      </c>
      <c r="E432" s="179">
        <v>2</v>
      </c>
      <c r="F432" s="175" t="s">
        <v>1365</v>
      </c>
      <c r="G432" s="175" t="s">
        <v>118</v>
      </c>
      <c r="H432" s="181" t="s">
        <v>776</v>
      </c>
      <c r="I432" s="175" t="s">
        <v>728</v>
      </c>
      <c r="J432" s="6">
        <f>IF(ISERROR(VLOOKUP(A432,'8080 Op to Hex'!$A:$A,1,0)),0,1)</f>
        <v>0</v>
      </c>
      <c r="K432" s="6" cm="1">
        <f t="array" ref="K432">HlpGetInstructionSize(A432,B432,C432)</f>
        <v>1</v>
      </c>
      <c r="L432" s="6">
        <f t="shared" si="6"/>
        <v>1</v>
      </c>
    </row>
    <row r="433" spans="1:12">
      <c r="A433" s="175" t="s">
        <v>1359</v>
      </c>
      <c r="B433" s="175" t="s">
        <v>253</v>
      </c>
      <c r="C433" s="175" t="s">
        <v>144</v>
      </c>
      <c r="D433" s="177" t="s">
        <v>1866</v>
      </c>
      <c r="E433" s="179">
        <v>2</v>
      </c>
      <c r="F433" s="175" t="s">
        <v>1867</v>
      </c>
      <c r="G433" s="175" t="s">
        <v>118</v>
      </c>
      <c r="H433" s="181" t="s">
        <v>776</v>
      </c>
      <c r="I433" s="175" t="s">
        <v>717</v>
      </c>
      <c r="J433" s="6">
        <f>IF(ISERROR(VLOOKUP(A433,'8080 Op to Hex'!$A:$A,1,0)),0,1)</f>
        <v>0</v>
      </c>
      <c r="K433" s="6" cm="1">
        <f t="array" ref="K433">HlpGetInstructionSize(A433,B433,C433)</f>
        <v>1</v>
      </c>
      <c r="L433" s="6">
        <f t="shared" si="6"/>
        <v>1</v>
      </c>
    </row>
    <row r="434" spans="1:12">
      <c r="A434" s="175" t="s">
        <v>1359</v>
      </c>
      <c r="B434" s="175" t="s">
        <v>253</v>
      </c>
      <c r="C434" s="175" t="s">
        <v>182</v>
      </c>
      <c r="D434" s="177" t="s">
        <v>1868</v>
      </c>
      <c r="E434" s="179">
        <v>2</v>
      </c>
      <c r="F434" s="175" t="s">
        <v>1869</v>
      </c>
      <c r="G434" s="175" t="s">
        <v>118</v>
      </c>
      <c r="H434" s="181" t="s">
        <v>776</v>
      </c>
      <c r="I434" s="175" t="s">
        <v>719</v>
      </c>
      <c r="J434" s="6">
        <f>IF(ISERROR(VLOOKUP(A434,'8080 Op to Hex'!$A:$A,1,0)),0,1)</f>
        <v>0</v>
      </c>
      <c r="K434" s="6" cm="1">
        <f t="array" ref="K434">HlpGetInstructionSize(A434,B434,C434)</f>
        <v>1</v>
      </c>
      <c r="L434" s="6">
        <f t="shared" si="6"/>
        <v>1</v>
      </c>
    </row>
    <row r="435" spans="1:12">
      <c r="A435" s="175" t="s">
        <v>1359</v>
      </c>
      <c r="B435" s="175" t="s">
        <v>253</v>
      </c>
      <c r="C435" s="175" t="s">
        <v>183</v>
      </c>
      <c r="D435" s="177" t="s">
        <v>1870</v>
      </c>
      <c r="E435" s="179">
        <v>2</v>
      </c>
      <c r="F435" s="175" t="s">
        <v>1871</v>
      </c>
      <c r="G435" s="175" t="s">
        <v>118</v>
      </c>
      <c r="H435" s="181" t="s">
        <v>776</v>
      </c>
      <c r="I435" s="175" t="s">
        <v>180</v>
      </c>
      <c r="J435" s="6">
        <f>IF(ISERROR(VLOOKUP(A435,'8080 Op to Hex'!$A:$A,1,0)),0,1)</f>
        <v>0</v>
      </c>
      <c r="K435" s="6" cm="1">
        <f t="array" ref="K435">HlpGetInstructionSize(A435,B435,C435)</f>
        <v>1</v>
      </c>
      <c r="L435" s="6">
        <f t="shared" si="6"/>
        <v>1</v>
      </c>
    </row>
    <row r="436" spans="1:12">
      <c r="A436" s="175" t="s">
        <v>1359</v>
      </c>
      <c r="B436" s="175" t="s">
        <v>253</v>
      </c>
      <c r="C436" s="175" t="s">
        <v>265</v>
      </c>
      <c r="D436" s="177" t="s">
        <v>1872</v>
      </c>
      <c r="E436" s="179">
        <v>2</v>
      </c>
      <c r="F436" s="175" t="s">
        <v>1873</v>
      </c>
      <c r="G436" s="175" t="s">
        <v>118</v>
      </c>
      <c r="H436" s="181" t="s">
        <v>776</v>
      </c>
      <c r="I436" s="175" t="s">
        <v>326</v>
      </c>
      <c r="J436" s="6">
        <f>IF(ISERROR(VLOOKUP(A436,'8080 Op to Hex'!$A:$A,1,0)),0,1)</f>
        <v>0</v>
      </c>
      <c r="K436" s="6" cm="1">
        <f t="array" ref="K436">HlpGetInstructionSize(A436,B436,C436)</f>
        <v>1</v>
      </c>
      <c r="L436" s="6">
        <f t="shared" si="6"/>
        <v>1</v>
      </c>
    </row>
    <row r="437" spans="1:12">
      <c r="A437" s="175" t="s">
        <v>1359</v>
      </c>
      <c r="B437" s="175" t="s">
        <v>253</v>
      </c>
      <c r="C437" s="175" t="s">
        <v>303</v>
      </c>
      <c r="D437" s="177" t="s">
        <v>1874</v>
      </c>
      <c r="E437" s="179">
        <v>2</v>
      </c>
      <c r="F437" s="175" t="s">
        <v>1875</v>
      </c>
      <c r="G437" s="175" t="s">
        <v>118</v>
      </c>
      <c r="H437" s="181" t="s">
        <v>776</v>
      </c>
      <c r="I437" s="175" t="s">
        <v>122</v>
      </c>
      <c r="J437" s="6">
        <f>IF(ISERROR(VLOOKUP(A437,'8080 Op to Hex'!$A:$A,1,0)),0,1)</f>
        <v>0</v>
      </c>
      <c r="K437" s="6" cm="1">
        <f t="array" ref="K437">HlpGetInstructionSize(A437,B437,C437)</f>
        <v>1</v>
      </c>
      <c r="L437" s="6">
        <f t="shared" si="6"/>
        <v>1</v>
      </c>
    </row>
    <row r="438" spans="1:12">
      <c r="A438" s="175" t="s">
        <v>1359</v>
      </c>
      <c r="B438" s="175" t="s">
        <v>253</v>
      </c>
      <c r="C438" s="175" t="s">
        <v>327</v>
      </c>
      <c r="D438" s="177" t="s">
        <v>1876</v>
      </c>
      <c r="E438" s="179">
        <v>2</v>
      </c>
      <c r="F438" s="175" t="s">
        <v>1877</v>
      </c>
      <c r="G438" s="175" t="s">
        <v>118</v>
      </c>
      <c r="H438" s="181" t="s">
        <v>776</v>
      </c>
      <c r="I438" s="175" t="s">
        <v>724</v>
      </c>
      <c r="J438" s="6">
        <f>IF(ISERROR(VLOOKUP(A438,'8080 Op to Hex'!$A:$A,1,0)),0,1)</f>
        <v>0</v>
      </c>
      <c r="K438" s="6" cm="1">
        <f t="array" ref="K438">HlpGetInstructionSize(A438,B438,C438)</f>
        <v>1</v>
      </c>
      <c r="L438" s="6">
        <f t="shared" si="6"/>
        <v>1</v>
      </c>
    </row>
    <row r="439" spans="1:12">
      <c r="A439" s="175" t="s">
        <v>1359</v>
      </c>
      <c r="B439" s="175" t="s">
        <v>1335</v>
      </c>
      <c r="C439" s="175" t="s">
        <v>1238</v>
      </c>
      <c r="D439" s="177" t="s">
        <v>1878</v>
      </c>
      <c r="E439" s="179">
        <v>2</v>
      </c>
      <c r="F439" s="175" t="s">
        <v>1879</v>
      </c>
      <c r="G439" s="175" t="s">
        <v>118</v>
      </c>
      <c r="H439" s="181" t="s">
        <v>776</v>
      </c>
      <c r="I439" s="175" t="s">
        <v>488</v>
      </c>
      <c r="J439" s="6">
        <f>IF(ISERROR(VLOOKUP(A439,'8080 Op to Hex'!$A:$A,1,0)),0,1)</f>
        <v>0</v>
      </c>
      <c r="K439" s="6" cm="1">
        <f t="array" ref="K439">HlpGetInstructionSize(A439,B439,C439)</f>
        <v>1</v>
      </c>
      <c r="L439" s="6">
        <f t="shared" si="6"/>
        <v>1</v>
      </c>
    </row>
    <row r="440" spans="1:12">
      <c r="A440" s="175" t="s">
        <v>1359</v>
      </c>
      <c r="B440" s="175" t="s">
        <v>1335</v>
      </c>
      <c r="C440" s="175" t="s">
        <v>146</v>
      </c>
      <c r="D440" s="177" t="s">
        <v>1880</v>
      </c>
      <c r="E440" s="179">
        <v>2</v>
      </c>
      <c r="F440" s="175" t="s">
        <v>1366</v>
      </c>
      <c r="G440" s="175" t="s">
        <v>118</v>
      </c>
      <c r="H440" s="181" t="s">
        <v>776</v>
      </c>
      <c r="I440" s="175" t="s">
        <v>487</v>
      </c>
      <c r="J440" s="6">
        <f>IF(ISERROR(VLOOKUP(A440,'8080 Op to Hex'!$A:$A,1,0)),0,1)</f>
        <v>0</v>
      </c>
      <c r="K440" s="6" cm="1">
        <f t="array" ref="K440">HlpGetInstructionSize(A440,B440,C440)</f>
        <v>1</v>
      </c>
      <c r="L440" s="6">
        <f t="shared" si="6"/>
        <v>1</v>
      </c>
    </row>
    <row r="441" spans="1:12">
      <c r="A441" s="175" t="s">
        <v>1359</v>
      </c>
      <c r="B441" s="175" t="s">
        <v>1335</v>
      </c>
      <c r="C441" s="175" t="s">
        <v>144</v>
      </c>
      <c r="D441" s="177" t="s">
        <v>1881</v>
      </c>
      <c r="E441" s="179">
        <v>2</v>
      </c>
      <c r="F441" s="175" t="s">
        <v>1882</v>
      </c>
      <c r="G441" s="175" t="s">
        <v>118</v>
      </c>
      <c r="H441" s="181" t="s">
        <v>776</v>
      </c>
      <c r="I441" s="175" t="s">
        <v>495</v>
      </c>
      <c r="J441" s="6">
        <f>IF(ISERROR(VLOOKUP(A441,'8080 Op to Hex'!$A:$A,1,0)),0,1)</f>
        <v>0</v>
      </c>
      <c r="K441" s="6" cm="1">
        <f t="array" ref="K441">HlpGetInstructionSize(A441,B441,C441)</f>
        <v>1</v>
      </c>
      <c r="L441" s="6">
        <f t="shared" si="6"/>
        <v>1</v>
      </c>
    </row>
    <row r="442" spans="1:12">
      <c r="A442" s="175" t="s">
        <v>1359</v>
      </c>
      <c r="B442" s="175" t="s">
        <v>1335</v>
      </c>
      <c r="C442" s="175" t="s">
        <v>182</v>
      </c>
      <c r="D442" s="177" t="s">
        <v>1883</v>
      </c>
      <c r="E442" s="179">
        <v>2</v>
      </c>
      <c r="F442" s="175" t="s">
        <v>1884</v>
      </c>
      <c r="G442" s="175" t="s">
        <v>118</v>
      </c>
      <c r="H442" s="181" t="s">
        <v>776</v>
      </c>
      <c r="I442" s="175" t="s">
        <v>493</v>
      </c>
      <c r="J442" s="6">
        <f>IF(ISERROR(VLOOKUP(A442,'8080 Op to Hex'!$A:$A,1,0)),0,1)</f>
        <v>0</v>
      </c>
      <c r="K442" s="6" cm="1">
        <f t="array" ref="K442">HlpGetInstructionSize(A442,B442,C442)</f>
        <v>1</v>
      </c>
      <c r="L442" s="6">
        <f t="shared" si="6"/>
        <v>1</v>
      </c>
    </row>
    <row r="443" spans="1:12">
      <c r="A443" s="175" t="s">
        <v>1359</v>
      </c>
      <c r="B443" s="175" t="s">
        <v>1335</v>
      </c>
      <c r="C443" s="175" t="s">
        <v>183</v>
      </c>
      <c r="D443" s="177" t="s">
        <v>1885</v>
      </c>
      <c r="E443" s="179">
        <v>2</v>
      </c>
      <c r="F443" s="175" t="s">
        <v>1886</v>
      </c>
      <c r="G443" s="175" t="s">
        <v>118</v>
      </c>
      <c r="H443" s="181" t="s">
        <v>776</v>
      </c>
      <c r="I443" s="175" t="s">
        <v>492</v>
      </c>
      <c r="J443" s="6">
        <f>IF(ISERROR(VLOOKUP(A443,'8080 Op to Hex'!$A:$A,1,0)),0,1)</f>
        <v>0</v>
      </c>
      <c r="K443" s="6" cm="1">
        <f t="array" ref="K443">HlpGetInstructionSize(A443,B443,C443)</f>
        <v>1</v>
      </c>
      <c r="L443" s="6">
        <f t="shared" si="6"/>
        <v>1</v>
      </c>
    </row>
    <row r="444" spans="1:12">
      <c r="A444" s="175" t="s">
        <v>1359</v>
      </c>
      <c r="B444" s="175" t="s">
        <v>1335</v>
      </c>
      <c r="C444" s="175" t="s">
        <v>265</v>
      </c>
      <c r="D444" s="177" t="s">
        <v>1887</v>
      </c>
      <c r="E444" s="179">
        <v>2</v>
      </c>
      <c r="F444" s="175" t="s">
        <v>1888</v>
      </c>
      <c r="G444" s="175" t="s">
        <v>118</v>
      </c>
      <c r="H444" s="181" t="s">
        <v>776</v>
      </c>
      <c r="I444" s="175" t="s">
        <v>491</v>
      </c>
      <c r="J444" s="6">
        <f>IF(ISERROR(VLOOKUP(A444,'8080 Op to Hex'!$A:$A,1,0)),0,1)</f>
        <v>0</v>
      </c>
      <c r="K444" s="6" cm="1">
        <f t="array" ref="K444">HlpGetInstructionSize(A444,B444,C444)</f>
        <v>1</v>
      </c>
      <c r="L444" s="6">
        <f t="shared" si="6"/>
        <v>1</v>
      </c>
    </row>
    <row r="445" spans="1:12">
      <c r="A445" s="175" t="s">
        <v>1359</v>
      </c>
      <c r="B445" s="175" t="s">
        <v>1335</v>
      </c>
      <c r="C445" s="175" t="s">
        <v>303</v>
      </c>
      <c r="D445" s="177" t="s">
        <v>1889</v>
      </c>
      <c r="E445" s="179">
        <v>2</v>
      </c>
      <c r="F445" s="175" t="s">
        <v>1890</v>
      </c>
      <c r="G445" s="175" t="s">
        <v>118</v>
      </c>
      <c r="H445" s="181" t="s">
        <v>776</v>
      </c>
      <c r="I445" s="175" t="s">
        <v>490</v>
      </c>
      <c r="J445" s="6">
        <f>IF(ISERROR(VLOOKUP(A445,'8080 Op to Hex'!$A:$A,1,0)),0,1)</f>
        <v>0</v>
      </c>
      <c r="K445" s="6" cm="1">
        <f t="array" ref="K445">HlpGetInstructionSize(A445,B445,C445)</f>
        <v>1</v>
      </c>
      <c r="L445" s="6">
        <f t="shared" si="6"/>
        <v>1</v>
      </c>
    </row>
    <row r="446" spans="1:12">
      <c r="A446" s="175" t="s">
        <v>1359</v>
      </c>
      <c r="B446" s="175" t="s">
        <v>1335</v>
      </c>
      <c r="C446" s="175" t="s">
        <v>327</v>
      </c>
      <c r="D446" s="177" t="s">
        <v>1891</v>
      </c>
      <c r="E446" s="179">
        <v>2</v>
      </c>
      <c r="F446" s="175" t="s">
        <v>1892</v>
      </c>
      <c r="G446" s="175" t="s">
        <v>118</v>
      </c>
      <c r="H446" s="181" t="s">
        <v>776</v>
      </c>
      <c r="I446" s="175" t="s">
        <v>489</v>
      </c>
      <c r="J446" s="6">
        <f>IF(ISERROR(VLOOKUP(A446,'8080 Op to Hex'!$A:$A,1,0)),0,1)</f>
        <v>0</v>
      </c>
      <c r="K446" s="6" cm="1">
        <f t="array" ref="K446">HlpGetInstructionSize(A446,B446,C446)</f>
        <v>1</v>
      </c>
      <c r="L446" s="6">
        <f t="shared" si="6"/>
        <v>1</v>
      </c>
    </row>
    <row r="447" spans="1:12">
      <c r="A447" s="175" t="s">
        <v>1359</v>
      </c>
      <c r="B447" s="175" t="s">
        <v>1342</v>
      </c>
      <c r="C447" s="175" t="s">
        <v>1238</v>
      </c>
      <c r="D447" s="177" t="s">
        <v>1893</v>
      </c>
      <c r="E447" s="179">
        <v>2</v>
      </c>
      <c r="F447" s="175" t="s">
        <v>1894</v>
      </c>
      <c r="G447" s="175" t="s">
        <v>118</v>
      </c>
      <c r="H447" s="181" t="s">
        <v>776</v>
      </c>
      <c r="I447" s="175" t="s">
        <v>749</v>
      </c>
      <c r="J447" s="6">
        <f>IF(ISERROR(VLOOKUP(A447,'8080 Op to Hex'!$A:$A,1,0)),0,1)</f>
        <v>0</v>
      </c>
      <c r="K447" s="6" cm="1">
        <f t="array" ref="K447">HlpGetInstructionSize(A447,B447,C447)</f>
        <v>1</v>
      </c>
      <c r="L447" s="6">
        <f t="shared" si="6"/>
        <v>1</v>
      </c>
    </row>
    <row r="448" spans="1:12">
      <c r="A448" s="175" t="s">
        <v>1359</v>
      </c>
      <c r="B448" s="175" t="s">
        <v>1342</v>
      </c>
      <c r="C448" s="175" t="s">
        <v>146</v>
      </c>
      <c r="D448" s="177" t="s">
        <v>1895</v>
      </c>
      <c r="E448" s="179">
        <v>2</v>
      </c>
      <c r="F448" s="175" t="s">
        <v>1367</v>
      </c>
      <c r="G448" s="175" t="s">
        <v>118</v>
      </c>
      <c r="H448" s="181" t="s">
        <v>776</v>
      </c>
      <c r="I448" s="175" t="s">
        <v>751</v>
      </c>
      <c r="J448" s="6">
        <f>IF(ISERROR(VLOOKUP(A448,'8080 Op to Hex'!$A:$A,1,0)),0,1)</f>
        <v>0</v>
      </c>
      <c r="K448" s="6" cm="1">
        <f t="array" ref="K448">HlpGetInstructionSize(A448,B448,C448)</f>
        <v>1</v>
      </c>
      <c r="L448" s="6">
        <f t="shared" si="6"/>
        <v>1</v>
      </c>
    </row>
    <row r="449" spans="1:12">
      <c r="A449" s="175" t="s">
        <v>1359</v>
      </c>
      <c r="B449" s="175" t="s">
        <v>1342</v>
      </c>
      <c r="C449" s="175" t="s">
        <v>144</v>
      </c>
      <c r="D449" s="177" t="s">
        <v>1896</v>
      </c>
      <c r="E449" s="179">
        <v>2</v>
      </c>
      <c r="F449" s="175" t="s">
        <v>1897</v>
      </c>
      <c r="G449" s="175" t="s">
        <v>118</v>
      </c>
      <c r="H449" s="181" t="s">
        <v>776</v>
      </c>
      <c r="I449" s="175" t="s">
        <v>738</v>
      </c>
      <c r="J449" s="6">
        <f>IF(ISERROR(VLOOKUP(A449,'8080 Op to Hex'!$A:$A,1,0)),0,1)</f>
        <v>0</v>
      </c>
      <c r="K449" s="6" cm="1">
        <f t="array" ref="K449">HlpGetInstructionSize(A449,B449,C449)</f>
        <v>1</v>
      </c>
      <c r="L449" s="6">
        <f t="shared" si="6"/>
        <v>1</v>
      </c>
    </row>
    <row r="450" spans="1:12">
      <c r="A450" s="175" t="s">
        <v>1359</v>
      </c>
      <c r="B450" s="175" t="s">
        <v>1342</v>
      </c>
      <c r="C450" s="175" t="s">
        <v>182</v>
      </c>
      <c r="D450" s="177" t="s">
        <v>1898</v>
      </c>
      <c r="E450" s="179">
        <v>2</v>
      </c>
      <c r="F450" s="175" t="s">
        <v>1899</v>
      </c>
      <c r="G450" s="175" t="s">
        <v>118</v>
      </c>
      <c r="H450" s="181" t="s">
        <v>776</v>
      </c>
      <c r="I450" s="175" t="s">
        <v>740</v>
      </c>
      <c r="J450" s="6">
        <f>IF(ISERROR(VLOOKUP(A450,'8080 Op to Hex'!$A:$A,1,0)),0,1)</f>
        <v>0</v>
      </c>
      <c r="K450" s="6" cm="1">
        <f t="array" ref="K450">HlpGetInstructionSize(A450,B450,C450)</f>
        <v>1</v>
      </c>
      <c r="L450" s="6">
        <f t="shared" ref="L450:L512" si="7">IF(E450&lt;&gt;K450,1,0)</f>
        <v>1</v>
      </c>
    </row>
    <row r="451" spans="1:12">
      <c r="A451" s="175" t="s">
        <v>1359</v>
      </c>
      <c r="B451" s="175" t="s">
        <v>1342</v>
      </c>
      <c r="C451" s="175" t="s">
        <v>183</v>
      </c>
      <c r="D451" s="177" t="s">
        <v>1900</v>
      </c>
      <c r="E451" s="179">
        <v>2</v>
      </c>
      <c r="F451" s="175" t="s">
        <v>1901</v>
      </c>
      <c r="G451" s="175" t="s">
        <v>118</v>
      </c>
      <c r="H451" s="181" t="s">
        <v>776</v>
      </c>
      <c r="I451" s="175" t="s">
        <v>742</v>
      </c>
      <c r="J451" s="6">
        <f>IF(ISERROR(VLOOKUP(A451,'8080 Op to Hex'!$A:$A,1,0)),0,1)</f>
        <v>0</v>
      </c>
      <c r="K451" s="6" cm="1">
        <f t="array" ref="K451">HlpGetInstructionSize(A451,B451,C451)</f>
        <v>1</v>
      </c>
      <c r="L451" s="6">
        <f t="shared" si="7"/>
        <v>1</v>
      </c>
    </row>
    <row r="452" spans="1:12">
      <c r="A452" s="175" t="s">
        <v>1359</v>
      </c>
      <c r="B452" s="175" t="s">
        <v>1342</v>
      </c>
      <c r="C452" s="175" t="s">
        <v>265</v>
      </c>
      <c r="D452" s="177" t="s">
        <v>1902</v>
      </c>
      <c r="E452" s="179">
        <v>2</v>
      </c>
      <c r="F452" s="175" t="s">
        <v>1903</v>
      </c>
      <c r="G452" s="175" t="s">
        <v>118</v>
      </c>
      <c r="H452" s="181" t="s">
        <v>776</v>
      </c>
      <c r="I452" s="175" t="s">
        <v>744</v>
      </c>
      <c r="J452" s="6">
        <f>IF(ISERROR(VLOOKUP(A452,'8080 Op to Hex'!$A:$A,1,0)),0,1)</f>
        <v>0</v>
      </c>
      <c r="K452" s="6" cm="1">
        <f t="array" ref="K452">HlpGetInstructionSize(A452,B452,C452)</f>
        <v>1</v>
      </c>
      <c r="L452" s="6">
        <f t="shared" si="7"/>
        <v>1</v>
      </c>
    </row>
    <row r="453" spans="1:12">
      <c r="A453" s="175" t="s">
        <v>1359</v>
      </c>
      <c r="B453" s="175" t="s">
        <v>1342</v>
      </c>
      <c r="C453" s="175" t="s">
        <v>303</v>
      </c>
      <c r="D453" s="177" t="s">
        <v>1904</v>
      </c>
      <c r="E453" s="179">
        <v>2</v>
      </c>
      <c r="F453" s="175" t="s">
        <v>1905</v>
      </c>
      <c r="G453" s="175" t="s">
        <v>118</v>
      </c>
      <c r="H453" s="181" t="s">
        <v>776</v>
      </c>
      <c r="I453" s="175" t="s">
        <v>336</v>
      </c>
      <c r="J453" s="6">
        <f>IF(ISERROR(VLOOKUP(A453,'8080 Op to Hex'!$A:$A,1,0)),0,1)</f>
        <v>0</v>
      </c>
      <c r="K453" s="6" cm="1">
        <f t="array" ref="K453">HlpGetInstructionSize(A453,B453,C453)</f>
        <v>1</v>
      </c>
      <c r="L453" s="6">
        <f t="shared" si="7"/>
        <v>1</v>
      </c>
    </row>
    <row r="454" spans="1:12">
      <c r="A454" s="175" t="s">
        <v>1359</v>
      </c>
      <c r="B454" s="175" t="s">
        <v>1342</v>
      </c>
      <c r="C454" s="175" t="s">
        <v>327</v>
      </c>
      <c r="D454" s="177" t="s">
        <v>1906</v>
      </c>
      <c r="E454" s="179">
        <v>2</v>
      </c>
      <c r="F454" s="175" t="s">
        <v>1907</v>
      </c>
      <c r="G454" s="175" t="s">
        <v>118</v>
      </c>
      <c r="H454" s="181" t="s">
        <v>776</v>
      </c>
      <c r="I454" s="175" t="s">
        <v>747</v>
      </c>
      <c r="J454" s="6">
        <f>IF(ISERROR(VLOOKUP(A454,'8080 Op to Hex'!$A:$A,1,0)),0,1)</f>
        <v>0</v>
      </c>
      <c r="K454" s="6" cm="1">
        <f t="array" ref="K454">HlpGetInstructionSize(A454,B454,C454)</f>
        <v>1</v>
      </c>
      <c r="L454" s="6">
        <f t="shared" si="7"/>
        <v>1</v>
      </c>
    </row>
    <row r="455" spans="1:12">
      <c r="A455" s="175" t="s">
        <v>84</v>
      </c>
      <c r="B455" s="175"/>
      <c r="C455" s="175"/>
      <c r="D455" s="177" t="s">
        <v>772</v>
      </c>
      <c r="E455" s="179">
        <v>1</v>
      </c>
      <c r="F455" s="175" t="s">
        <v>1908</v>
      </c>
      <c r="G455" s="175" t="s">
        <v>1129</v>
      </c>
      <c r="H455" s="181"/>
      <c r="I455" s="175" t="s">
        <v>772</v>
      </c>
      <c r="J455" s="6">
        <f>IF(ISERROR(VLOOKUP(A455,'8080 Op to Hex'!$A:$A,1,0)),0,1)</f>
        <v>1</v>
      </c>
      <c r="K455" s="6" cm="1">
        <f t="array" ref="K455">HlpGetInstructionSize(A455,B455,C455)</f>
        <v>1</v>
      </c>
      <c r="L455" s="6">
        <f t="shared" si="7"/>
        <v>0</v>
      </c>
    </row>
    <row r="456" spans="1:12">
      <c r="A456" s="175" t="s">
        <v>84</v>
      </c>
      <c r="B456" s="175" t="s">
        <v>182</v>
      </c>
      <c r="C456" s="175"/>
      <c r="D456" s="177" t="s">
        <v>801</v>
      </c>
      <c r="E456" s="179">
        <v>1</v>
      </c>
      <c r="F456" s="175" t="s">
        <v>803</v>
      </c>
      <c r="G456" s="175" t="s">
        <v>1129</v>
      </c>
      <c r="H456" s="181"/>
      <c r="I456" s="175" t="s">
        <v>801</v>
      </c>
      <c r="J456" s="6">
        <f>IF(ISERROR(VLOOKUP(A456,'8080 Op to Hex'!$A:$A,1,0)),0,1)</f>
        <v>1</v>
      </c>
      <c r="K456" s="6" cm="1">
        <f t="array" ref="K456">HlpGetInstructionSize(A456,B456,C456)</f>
        <v>1</v>
      </c>
      <c r="L456" s="6">
        <f t="shared" si="7"/>
        <v>0</v>
      </c>
    </row>
    <row r="457" spans="1:12">
      <c r="A457" s="175" t="s">
        <v>84</v>
      </c>
      <c r="B457" s="175" t="s">
        <v>577</v>
      </c>
      <c r="C457" s="175"/>
      <c r="D457" s="177" t="s">
        <v>1116</v>
      </c>
      <c r="E457" s="179">
        <v>1</v>
      </c>
      <c r="F457" s="175" t="s">
        <v>1337</v>
      </c>
      <c r="G457" s="175" t="s">
        <v>1129</v>
      </c>
      <c r="H457" s="181"/>
      <c r="I457" s="175" t="s">
        <v>1116</v>
      </c>
      <c r="J457" s="6">
        <f>IF(ISERROR(VLOOKUP(A457,'8080 Op to Hex'!$A:$A,1,0)),0,1)</f>
        <v>1</v>
      </c>
      <c r="K457" s="6" cm="1">
        <f t="array" ref="K457">HlpGetInstructionSize(A457,B457,C457)</f>
        <v>1</v>
      </c>
      <c r="L457" s="6">
        <f t="shared" si="7"/>
        <v>0</v>
      </c>
    </row>
    <row r="458" spans="1:12">
      <c r="A458" s="175" t="s">
        <v>84</v>
      </c>
      <c r="B458" s="175" t="s">
        <v>1244</v>
      </c>
      <c r="C458" s="175"/>
      <c r="D458" s="177" t="s">
        <v>784</v>
      </c>
      <c r="E458" s="179">
        <v>1</v>
      </c>
      <c r="F458" s="175" t="s">
        <v>1311</v>
      </c>
      <c r="G458" s="175" t="s">
        <v>1129</v>
      </c>
      <c r="H458" s="181"/>
      <c r="I458" s="175" t="s">
        <v>784</v>
      </c>
      <c r="J458" s="6">
        <f>IF(ISERROR(VLOOKUP(A458,'8080 Op to Hex'!$A:$A,1,0)),0,1)</f>
        <v>1</v>
      </c>
      <c r="K458" s="6" cm="1">
        <f t="array" ref="K458">HlpGetInstructionSize(A458,B458,C458)</f>
        <v>1</v>
      </c>
      <c r="L458" s="6">
        <f t="shared" si="7"/>
        <v>0</v>
      </c>
    </row>
    <row r="459" spans="1:12">
      <c r="A459" s="175" t="s">
        <v>84</v>
      </c>
      <c r="B459" s="175" t="s">
        <v>1236</v>
      </c>
      <c r="C459" s="175"/>
      <c r="D459" s="177" t="s">
        <v>753</v>
      </c>
      <c r="E459" s="179">
        <v>1</v>
      </c>
      <c r="F459" s="175" t="s">
        <v>755</v>
      </c>
      <c r="G459" s="175" t="s">
        <v>1129</v>
      </c>
      <c r="H459" s="181"/>
      <c r="I459" s="175" t="s">
        <v>753</v>
      </c>
      <c r="J459" s="6">
        <f>IF(ISERROR(VLOOKUP(A459,'8080 Op to Hex'!$A:$A,1,0)),0,1)</f>
        <v>1</v>
      </c>
      <c r="K459" s="6" cm="1">
        <f t="array" ref="K459">HlpGetInstructionSize(A459,B459,C459)</f>
        <v>1</v>
      </c>
      <c r="L459" s="6">
        <f t="shared" si="7"/>
        <v>0</v>
      </c>
    </row>
    <row r="460" spans="1:12">
      <c r="A460" s="175" t="s">
        <v>84</v>
      </c>
      <c r="B460" s="175" t="s">
        <v>224</v>
      </c>
      <c r="C460" s="175"/>
      <c r="D460" s="177" t="s">
        <v>264</v>
      </c>
      <c r="E460" s="179">
        <v>1</v>
      </c>
      <c r="F460" s="175" t="s">
        <v>1329</v>
      </c>
      <c r="G460" s="175" t="s">
        <v>1129</v>
      </c>
      <c r="H460" s="181"/>
      <c r="I460" s="175" t="s">
        <v>264</v>
      </c>
      <c r="J460" s="6">
        <f>IF(ISERROR(VLOOKUP(A460,'8080 Op to Hex'!$A:$A,1,0)),0,1)</f>
        <v>1</v>
      </c>
      <c r="K460" s="6" cm="1">
        <f t="array" ref="K460">HlpGetInstructionSize(A460,B460,C460)</f>
        <v>1</v>
      </c>
      <c r="L460" s="6">
        <f t="shared" si="7"/>
        <v>0</v>
      </c>
    </row>
    <row r="461" spans="1:12">
      <c r="A461" s="175" t="s">
        <v>84</v>
      </c>
      <c r="B461" s="175" t="s">
        <v>1325</v>
      </c>
      <c r="C461" s="175"/>
      <c r="D461" s="177" t="s">
        <v>831</v>
      </c>
      <c r="E461" s="179">
        <v>1</v>
      </c>
      <c r="F461" s="175" t="s">
        <v>833</v>
      </c>
      <c r="G461" s="175" t="s">
        <v>1129</v>
      </c>
      <c r="H461" s="181"/>
      <c r="I461" s="175" t="s">
        <v>831</v>
      </c>
      <c r="J461" s="6">
        <f>IF(ISERROR(VLOOKUP(A461,'8080 Op to Hex'!$A:$A,1,0)),0,1)</f>
        <v>1</v>
      </c>
      <c r="K461" s="6" cm="1">
        <f t="array" ref="K461">HlpGetInstructionSize(A461,B461,C461)</f>
        <v>1</v>
      </c>
      <c r="L461" s="6">
        <f t="shared" si="7"/>
        <v>0</v>
      </c>
    </row>
    <row r="462" spans="1:12">
      <c r="A462" s="175" t="s">
        <v>84</v>
      </c>
      <c r="B462" s="175" t="s">
        <v>1319</v>
      </c>
      <c r="C462" s="175"/>
      <c r="D462" s="177" t="s">
        <v>815</v>
      </c>
      <c r="E462" s="179">
        <v>1</v>
      </c>
      <c r="F462" s="175" t="s">
        <v>817</v>
      </c>
      <c r="G462" s="175" t="s">
        <v>1129</v>
      </c>
      <c r="H462" s="181"/>
      <c r="I462" s="175" t="s">
        <v>815</v>
      </c>
      <c r="J462" s="6">
        <f>IF(ISERROR(VLOOKUP(A462,'8080 Op to Hex'!$A:$A,1,0)),0,1)</f>
        <v>1</v>
      </c>
      <c r="K462" s="6" cm="1">
        <f t="array" ref="K462">HlpGetInstructionSize(A462,B462,C462)</f>
        <v>1</v>
      </c>
      <c r="L462" s="6">
        <f t="shared" si="7"/>
        <v>0</v>
      </c>
    </row>
    <row r="463" spans="1:12">
      <c r="A463" s="175" t="s">
        <v>84</v>
      </c>
      <c r="B463" s="175" t="s">
        <v>219</v>
      </c>
      <c r="C463" s="175"/>
      <c r="D463" s="177" t="s">
        <v>770</v>
      </c>
      <c r="E463" s="179">
        <v>1</v>
      </c>
      <c r="F463" s="175" t="s">
        <v>771</v>
      </c>
      <c r="G463" s="175" t="s">
        <v>1129</v>
      </c>
      <c r="H463" s="181"/>
      <c r="I463" s="175" t="s">
        <v>770</v>
      </c>
      <c r="J463" s="6">
        <f>IF(ISERROR(VLOOKUP(A463,'8080 Op to Hex'!$A:$A,1,0)),0,1)</f>
        <v>1</v>
      </c>
      <c r="K463" s="6" cm="1">
        <f t="array" ref="K463">HlpGetInstructionSize(A463,B463,C463)</f>
        <v>1</v>
      </c>
      <c r="L463" s="6">
        <f t="shared" si="7"/>
        <v>0</v>
      </c>
    </row>
    <row r="464" spans="1:12">
      <c r="A464" s="175" t="s">
        <v>1909</v>
      </c>
      <c r="B464" s="175"/>
      <c r="C464" s="175"/>
      <c r="D464" s="177" t="s">
        <v>1910</v>
      </c>
      <c r="E464" s="179">
        <v>2</v>
      </c>
      <c r="F464" s="175" t="s">
        <v>1911</v>
      </c>
      <c r="G464" s="175" t="s">
        <v>1129</v>
      </c>
      <c r="H464" s="181" t="s">
        <v>842</v>
      </c>
      <c r="I464" s="175" t="s">
        <v>588</v>
      </c>
      <c r="J464" s="6">
        <f>IF(ISERROR(VLOOKUP(A464,'8080 Op to Hex'!$A:$A,1,0)),0,1)</f>
        <v>0</v>
      </c>
      <c r="K464" s="6" cm="1">
        <f t="array" ref="K464">HlpGetInstructionSize(A464,B464,C464)</f>
        <v>1</v>
      </c>
      <c r="L464" s="6">
        <f t="shared" si="7"/>
        <v>1</v>
      </c>
    </row>
    <row r="465" spans="1:12">
      <c r="A465" s="175" t="s">
        <v>1912</v>
      </c>
      <c r="B465" s="175"/>
      <c r="C465" s="175"/>
      <c r="D465" s="177" t="s">
        <v>1913</v>
      </c>
      <c r="E465" s="179">
        <v>2</v>
      </c>
      <c r="F465" s="175" t="s">
        <v>1914</v>
      </c>
      <c r="G465" s="175" t="s">
        <v>1129</v>
      </c>
      <c r="H465" s="181" t="s">
        <v>842</v>
      </c>
      <c r="I465" s="175" t="s">
        <v>911</v>
      </c>
      <c r="J465" s="6">
        <f>IF(ISERROR(VLOOKUP(A465,'8080 Op to Hex'!$A:$A,1,0)),0,1)</f>
        <v>0</v>
      </c>
      <c r="K465" s="6" cm="1">
        <f t="array" ref="K465">HlpGetInstructionSize(A465,B465,C465)</f>
        <v>1</v>
      </c>
      <c r="L465" s="6">
        <f t="shared" si="7"/>
        <v>1</v>
      </c>
    </row>
    <row r="466" spans="1:12">
      <c r="A466" s="175" t="s">
        <v>1915</v>
      </c>
      <c r="B466" s="175" t="s">
        <v>1238</v>
      </c>
      <c r="C466" s="175"/>
      <c r="D466" s="177" t="s">
        <v>1916</v>
      </c>
      <c r="E466" s="179">
        <v>2</v>
      </c>
      <c r="F466" s="175" t="s">
        <v>1917</v>
      </c>
      <c r="G466" s="175" t="s">
        <v>1128</v>
      </c>
      <c r="H466" s="181" t="s">
        <v>776</v>
      </c>
      <c r="I466" s="175" t="s">
        <v>887</v>
      </c>
      <c r="J466" s="6">
        <f>IF(ISERROR(VLOOKUP(A466,'8080 Op to Hex'!$A:$A,1,0)),0,1)</f>
        <v>0</v>
      </c>
      <c r="K466" s="6" cm="1">
        <f t="array" ref="K466">HlpGetInstructionSize(A466,B466,C466)</f>
        <v>1</v>
      </c>
      <c r="L466" s="6">
        <f t="shared" si="7"/>
        <v>1</v>
      </c>
    </row>
    <row r="467" spans="1:12">
      <c r="A467" s="175" t="s">
        <v>1915</v>
      </c>
      <c r="B467" s="175" t="s">
        <v>146</v>
      </c>
      <c r="C467" s="175"/>
      <c r="D467" s="177" t="s">
        <v>1918</v>
      </c>
      <c r="E467" s="179">
        <v>2</v>
      </c>
      <c r="F467" s="175" t="s">
        <v>1919</v>
      </c>
      <c r="G467" s="175" t="s">
        <v>1128</v>
      </c>
      <c r="H467" s="181" t="s">
        <v>776</v>
      </c>
      <c r="I467" s="175" t="s">
        <v>888</v>
      </c>
      <c r="J467" s="6">
        <f>IF(ISERROR(VLOOKUP(A467,'8080 Op to Hex'!$A:$A,1,0)),0,1)</f>
        <v>0</v>
      </c>
      <c r="K467" s="6" cm="1">
        <f t="array" ref="K467">HlpGetInstructionSize(A467,B467,C467)</f>
        <v>1</v>
      </c>
      <c r="L467" s="6">
        <f t="shared" si="7"/>
        <v>1</v>
      </c>
    </row>
    <row r="468" spans="1:12">
      <c r="A468" s="175" t="s">
        <v>1915</v>
      </c>
      <c r="B468" s="175" t="s">
        <v>144</v>
      </c>
      <c r="C468" s="175"/>
      <c r="D468" s="177" t="s">
        <v>1920</v>
      </c>
      <c r="E468" s="179">
        <v>2</v>
      </c>
      <c r="F468" s="175" t="s">
        <v>1921</v>
      </c>
      <c r="G468" s="175" t="s">
        <v>1128</v>
      </c>
      <c r="H468" s="181" t="s">
        <v>776</v>
      </c>
      <c r="I468" s="175" t="s">
        <v>231</v>
      </c>
      <c r="J468" s="6">
        <f>IF(ISERROR(VLOOKUP(A468,'8080 Op to Hex'!$A:$A,1,0)),0,1)</f>
        <v>0</v>
      </c>
      <c r="K468" s="6" cm="1">
        <f t="array" ref="K468">HlpGetInstructionSize(A468,B468,C468)</f>
        <v>1</v>
      </c>
      <c r="L468" s="6">
        <f t="shared" si="7"/>
        <v>1</v>
      </c>
    </row>
    <row r="469" spans="1:12">
      <c r="A469" s="175" t="s">
        <v>1915</v>
      </c>
      <c r="B469" s="175" t="s">
        <v>182</v>
      </c>
      <c r="C469" s="175"/>
      <c r="D469" s="177" t="s">
        <v>1922</v>
      </c>
      <c r="E469" s="179">
        <v>2</v>
      </c>
      <c r="F469" s="175" t="s">
        <v>1923</v>
      </c>
      <c r="G469" s="175" t="s">
        <v>1128</v>
      </c>
      <c r="H469" s="181" t="s">
        <v>776</v>
      </c>
      <c r="I469" s="175" t="s">
        <v>201</v>
      </c>
      <c r="J469" s="6">
        <f>IF(ISERROR(VLOOKUP(A469,'8080 Op to Hex'!$A:$A,1,0)),0,1)</f>
        <v>0</v>
      </c>
      <c r="K469" s="6" cm="1">
        <f t="array" ref="K469">HlpGetInstructionSize(A469,B469,C469)</f>
        <v>1</v>
      </c>
      <c r="L469" s="6">
        <f t="shared" si="7"/>
        <v>1</v>
      </c>
    </row>
    <row r="470" spans="1:12">
      <c r="A470" s="175" t="s">
        <v>1915</v>
      </c>
      <c r="B470" s="175" t="s">
        <v>183</v>
      </c>
      <c r="C470" s="175"/>
      <c r="D470" s="177" t="s">
        <v>1924</v>
      </c>
      <c r="E470" s="179">
        <v>2</v>
      </c>
      <c r="F470" s="175" t="s">
        <v>1925</v>
      </c>
      <c r="G470" s="175" t="s">
        <v>1128</v>
      </c>
      <c r="H470" s="181" t="s">
        <v>776</v>
      </c>
      <c r="I470" s="175" t="s">
        <v>458</v>
      </c>
      <c r="J470" s="6">
        <f>IF(ISERROR(VLOOKUP(A470,'8080 Op to Hex'!$A:$A,1,0)),0,1)</f>
        <v>0</v>
      </c>
      <c r="K470" s="6" cm="1">
        <f t="array" ref="K470">HlpGetInstructionSize(A470,B470,C470)</f>
        <v>1</v>
      </c>
      <c r="L470" s="6">
        <f t="shared" si="7"/>
        <v>1</v>
      </c>
    </row>
    <row r="471" spans="1:12">
      <c r="A471" s="175" t="s">
        <v>1915</v>
      </c>
      <c r="B471" s="175" t="s">
        <v>265</v>
      </c>
      <c r="C471" s="175"/>
      <c r="D471" s="177" t="s">
        <v>1926</v>
      </c>
      <c r="E471" s="179">
        <v>2</v>
      </c>
      <c r="F471" s="175" t="s">
        <v>1927</v>
      </c>
      <c r="G471" s="175" t="s">
        <v>1128</v>
      </c>
      <c r="H471" s="181" t="s">
        <v>776</v>
      </c>
      <c r="I471" s="175" t="s">
        <v>884</v>
      </c>
      <c r="J471" s="6">
        <f>IF(ISERROR(VLOOKUP(A471,'8080 Op to Hex'!$A:$A,1,0)),0,1)</f>
        <v>0</v>
      </c>
      <c r="K471" s="6" cm="1">
        <f t="array" ref="K471">HlpGetInstructionSize(A471,B471,C471)</f>
        <v>1</v>
      </c>
      <c r="L471" s="6">
        <f t="shared" si="7"/>
        <v>1</v>
      </c>
    </row>
    <row r="472" spans="1:12">
      <c r="A472" s="175" t="s">
        <v>1915</v>
      </c>
      <c r="B472" s="175" t="s">
        <v>303</v>
      </c>
      <c r="C472" s="175"/>
      <c r="D472" s="177" t="s">
        <v>1928</v>
      </c>
      <c r="E472" s="179">
        <v>2</v>
      </c>
      <c r="F472" s="175" t="s">
        <v>1929</v>
      </c>
      <c r="G472" s="175" t="s">
        <v>1128</v>
      </c>
      <c r="H472" s="181" t="s">
        <v>776</v>
      </c>
      <c r="I472" s="175" t="s">
        <v>885</v>
      </c>
      <c r="J472" s="6">
        <f>IF(ISERROR(VLOOKUP(A472,'8080 Op to Hex'!$A:$A,1,0)),0,1)</f>
        <v>0</v>
      </c>
      <c r="K472" s="6" cm="1">
        <f t="array" ref="K472">HlpGetInstructionSize(A472,B472,C472)</f>
        <v>1</v>
      </c>
      <c r="L472" s="6">
        <f t="shared" si="7"/>
        <v>1</v>
      </c>
    </row>
    <row r="473" spans="1:12">
      <c r="A473" s="175" t="s">
        <v>1915</v>
      </c>
      <c r="B473" s="175" t="s">
        <v>327</v>
      </c>
      <c r="C473" s="175"/>
      <c r="D473" s="177" t="s">
        <v>1930</v>
      </c>
      <c r="E473" s="179">
        <v>2</v>
      </c>
      <c r="F473" s="175" t="s">
        <v>1931</v>
      </c>
      <c r="G473" s="175" t="s">
        <v>1128</v>
      </c>
      <c r="H473" s="181" t="s">
        <v>776</v>
      </c>
      <c r="I473" s="175" t="s">
        <v>886</v>
      </c>
      <c r="J473" s="6">
        <f>IF(ISERROR(VLOOKUP(A473,'8080 Op to Hex'!$A:$A,1,0)),0,1)</f>
        <v>0</v>
      </c>
      <c r="K473" s="6" cm="1">
        <f t="array" ref="K473">HlpGetInstructionSize(A473,B473,C473)</f>
        <v>1</v>
      </c>
      <c r="L473" s="6">
        <f t="shared" si="7"/>
        <v>1</v>
      </c>
    </row>
    <row r="474" spans="1:12">
      <c r="A474" s="175" t="s">
        <v>1230</v>
      </c>
      <c r="B474" s="175"/>
      <c r="C474" s="175"/>
      <c r="D474" s="177" t="s">
        <v>888</v>
      </c>
      <c r="E474" s="179">
        <v>1</v>
      </c>
      <c r="F474" s="175" t="s">
        <v>1932</v>
      </c>
      <c r="G474" s="175" t="s">
        <v>1128</v>
      </c>
      <c r="H474" s="181"/>
      <c r="I474" s="175" t="s">
        <v>888</v>
      </c>
      <c r="J474" s="6">
        <f>IF(ISERROR(VLOOKUP(A474,'8080 Op to Hex'!$A:$A,1,0)),0,1)</f>
        <v>0</v>
      </c>
      <c r="K474" s="6" cm="1">
        <f t="array" ref="K474">HlpGetInstructionSize(A474,B474,C474)</f>
        <v>1</v>
      </c>
      <c r="L474" s="6">
        <f t="shared" si="7"/>
        <v>0</v>
      </c>
    </row>
    <row r="475" spans="1:12">
      <c r="A475" s="175" t="s">
        <v>452</v>
      </c>
      <c r="B475" s="175" t="s">
        <v>1238</v>
      </c>
      <c r="C475" s="175"/>
      <c r="D475" s="177" t="s">
        <v>1933</v>
      </c>
      <c r="E475" s="179">
        <v>2</v>
      </c>
      <c r="F475" s="175" t="s">
        <v>1934</v>
      </c>
      <c r="G475" s="175" t="s">
        <v>1128</v>
      </c>
      <c r="H475" s="181" t="s">
        <v>776</v>
      </c>
      <c r="I475" s="175" t="s">
        <v>881</v>
      </c>
      <c r="J475" s="6">
        <f>IF(ISERROR(VLOOKUP(A475,'8080 Op to Hex'!$A:$A,1,0)),0,1)</f>
        <v>1</v>
      </c>
      <c r="K475" s="6" cm="1">
        <f t="array" ref="K475">HlpGetInstructionSize(A475,B475,C475)</f>
        <v>1</v>
      </c>
      <c r="L475" s="6">
        <f>IF(E475&lt;&gt;K475,1,0)</f>
        <v>1</v>
      </c>
    </row>
    <row r="476" spans="1:12">
      <c r="A476" s="175" t="s">
        <v>452</v>
      </c>
      <c r="B476" s="175" t="s">
        <v>146</v>
      </c>
      <c r="C476" s="175"/>
      <c r="D476" s="177" t="s">
        <v>1935</v>
      </c>
      <c r="E476" s="179">
        <v>2</v>
      </c>
      <c r="F476" s="175" t="s">
        <v>1936</v>
      </c>
      <c r="G476" s="175" t="s">
        <v>1128</v>
      </c>
      <c r="H476" s="181" t="s">
        <v>776</v>
      </c>
      <c r="I476" s="175" t="s">
        <v>882</v>
      </c>
      <c r="J476" s="6">
        <f>IF(ISERROR(VLOOKUP(A476,'8080 Op to Hex'!$A:$A,1,0)),0,1)</f>
        <v>1</v>
      </c>
      <c r="K476" s="6" cm="1">
        <f t="array" ref="K476">HlpGetInstructionSize(A476,B476,C476)</f>
        <v>1</v>
      </c>
      <c r="L476" s="6">
        <f>IF(E476&lt;&gt;K476,1,0)</f>
        <v>1</v>
      </c>
    </row>
    <row r="477" spans="1:12">
      <c r="A477" s="175" t="s">
        <v>452</v>
      </c>
      <c r="B477" s="175" t="s">
        <v>144</v>
      </c>
      <c r="C477" s="175"/>
      <c r="D477" s="177" t="s">
        <v>1937</v>
      </c>
      <c r="E477" s="179">
        <v>2</v>
      </c>
      <c r="F477" s="175" t="s">
        <v>1938</v>
      </c>
      <c r="G477" s="175" t="s">
        <v>1128</v>
      </c>
      <c r="H477" s="181" t="s">
        <v>776</v>
      </c>
      <c r="I477" s="175" t="s">
        <v>215</v>
      </c>
      <c r="J477" s="6">
        <f>IF(ISERROR(VLOOKUP(A477,'8080 Op to Hex'!$A:$A,1,0)),0,1)</f>
        <v>1</v>
      </c>
      <c r="K477" s="6" cm="1">
        <f t="array" ref="K477">HlpGetInstructionSize(A477,B477,C477)</f>
        <v>1</v>
      </c>
      <c r="L477" s="6">
        <f t="shared" si="7"/>
        <v>1</v>
      </c>
    </row>
    <row r="478" spans="1:12">
      <c r="A478" s="175" t="s">
        <v>452</v>
      </c>
      <c r="B478" s="175" t="s">
        <v>182</v>
      </c>
      <c r="C478" s="175"/>
      <c r="D478" s="177" t="s">
        <v>1939</v>
      </c>
      <c r="E478" s="179">
        <v>2</v>
      </c>
      <c r="F478" s="175" t="s">
        <v>1940</v>
      </c>
      <c r="G478" s="175" t="s">
        <v>1128</v>
      </c>
      <c r="H478" s="181" t="s">
        <v>776</v>
      </c>
      <c r="I478" s="175" t="s">
        <v>295</v>
      </c>
      <c r="J478" s="6">
        <f>IF(ISERROR(VLOOKUP(A478,'8080 Op to Hex'!$A:$A,1,0)),0,1)</f>
        <v>1</v>
      </c>
      <c r="K478" s="6" cm="1">
        <f t="array" ref="K478">HlpGetInstructionSize(A478,B478,C478)</f>
        <v>1</v>
      </c>
      <c r="L478" s="6">
        <f t="shared" si="7"/>
        <v>1</v>
      </c>
    </row>
    <row r="479" spans="1:12">
      <c r="A479" s="175" t="s">
        <v>452</v>
      </c>
      <c r="B479" s="175" t="s">
        <v>183</v>
      </c>
      <c r="C479" s="175"/>
      <c r="D479" s="177" t="s">
        <v>1941</v>
      </c>
      <c r="E479" s="179">
        <v>2</v>
      </c>
      <c r="F479" s="175" t="s">
        <v>1942</v>
      </c>
      <c r="G479" s="175" t="s">
        <v>1128</v>
      </c>
      <c r="H479" s="181" t="s">
        <v>776</v>
      </c>
      <c r="I479" s="175" t="s">
        <v>878</v>
      </c>
      <c r="J479" s="6">
        <f>IF(ISERROR(VLOOKUP(A479,'8080 Op to Hex'!$A:$A,1,0)),0,1)</f>
        <v>1</v>
      </c>
      <c r="K479" s="6" cm="1">
        <f t="array" ref="K479">HlpGetInstructionSize(A479,B479,C479)</f>
        <v>1</v>
      </c>
      <c r="L479" s="6">
        <f t="shared" si="7"/>
        <v>1</v>
      </c>
    </row>
    <row r="480" spans="1:12">
      <c r="A480" s="175" t="s">
        <v>452</v>
      </c>
      <c r="B480" s="175" t="s">
        <v>265</v>
      </c>
      <c r="C480" s="175"/>
      <c r="D480" s="177" t="s">
        <v>1943</v>
      </c>
      <c r="E480" s="179">
        <v>2</v>
      </c>
      <c r="F480" s="175" t="s">
        <v>1944</v>
      </c>
      <c r="G480" s="175" t="s">
        <v>1128</v>
      </c>
      <c r="H480" s="181" t="s">
        <v>776</v>
      </c>
      <c r="I480" s="175" t="s">
        <v>364</v>
      </c>
      <c r="J480" s="6">
        <f>IF(ISERROR(VLOOKUP(A480,'8080 Op to Hex'!$A:$A,1,0)),0,1)</f>
        <v>1</v>
      </c>
      <c r="K480" s="6" cm="1">
        <f t="array" ref="K480">HlpGetInstructionSize(A480,B480,C480)</f>
        <v>1</v>
      </c>
      <c r="L480" s="6">
        <f t="shared" si="7"/>
        <v>1</v>
      </c>
    </row>
    <row r="481" spans="1:12">
      <c r="A481" s="175" t="s">
        <v>452</v>
      </c>
      <c r="B481" s="175" t="s">
        <v>303</v>
      </c>
      <c r="C481" s="175"/>
      <c r="D481" s="177" t="s">
        <v>1945</v>
      </c>
      <c r="E481" s="179">
        <v>2</v>
      </c>
      <c r="F481" s="175" t="s">
        <v>1946</v>
      </c>
      <c r="G481" s="175" t="s">
        <v>1128</v>
      </c>
      <c r="H481" s="181" t="s">
        <v>776</v>
      </c>
      <c r="I481" s="175" t="s">
        <v>879</v>
      </c>
      <c r="J481" s="6">
        <f>IF(ISERROR(VLOOKUP(A481,'8080 Op to Hex'!$A:$A,1,0)),0,1)</f>
        <v>1</v>
      </c>
      <c r="K481" s="6" cm="1">
        <f t="array" ref="K481">HlpGetInstructionSize(A481,B481,C481)</f>
        <v>1</v>
      </c>
      <c r="L481" s="6">
        <f t="shared" si="7"/>
        <v>1</v>
      </c>
    </row>
    <row r="482" spans="1:12">
      <c r="A482" s="175" t="s">
        <v>452</v>
      </c>
      <c r="B482" s="175" t="s">
        <v>327</v>
      </c>
      <c r="C482" s="175"/>
      <c r="D482" s="177" t="s">
        <v>1947</v>
      </c>
      <c r="E482" s="179">
        <v>2</v>
      </c>
      <c r="F482" s="175" t="s">
        <v>1948</v>
      </c>
      <c r="G482" s="175" t="s">
        <v>1128</v>
      </c>
      <c r="H482" s="181" t="s">
        <v>776</v>
      </c>
      <c r="I482" s="175" t="s">
        <v>880</v>
      </c>
      <c r="J482" s="6">
        <f>IF(ISERROR(VLOOKUP(A482,'8080 Op to Hex'!$A:$A,1,0)),0,1)</f>
        <v>1</v>
      </c>
      <c r="K482" s="6" cm="1">
        <f t="array" ref="K482">HlpGetInstructionSize(A482,B482,C482)</f>
        <v>1</v>
      </c>
      <c r="L482" s="6">
        <f t="shared" si="7"/>
        <v>1</v>
      </c>
    </row>
    <row r="483" spans="1:12">
      <c r="A483" s="175" t="s">
        <v>1218</v>
      </c>
      <c r="B483" s="175"/>
      <c r="C483" s="175"/>
      <c r="D483" s="177" t="s">
        <v>882</v>
      </c>
      <c r="E483" s="179">
        <v>1</v>
      </c>
      <c r="F483" s="175" t="s">
        <v>1949</v>
      </c>
      <c r="G483" s="175" t="s">
        <v>1128</v>
      </c>
      <c r="H483" s="181"/>
      <c r="I483" s="175" t="s">
        <v>882</v>
      </c>
      <c r="J483" s="6">
        <f>IF(ISERROR(VLOOKUP(A483,'8080 Op to Hex'!$A:$A,1,0)),0,1)</f>
        <v>0</v>
      </c>
      <c r="K483" s="6" cm="1">
        <f t="array" ref="K483">HlpGetInstructionSize(A483,B483,C483)</f>
        <v>1</v>
      </c>
      <c r="L483" s="6">
        <f t="shared" si="7"/>
        <v>0</v>
      </c>
    </row>
    <row r="484" spans="1:12">
      <c r="A484" s="175" t="s">
        <v>1950</v>
      </c>
      <c r="B484" s="175"/>
      <c r="C484" s="175"/>
      <c r="D484" s="177" t="s">
        <v>1951</v>
      </c>
      <c r="E484" s="179">
        <v>2</v>
      </c>
      <c r="F484" s="175" t="s">
        <v>1952</v>
      </c>
      <c r="G484" s="175" t="s">
        <v>1128</v>
      </c>
      <c r="H484" s="181" t="s">
        <v>842</v>
      </c>
      <c r="I484" s="175" t="s">
        <v>635</v>
      </c>
      <c r="J484" s="6">
        <f>IF(ISERROR(VLOOKUP(A484,'8080 Op to Hex'!$A:$A,1,0)),0,1)</f>
        <v>0</v>
      </c>
      <c r="K484" s="6" cm="1">
        <f t="array" ref="K484">HlpGetInstructionSize(A484,B484,C484)</f>
        <v>1</v>
      </c>
      <c r="L484" s="6">
        <f t="shared" si="7"/>
        <v>1</v>
      </c>
    </row>
    <row r="485" spans="1:12">
      <c r="A485" s="175" t="s">
        <v>1953</v>
      </c>
      <c r="B485" s="175" t="s">
        <v>1238</v>
      </c>
      <c r="C485" s="175"/>
      <c r="D485" s="177" t="s">
        <v>1954</v>
      </c>
      <c r="E485" s="179">
        <v>2</v>
      </c>
      <c r="F485" s="175" t="s">
        <v>1955</v>
      </c>
      <c r="G485" s="175" t="s">
        <v>1128</v>
      </c>
      <c r="H485" s="181" t="s">
        <v>776</v>
      </c>
      <c r="I485" s="175" t="s">
        <v>531</v>
      </c>
      <c r="J485" s="6">
        <f>IF(ISERROR(VLOOKUP(A485,'8080 Op to Hex'!$A:$A,1,0)),0,1)</f>
        <v>0</v>
      </c>
      <c r="K485" s="6" cm="1">
        <f t="array" ref="K485">HlpGetInstructionSize(A485,B485,C485)</f>
        <v>1</v>
      </c>
      <c r="L485" s="6">
        <f t="shared" si="7"/>
        <v>1</v>
      </c>
    </row>
    <row r="486" spans="1:12">
      <c r="A486" s="175" t="s">
        <v>1953</v>
      </c>
      <c r="B486" s="175" t="s">
        <v>146</v>
      </c>
      <c r="C486" s="175"/>
      <c r="D486" s="177" t="s">
        <v>1956</v>
      </c>
      <c r="E486" s="179">
        <v>2</v>
      </c>
      <c r="F486" s="175" t="s">
        <v>1957</v>
      </c>
      <c r="G486" s="175" t="s">
        <v>1128</v>
      </c>
      <c r="H486" s="181" t="s">
        <v>776</v>
      </c>
      <c r="I486" s="175" t="s">
        <v>533</v>
      </c>
      <c r="J486" s="6">
        <f>IF(ISERROR(VLOOKUP(A486,'8080 Op to Hex'!$A:$A,1,0)),0,1)</f>
        <v>0</v>
      </c>
      <c r="K486" s="6" cm="1">
        <f t="array" ref="K486">HlpGetInstructionSize(A486,B486,C486)</f>
        <v>1</v>
      </c>
      <c r="L486" s="6">
        <f t="shared" si="7"/>
        <v>1</v>
      </c>
    </row>
    <row r="487" spans="1:12">
      <c r="A487" s="175" t="s">
        <v>1953</v>
      </c>
      <c r="B487" s="175" t="s">
        <v>144</v>
      </c>
      <c r="C487" s="175"/>
      <c r="D487" s="177" t="s">
        <v>1958</v>
      </c>
      <c r="E487" s="179">
        <v>2</v>
      </c>
      <c r="F487" s="175" t="s">
        <v>1959</v>
      </c>
      <c r="G487" s="175" t="s">
        <v>1128</v>
      </c>
      <c r="H487" s="181" t="s">
        <v>776</v>
      </c>
      <c r="I487" s="175" t="s">
        <v>474</v>
      </c>
      <c r="J487" s="6">
        <f>IF(ISERROR(VLOOKUP(A487,'8080 Op to Hex'!$A:$A,1,0)),0,1)</f>
        <v>0</v>
      </c>
      <c r="K487" s="6" cm="1">
        <f t="array" ref="K487">HlpGetInstructionSize(A487,B487,C487)</f>
        <v>1</v>
      </c>
      <c r="L487" s="6">
        <f t="shared" si="7"/>
        <v>1</v>
      </c>
    </row>
    <row r="488" spans="1:12">
      <c r="A488" s="175" t="s">
        <v>1953</v>
      </c>
      <c r="B488" s="175" t="s">
        <v>182</v>
      </c>
      <c r="C488" s="175"/>
      <c r="D488" s="177" t="s">
        <v>1960</v>
      </c>
      <c r="E488" s="179">
        <v>2</v>
      </c>
      <c r="F488" s="175" t="s">
        <v>1961</v>
      </c>
      <c r="G488" s="175" t="s">
        <v>1128</v>
      </c>
      <c r="H488" s="181" t="s">
        <v>776</v>
      </c>
      <c r="I488" s="175" t="s">
        <v>889</v>
      </c>
      <c r="J488" s="6">
        <f>IF(ISERROR(VLOOKUP(A488,'8080 Op to Hex'!$A:$A,1,0)),0,1)</f>
        <v>0</v>
      </c>
      <c r="K488" s="6" cm="1">
        <f t="array" ref="K488">HlpGetInstructionSize(A488,B488,C488)</f>
        <v>1</v>
      </c>
      <c r="L488" s="6">
        <f t="shared" si="7"/>
        <v>1</v>
      </c>
    </row>
    <row r="489" spans="1:12">
      <c r="A489" s="175" t="s">
        <v>1953</v>
      </c>
      <c r="B489" s="175" t="s">
        <v>183</v>
      </c>
      <c r="C489" s="175"/>
      <c r="D489" s="177" t="s">
        <v>1962</v>
      </c>
      <c r="E489" s="179">
        <v>2</v>
      </c>
      <c r="F489" s="175" t="s">
        <v>1963</v>
      </c>
      <c r="G489" s="175" t="s">
        <v>1128</v>
      </c>
      <c r="H489" s="181" t="s">
        <v>776</v>
      </c>
      <c r="I489" s="175" t="s">
        <v>523</v>
      </c>
      <c r="J489" s="6">
        <f>IF(ISERROR(VLOOKUP(A489,'8080 Op to Hex'!$A:$A,1,0)),0,1)</f>
        <v>0</v>
      </c>
      <c r="K489" s="6" cm="1">
        <f t="array" ref="K489">HlpGetInstructionSize(A489,B489,C489)</f>
        <v>1</v>
      </c>
      <c r="L489" s="6">
        <f t="shared" si="7"/>
        <v>1</v>
      </c>
    </row>
    <row r="490" spans="1:12">
      <c r="A490" s="175" t="s">
        <v>1953</v>
      </c>
      <c r="B490" s="175" t="s">
        <v>265</v>
      </c>
      <c r="C490" s="175"/>
      <c r="D490" s="177" t="s">
        <v>1964</v>
      </c>
      <c r="E490" s="179">
        <v>2</v>
      </c>
      <c r="F490" s="175" t="s">
        <v>1965</v>
      </c>
      <c r="G490" s="175" t="s">
        <v>1128</v>
      </c>
      <c r="H490" s="181" t="s">
        <v>776</v>
      </c>
      <c r="I490" s="175" t="s">
        <v>525</v>
      </c>
      <c r="J490" s="6">
        <f>IF(ISERROR(VLOOKUP(A490,'8080 Op to Hex'!$A:$A,1,0)),0,1)</f>
        <v>0</v>
      </c>
      <c r="K490" s="6" cm="1">
        <f t="array" ref="K490">HlpGetInstructionSize(A490,B490,C490)</f>
        <v>1</v>
      </c>
      <c r="L490" s="6">
        <f t="shared" si="7"/>
        <v>1</v>
      </c>
    </row>
    <row r="491" spans="1:12">
      <c r="A491" s="175" t="s">
        <v>1953</v>
      </c>
      <c r="B491" s="175" t="s">
        <v>303</v>
      </c>
      <c r="C491" s="175"/>
      <c r="D491" s="177" t="s">
        <v>1966</v>
      </c>
      <c r="E491" s="179">
        <v>2</v>
      </c>
      <c r="F491" s="175" t="s">
        <v>1967</v>
      </c>
      <c r="G491" s="175" t="s">
        <v>1128</v>
      </c>
      <c r="H491" s="181" t="s">
        <v>776</v>
      </c>
      <c r="I491" s="175" t="s">
        <v>527</v>
      </c>
      <c r="J491" s="6">
        <f>IF(ISERROR(VLOOKUP(A491,'8080 Op to Hex'!$A:$A,1,0)),0,1)</f>
        <v>0</v>
      </c>
      <c r="K491" s="6" cm="1">
        <f t="array" ref="K491">HlpGetInstructionSize(A491,B491,C491)</f>
        <v>1</v>
      </c>
      <c r="L491" s="6">
        <f t="shared" si="7"/>
        <v>1</v>
      </c>
    </row>
    <row r="492" spans="1:12">
      <c r="A492" s="175" t="s">
        <v>1953</v>
      </c>
      <c r="B492" s="175" t="s">
        <v>327</v>
      </c>
      <c r="C492" s="175"/>
      <c r="D492" s="177" t="s">
        <v>1968</v>
      </c>
      <c r="E492" s="179">
        <v>2</v>
      </c>
      <c r="F492" s="175" t="s">
        <v>1969</v>
      </c>
      <c r="G492" s="175" t="s">
        <v>1128</v>
      </c>
      <c r="H492" s="181" t="s">
        <v>776</v>
      </c>
      <c r="I492" s="175" t="s">
        <v>529</v>
      </c>
      <c r="J492" s="6">
        <f>IF(ISERROR(VLOOKUP(A492,'8080 Op to Hex'!$A:$A,1,0)),0,1)</f>
        <v>0</v>
      </c>
      <c r="K492" s="6" cm="1">
        <f t="array" ref="K492">HlpGetInstructionSize(A492,B492,C492)</f>
        <v>1</v>
      </c>
      <c r="L492" s="6">
        <f t="shared" si="7"/>
        <v>1</v>
      </c>
    </row>
    <row r="493" spans="1:12">
      <c r="A493" s="175" t="s">
        <v>1235</v>
      </c>
      <c r="B493" s="175"/>
      <c r="C493" s="175"/>
      <c r="D493" s="177" t="s">
        <v>533</v>
      </c>
      <c r="E493" s="179">
        <v>1</v>
      </c>
      <c r="F493" s="175" t="s">
        <v>1970</v>
      </c>
      <c r="G493" s="175" t="s">
        <v>1128</v>
      </c>
      <c r="H493" s="181"/>
      <c r="I493" s="175" t="s">
        <v>533</v>
      </c>
      <c r="J493" s="6">
        <f>IF(ISERROR(VLOOKUP(A493,'8080 Op to Hex'!$A:$A,1,0)),0,1)</f>
        <v>0</v>
      </c>
      <c r="K493" s="6" cm="1">
        <f t="array" ref="K493">HlpGetInstructionSize(A493,B493,C493)</f>
        <v>1</v>
      </c>
      <c r="L493" s="6">
        <f t="shared" si="7"/>
        <v>0</v>
      </c>
    </row>
    <row r="494" spans="1:12">
      <c r="A494" s="175" t="s">
        <v>153</v>
      </c>
      <c r="B494" s="175" t="s">
        <v>1238</v>
      </c>
      <c r="C494" s="175"/>
      <c r="D494" s="177" t="s">
        <v>1971</v>
      </c>
      <c r="E494" s="179">
        <v>2</v>
      </c>
      <c r="F494" s="175" t="s">
        <v>1972</v>
      </c>
      <c r="G494" s="175" t="s">
        <v>1128</v>
      </c>
      <c r="H494" s="181" t="s">
        <v>776</v>
      </c>
      <c r="I494" s="175" t="s">
        <v>444</v>
      </c>
      <c r="J494" s="6">
        <f>IF(ISERROR(VLOOKUP(A494,'8080 Op to Hex'!$A:$A,1,0)),0,1)</f>
        <v>1</v>
      </c>
      <c r="K494" s="6" cm="1">
        <f t="array" ref="K494">HlpGetInstructionSize(A494,B494,C494)</f>
        <v>1</v>
      </c>
      <c r="L494" s="6">
        <f t="shared" si="7"/>
        <v>1</v>
      </c>
    </row>
    <row r="495" spans="1:12">
      <c r="A495" s="175" t="s">
        <v>153</v>
      </c>
      <c r="B495" s="175" t="s">
        <v>146</v>
      </c>
      <c r="C495" s="175"/>
      <c r="D495" s="177" t="s">
        <v>1973</v>
      </c>
      <c r="E495" s="179">
        <v>2</v>
      </c>
      <c r="F495" s="175" t="s">
        <v>1974</v>
      </c>
      <c r="G495" s="175" t="s">
        <v>1128</v>
      </c>
      <c r="H495" s="181" t="s">
        <v>776</v>
      </c>
      <c r="I495" s="175" t="s">
        <v>263</v>
      </c>
      <c r="J495" s="6">
        <f>IF(ISERROR(VLOOKUP(A495,'8080 Op to Hex'!$A:$A,1,0)),0,1)</f>
        <v>1</v>
      </c>
      <c r="K495" s="6" cm="1">
        <f t="array" ref="K495">HlpGetInstructionSize(A495,B495,C495)</f>
        <v>1</v>
      </c>
      <c r="L495" s="6">
        <f t="shared" si="7"/>
        <v>1</v>
      </c>
    </row>
    <row r="496" spans="1:12">
      <c r="A496" s="175" t="s">
        <v>153</v>
      </c>
      <c r="B496" s="175" t="s">
        <v>144</v>
      </c>
      <c r="C496" s="175"/>
      <c r="D496" s="177" t="s">
        <v>1975</v>
      </c>
      <c r="E496" s="179">
        <v>2</v>
      </c>
      <c r="F496" s="175" t="s">
        <v>1976</v>
      </c>
      <c r="G496" s="175" t="s">
        <v>1128</v>
      </c>
      <c r="H496" s="181" t="s">
        <v>776</v>
      </c>
      <c r="I496" s="175" t="s">
        <v>883</v>
      </c>
      <c r="J496" s="6">
        <f>IF(ISERROR(VLOOKUP(A496,'8080 Op to Hex'!$A:$A,1,0)),0,1)</f>
        <v>1</v>
      </c>
      <c r="K496" s="6" cm="1">
        <f t="array" ref="K496">HlpGetInstructionSize(A496,B496,C496)</f>
        <v>1</v>
      </c>
      <c r="L496" s="6">
        <f t="shared" si="7"/>
        <v>1</v>
      </c>
    </row>
    <row r="497" spans="1:12">
      <c r="A497" s="175" t="s">
        <v>153</v>
      </c>
      <c r="B497" s="175" t="s">
        <v>182</v>
      </c>
      <c r="C497" s="175"/>
      <c r="D497" s="177" t="s">
        <v>1977</v>
      </c>
      <c r="E497" s="179">
        <v>2</v>
      </c>
      <c r="F497" s="175" t="s">
        <v>1978</v>
      </c>
      <c r="G497" s="175" t="s">
        <v>1128</v>
      </c>
      <c r="H497" s="181" t="s">
        <v>776</v>
      </c>
      <c r="I497" s="175" t="s">
        <v>457</v>
      </c>
      <c r="J497" s="6">
        <f>IF(ISERROR(VLOOKUP(A497,'8080 Op to Hex'!$A:$A,1,0)),0,1)</f>
        <v>1</v>
      </c>
      <c r="K497" s="6" cm="1">
        <f t="array" ref="K497">HlpGetInstructionSize(A497,B497,C497)</f>
        <v>1</v>
      </c>
      <c r="L497" s="6">
        <f t="shared" si="7"/>
        <v>1</v>
      </c>
    </row>
    <row r="498" spans="1:12">
      <c r="A498" s="175" t="s">
        <v>153</v>
      </c>
      <c r="B498" s="175" t="s">
        <v>183</v>
      </c>
      <c r="C498" s="175"/>
      <c r="D498" s="177" t="s">
        <v>1979</v>
      </c>
      <c r="E498" s="179">
        <v>2</v>
      </c>
      <c r="F498" s="175" t="s">
        <v>1980</v>
      </c>
      <c r="G498" s="175" t="s">
        <v>1128</v>
      </c>
      <c r="H498" s="181" t="s">
        <v>776</v>
      </c>
      <c r="I498" s="175" t="s">
        <v>335</v>
      </c>
      <c r="J498" s="6">
        <f>IF(ISERROR(VLOOKUP(A498,'8080 Op to Hex'!$A:$A,1,0)),0,1)</f>
        <v>1</v>
      </c>
      <c r="K498" s="6" cm="1">
        <f t="array" ref="K498">HlpGetInstructionSize(A498,B498,C498)</f>
        <v>1</v>
      </c>
      <c r="L498" s="6">
        <f t="shared" si="7"/>
        <v>1</v>
      </c>
    </row>
    <row r="499" spans="1:12">
      <c r="A499" s="175" t="s">
        <v>153</v>
      </c>
      <c r="B499" s="175" t="s">
        <v>265</v>
      </c>
      <c r="C499" s="175"/>
      <c r="D499" s="177" t="s">
        <v>1981</v>
      </c>
      <c r="E499" s="179">
        <v>2</v>
      </c>
      <c r="F499" s="175" t="s">
        <v>1982</v>
      </c>
      <c r="G499" s="175" t="s">
        <v>1128</v>
      </c>
      <c r="H499" s="181" t="s">
        <v>776</v>
      </c>
      <c r="I499" s="175" t="s">
        <v>508</v>
      </c>
      <c r="J499" s="6">
        <f>IF(ISERROR(VLOOKUP(A499,'8080 Op to Hex'!$A:$A,1,0)),0,1)</f>
        <v>1</v>
      </c>
      <c r="K499" s="6" cm="1">
        <f t="array" ref="K499">HlpGetInstructionSize(A499,B499,C499)</f>
        <v>1</v>
      </c>
      <c r="L499" s="6">
        <f t="shared" si="7"/>
        <v>1</v>
      </c>
    </row>
    <row r="500" spans="1:12">
      <c r="A500" s="175" t="s">
        <v>153</v>
      </c>
      <c r="B500" s="175" t="s">
        <v>303</v>
      </c>
      <c r="C500" s="175"/>
      <c r="D500" s="177" t="s">
        <v>1983</v>
      </c>
      <c r="E500" s="179">
        <v>2</v>
      </c>
      <c r="F500" s="175" t="s">
        <v>1984</v>
      </c>
      <c r="G500" s="175" t="s">
        <v>1128</v>
      </c>
      <c r="H500" s="181" t="s">
        <v>776</v>
      </c>
      <c r="I500" s="175" t="s">
        <v>396</v>
      </c>
      <c r="J500" s="6">
        <f>IF(ISERROR(VLOOKUP(A500,'8080 Op to Hex'!$A:$A,1,0)),0,1)</f>
        <v>1</v>
      </c>
      <c r="K500" s="6" cm="1">
        <f t="array" ref="K500">HlpGetInstructionSize(A500,B500,C500)</f>
        <v>1</v>
      </c>
      <c r="L500" s="6">
        <f t="shared" si="7"/>
        <v>1</v>
      </c>
    </row>
    <row r="501" spans="1:12">
      <c r="A501" s="175" t="s">
        <v>153</v>
      </c>
      <c r="B501" s="175" t="s">
        <v>327</v>
      </c>
      <c r="C501" s="175"/>
      <c r="D501" s="177" t="s">
        <v>1985</v>
      </c>
      <c r="E501" s="179">
        <v>2</v>
      </c>
      <c r="F501" s="175" t="s">
        <v>1986</v>
      </c>
      <c r="G501" s="175" t="s">
        <v>1128</v>
      </c>
      <c r="H501" s="181" t="s">
        <v>776</v>
      </c>
      <c r="I501" s="175" t="s">
        <v>511</v>
      </c>
      <c r="J501" s="6">
        <f>IF(ISERROR(VLOOKUP(A501,'8080 Op to Hex'!$A:$A,1,0)),0,1)</f>
        <v>1</v>
      </c>
      <c r="K501" s="6" cm="1">
        <f t="array" ref="K501">HlpGetInstructionSize(A501,B501,C501)</f>
        <v>1</v>
      </c>
      <c r="L501" s="6">
        <f t="shared" si="7"/>
        <v>1</v>
      </c>
    </row>
    <row r="502" spans="1:12">
      <c r="A502" s="175" t="s">
        <v>1224</v>
      </c>
      <c r="B502" s="175"/>
      <c r="C502" s="175"/>
      <c r="D502" s="177" t="s">
        <v>263</v>
      </c>
      <c r="E502" s="179">
        <v>1</v>
      </c>
      <c r="F502" s="175" t="s">
        <v>1987</v>
      </c>
      <c r="G502" s="175" t="s">
        <v>1128</v>
      </c>
      <c r="H502" s="181"/>
      <c r="I502" s="175" t="s">
        <v>263</v>
      </c>
      <c r="J502" s="6">
        <f>IF(ISERROR(VLOOKUP(A502,'8080 Op to Hex'!$A:$A,1,0)),0,1)</f>
        <v>0</v>
      </c>
      <c r="K502" s="6" cm="1">
        <f t="array" ref="K502">HlpGetInstructionSize(A502,B502,C502)</f>
        <v>1</v>
      </c>
      <c r="L502" s="6">
        <f t="shared" si="7"/>
        <v>0</v>
      </c>
    </row>
    <row r="503" spans="1:12">
      <c r="A503" s="175" t="s">
        <v>1988</v>
      </c>
      <c r="B503" s="175"/>
      <c r="C503" s="175"/>
      <c r="D503" s="177" t="s">
        <v>1989</v>
      </c>
      <c r="E503" s="179">
        <v>2</v>
      </c>
      <c r="F503" s="175" t="s">
        <v>1990</v>
      </c>
      <c r="G503" s="175" t="s">
        <v>1128</v>
      </c>
      <c r="H503" s="181" t="s">
        <v>842</v>
      </c>
      <c r="I503" s="175" t="s">
        <v>932</v>
      </c>
      <c r="J503" s="6">
        <f>IF(ISERROR(VLOOKUP(A503,'8080 Op to Hex'!$A:$A,1,0)),0,1)</f>
        <v>0</v>
      </c>
      <c r="K503" s="6" cm="1">
        <f t="array" ref="K503">HlpGetInstructionSize(A503,B503,C503)</f>
        <v>1</v>
      </c>
      <c r="L503" s="6">
        <f t="shared" si="7"/>
        <v>1</v>
      </c>
    </row>
    <row r="504" spans="1:12">
      <c r="A504" s="175" t="s">
        <v>867</v>
      </c>
      <c r="B504" s="175" t="s">
        <v>1991</v>
      </c>
      <c r="C504" s="175"/>
      <c r="D504" s="177" t="s">
        <v>768</v>
      </c>
      <c r="E504" s="179">
        <v>1</v>
      </c>
      <c r="F504" s="175" t="s">
        <v>1992</v>
      </c>
      <c r="G504" s="175" t="s">
        <v>1129</v>
      </c>
      <c r="H504" s="181"/>
      <c r="I504" s="175" t="s">
        <v>768</v>
      </c>
      <c r="J504" s="6">
        <f>IF(ISERROR(VLOOKUP(A504,'8080 Op to Hex'!$A:$A,1,0)),0,1)</f>
        <v>1</v>
      </c>
      <c r="K504" s="6" cm="1">
        <f t="array" ref="K504">HlpGetInstructionSize(A504,B504,C504)</f>
        <v>1</v>
      </c>
      <c r="L504" s="6">
        <f t="shared" si="7"/>
        <v>0</v>
      </c>
    </row>
    <row r="505" spans="1:12">
      <c r="A505" s="175" t="s">
        <v>867</v>
      </c>
      <c r="B505" s="175" t="s">
        <v>1993</v>
      </c>
      <c r="C505" s="175"/>
      <c r="D505" s="177" t="s">
        <v>782</v>
      </c>
      <c r="E505" s="179">
        <v>1</v>
      </c>
      <c r="F505" s="175" t="s">
        <v>1994</v>
      </c>
      <c r="G505" s="175" t="s">
        <v>1129</v>
      </c>
      <c r="H505" s="181"/>
      <c r="I505" s="175" t="s">
        <v>782</v>
      </c>
      <c r="J505" s="6">
        <f>IF(ISERROR(VLOOKUP(A505,'8080 Op to Hex'!$A:$A,1,0)),0,1)</f>
        <v>1</v>
      </c>
      <c r="K505" s="6" cm="1">
        <f t="array" ref="K505">HlpGetInstructionSize(A505,B505,C505)</f>
        <v>1</v>
      </c>
      <c r="L505" s="6">
        <f t="shared" si="7"/>
        <v>0</v>
      </c>
    </row>
    <row r="506" spans="1:12">
      <c r="A506" s="175" t="s">
        <v>867</v>
      </c>
      <c r="B506" s="175" t="s">
        <v>1995</v>
      </c>
      <c r="C506" s="175"/>
      <c r="D506" s="177" t="s">
        <v>799</v>
      </c>
      <c r="E506" s="179">
        <v>1</v>
      </c>
      <c r="F506" s="175" t="s">
        <v>1996</v>
      </c>
      <c r="G506" s="175" t="s">
        <v>1129</v>
      </c>
      <c r="H506" s="181"/>
      <c r="I506" s="175" t="s">
        <v>799</v>
      </c>
      <c r="J506" s="6">
        <f>IF(ISERROR(VLOOKUP(A506,'8080 Op to Hex'!$A:$A,1,0)),0,1)</f>
        <v>1</v>
      </c>
      <c r="K506" s="6" cm="1">
        <f t="array" ref="K506">HlpGetInstructionSize(A506,B506,C506)</f>
        <v>1</v>
      </c>
      <c r="L506" s="6">
        <f t="shared" si="7"/>
        <v>0</v>
      </c>
    </row>
    <row r="507" spans="1:12">
      <c r="A507" s="175" t="s">
        <v>867</v>
      </c>
      <c r="B507" s="175" t="s">
        <v>1997</v>
      </c>
      <c r="C507" s="175"/>
      <c r="D507" s="177" t="s">
        <v>813</v>
      </c>
      <c r="E507" s="179">
        <v>1</v>
      </c>
      <c r="F507" s="175" t="s">
        <v>1998</v>
      </c>
      <c r="G507" s="175" t="s">
        <v>1129</v>
      </c>
      <c r="H507" s="181"/>
      <c r="I507" s="175" t="s">
        <v>813</v>
      </c>
      <c r="J507" s="6">
        <f>IF(ISERROR(VLOOKUP(A507,'8080 Op to Hex'!$A:$A,1,0)),0,1)</f>
        <v>1</v>
      </c>
      <c r="K507" s="6" cm="1">
        <f t="array" ref="K507">HlpGetInstructionSize(A507,B507,C507)</f>
        <v>1</v>
      </c>
      <c r="L507" s="6">
        <f t="shared" si="7"/>
        <v>0</v>
      </c>
    </row>
    <row r="508" spans="1:12">
      <c r="A508" s="175" t="s">
        <v>867</v>
      </c>
      <c r="B508" s="175" t="s">
        <v>1999</v>
      </c>
      <c r="C508" s="175"/>
      <c r="D508" s="177" t="s">
        <v>829</v>
      </c>
      <c r="E508" s="179">
        <v>1</v>
      </c>
      <c r="F508" s="175" t="s">
        <v>2000</v>
      </c>
      <c r="G508" s="175" t="s">
        <v>1129</v>
      </c>
      <c r="H508" s="181"/>
      <c r="I508" s="175" t="s">
        <v>829</v>
      </c>
      <c r="J508" s="6">
        <f>IF(ISERROR(VLOOKUP(A508,'8080 Op to Hex'!$A:$A,1,0)),0,1)</f>
        <v>1</v>
      </c>
      <c r="K508" s="6" cm="1">
        <f t="array" ref="K508">HlpGetInstructionSize(A508,B508,C508)</f>
        <v>1</v>
      </c>
      <c r="L508" s="6">
        <f t="shared" si="7"/>
        <v>0</v>
      </c>
    </row>
    <row r="509" spans="1:12">
      <c r="A509" s="175" t="s">
        <v>867</v>
      </c>
      <c r="B509" s="175" t="s">
        <v>2001</v>
      </c>
      <c r="C509" s="175"/>
      <c r="D509" s="177" t="s">
        <v>844</v>
      </c>
      <c r="E509" s="179">
        <v>1</v>
      </c>
      <c r="F509" s="175" t="s">
        <v>2002</v>
      </c>
      <c r="G509" s="175" t="s">
        <v>1129</v>
      </c>
      <c r="H509" s="181"/>
      <c r="I509" s="175" t="s">
        <v>844</v>
      </c>
      <c r="J509" s="6">
        <f>IF(ISERROR(VLOOKUP(A509,'8080 Op to Hex'!$A:$A,1,0)),0,1)</f>
        <v>1</v>
      </c>
      <c r="K509" s="6" cm="1">
        <f t="array" ref="K509">HlpGetInstructionSize(A509,B509,C509)</f>
        <v>1</v>
      </c>
      <c r="L509" s="6">
        <f t="shared" si="7"/>
        <v>0</v>
      </c>
    </row>
    <row r="510" spans="1:12">
      <c r="A510" s="175" t="s">
        <v>867</v>
      </c>
      <c r="B510" s="175" t="s">
        <v>2003</v>
      </c>
      <c r="C510" s="175"/>
      <c r="D510" s="177" t="s">
        <v>1336</v>
      </c>
      <c r="E510" s="179">
        <v>1</v>
      </c>
      <c r="F510" s="175" t="s">
        <v>2004</v>
      </c>
      <c r="G510" s="175" t="s">
        <v>1129</v>
      </c>
      <c r="H510" s="181"/>
      <c r="I510" s="175" t="s">
        <v>1336</v>
      </c>
      <c r="J510" s="6">
        <f>IF(ISERROR(VLOOKUP(A510,'8080 Op to Hex'!$A:$A,1,0)),0,1)</f>
        <v>1</v>
      </c>
      <c r="K510" s="6" cm="1">
        <f t="array" ref="K510">HlpGetInstructionSize(A510,B510,C510)</f>
        <v>1</v>
      </c>
      <c r="L510" s="6">
        <f t="shared" si="7"/>
        <v>0</v>
      </c>
    </row>
    <row r="511" spans="1:12">
      <c r="A511" s="175" t="s">
        <v>867</v>
      </c>
      <c r="B511" s="175" t="s">
        <v>2005</v>
      </c>
      <c r="C511" s="175"/>
      <c r="D511" s="177" t="s">
        <v>140</v>
      </c>
      <c r="E511" s="179">
        <v>1</v>
      </c>
      <c r="F511" s="175" t="s">
        <v>2006</v>
      </c>
      <c r="G511" s="175" t="s">
        <v>1129</v>
      </c>
      <c r="H511" s="181"/>
      <c r="I511" s="175" t="s">
        <v>140</v>
      </c>
      <c r="J511" s="6">
        <f>IF(ISERROR(VLOOKUP(A511,'8080 Op to Hex'!$A:$A,1,0)),0,1)</f>
        <v>1</v>
      </c>
      <c r="K511" s="6" cm="1">
        <f t="array" ref="K511">HlpGetInstructionSize(A511,B511,C511)</f>
        <v>1</v>
      </c>
      <c r="L511" s="6">
        <f t="shared" si="7"/>
        <v>0</v>
      </c>
    </row>
    <row r="512" spans="1:12">
      <c r="A512" s="175" t="s">
        <v>1267</v>
      </c>
      <c r="B512" s="175" t="s">
        <v>146</v>
      </c>
      <c r="C512" s="175" t="s">
        <v>1238</v>
      </c>
      <c r="D512" s="177" t="s">
        <v>697</v>
      </c>
      <c r="E512" s="179">
        <v>1</v>
      </c>
      <c r="F512" s="175" t="s">
        <v>1274</v>
      </c>
      <c r="G512" s="175" t="s">
        <v>1211</v>
      </c>
      <c r="H512" s="181"/>
      <c r="I512" s="175" t="s">
        <v>697</v>
      </c>
      <c r="J512" s="6">
        <f>IF(ISERROR(VLOOKUP(A512,'8080 Op to Hex'!$A:$A,1,0)),0,1)</f>
        <v>0</v>
      </c>
      <c r="K512" s="6" cm="1">
        <f t="array" ref="K512">HlpGetInstructionSize(A512,B512,C512)</f>
        <v>1</v>
      </c>
      <c r="L512" s="6">
        <f t="shared" si="7"/>
        <v>0</v>
      </c>
    </row>
    <row r="513" spans="1:12">
      <c r="A513" s="175" t="s">
        <v>1267</v>
      </c>
      <c r="B513" s="175" t="s">
        <v>146</v>
      </c>
      <c r="C513" s="175" t="s">
        <v>1377</v>
      </c>
      <c r="D513" s="177" t="s">
        <v>2007</v>
      </c>
      <c r="E513" s="179">
        <v>4</v>
      </c>
      <c r="F513" s="175" t="s">
        <v>2008</v>
      </c>
      <c r="G513" s="175" t="s">
        <v>126</v>
      </c>
      <c r="H513" s="181" t="s">
        <v>810</v>
      </c>
      <c r="I513" s="175" t="s">
        <v>697</v>
      </c>
      <c r="J513" s="6">
        <f>IF(ISERROR(VLOOKUP(A513,'8080 Op to Hex'!$A:$A,1,0)),0,1)</f>
        <v>0</v>
      </c>
      <c r="K513" s="6" cm="1">
        <f t="array" ref="K513">HlpGetInstructionSize(A513,B513,C513)</f>
        <v>1</v>
      </c>
      <c r="L513" s="6">
        <f>IF(E513&lt;&gt;K513,1,0)</f>
        <v>1</v>
      </c>
    </row>
    <row r="514" spans="1:12">
      <c r="A514" s="175" t="s">
        <v>1267</v>
      </c>
      <c r="B514" s="175" t="s">
        <v>146</v>
      </c>
      <c r="C514" s="175" t="s">
        <v>1380</v>
      </c>
      <c r="D514" s="177" t="s">
        <v>2009</v>
      </c>
      <c r="E514" s="179">
        <v>4</v>
      </c>
      <c r="F514" s="175" t="s">
        <v>2010</v>
      </c>
      <c r="G514" s="175" t="s">
        <v>126</v>
      </c>
      <c r="H514" s="181" t="s">
        <v>1025</v>
      </c>
      <c r="I514" s="175" t="s">
        <v>697</v>
      </c>
      <c r="J514" s="6">
        <f>IF(ISERROR(VLOOKUP(A514,'8080 Op to Hex'!$A:$A,1,0)),0,1)</f>
        <v>0</v>
      </c>
      <c r="K514" s="6" cm="1">
        <f t="array" ref="K514">HlpGetInstructionSize(A514,B514,C514)</f>
        <v>1</v>
      </c>
      <c r="L514" s="6">
        <f t="shared" ref="L514:L577" si="8">IF(E514&lt;&gt;K514,1,0)</f>
        <v>1</v>
      </c>
    </row>
    <row r="515" spans="1:12">
      <c r="A515" s="175" t="s">
        <v>1267</v>
      </c>
      <c r="B515" s="175" t="s">
        <v>146</v>
      </c>
      <c r="C515" s="175" t="s">
        <v>146</v>
      </c>
      <c r="D515" s="177" t="s">
        <v>699</v>
      </c>
      <c r="E515" s="179">
        <v>1</v>
      </c>
      <c r="F515" s="175" t="s">
        <v>1275</v>
      </c>
      <c r="G515" s="175" t="s">
        <v>1127</v>
      </c>
      <c r="H515" s="181"/>
      <c r="I515" s="175" t="s">
        <v>699</v>
      </c>
      <c r="J515" s="6">
        <f>IF(ISERROR(VLOOKUP(A515,'8080 Op to Hex'!$A:$A,1,0)),0,1)</f>
        <v>0</v>
      </c>
      <c r="K515" s="6" cm="1">
        <f t="array" ref="K515">HlpGetInstructionSize(A515,B515,C515)</f>
        <v>1</v>
      </c>
      <c r="L515" s="6">
        <f t="shared" si="8"/>
        <v>0</v>
      </c>
    </row>
    <row r="516" spans="1:12">
      <c r="A516" s="175" t="s">
        <v>1267</v>
      </c>
      <c r="B516" s="175" t="s">
        <v>146</v>
      </c>
      <c r="C516" s="175" t="s">
        <v>144</v>
      </c>
      <c r="D516" s="177" t="s">
        <v>960</v>
      </c>
      <c r="E516" s="179">
        <v>1</v>
      </c>
      <c r="F516" s="175" t="s">
        <v>1268</v>
      </c>
      <c r="G516" s="175" t="s">
        <v>1127</v>
      </c>
      <c r="H516" s="181"/>
      <c r="I516" s="175" t="s">
        <v>960</v>
      </c>
      <c r="J516" s="6">
        <f>IF(ISERROR(VLOOKUP(A516,'8080 Op to Hex'!$A:$A,1,0)),0,1)</f>
        <v>0</v>
      </c>
      <c r="K516" s="6" cm="1">
        <f t="array" ref="K516">HlpGetInstructionSize(A516,B516,C516)</f>
        <v>1</v>
      </c>
      <c r="L516" s="6">
        <f t="shared" si="8"/>
        <v>0</v>
      </c>
    </row>
    <row r="517" spans="1:12">
      <c r="A517" s="175" t="s">
        <v>1267</v>
      </c>
      <c r="B517" s="175" t="s">
        <v>146</v>
      </c>
      <c r="C517" s="175" t="s">
        <v>182</v>
      </c>
      <c r="D517" s="177" t="s">
        <v>361</v>
      </c>
      <c r="E517" s="179">
        <v>1</v>
      </c>
      <c r="F517" s="175" t="s">
        <v>1269</v>
      </c>
      <c r="G517" s="175" t="s">
        <v>1127</v>
      </c>
      <c r="H517" s="181"/>
      <c r="I517" s="175" t="s">
        <v>361</v>
      </c>
      <c r="J517" s="6">
        <f>IF(ISERROR(VLOOKUP(A517,'8080 Op to Hex'!$A:$A,1,0)),0,1)</f>
        <v>0</v>
      </c>
      <c r="K517" s="6" cm="1">
        <f t="array" ref="K517">HlpGetInstructionSize(A517,B517,C517)</f>
        <v>1</v>
      </c>
      <c r="L517" s="6">
        <f t="shared" si="8"/>
        <v>0</v>
      </c>
    </row>
    <row r="518" spans="1:12">
      <c r="A518" s="175" t="s">
        <v>1267</v>
      </c>
      <c r="B518" s="175" t="s">
        <v>146</v>
      </c>
      <c r="C518" s="175" t="s">
        <v>183</v>
      </c>
      <c r="D518" s="177" t="s">
        <v>689</v>
      </c>
      <c r="E518" s="179">
        <v>1</v>
      </c>
      <c r="F518" s="175" t="s">
        <v>1270</v>
      </c>
      <c r="G518" s="175" t="s">
        <v>1127</v>
      </c>
      <c r="H518" s="181"/>
      <c r="I518" s="175" t="s">
        <v>689</v>
      </c>
      <c r="J518" s="6">
        <f>IF(ISERROR(VLOOKUP(A518,'8080 Op to Hex'!$A:$A,1,0)),0,1)</f>
        <v>0</v>
      </c>
      <c r="K518" s="6" cm="1">
        <f t="array" ref="K518">HlpGetInstructionSize(A518,B518,C518)</f>
        <v>1</v>
      </c>
      <c r="L518" s="6">
        <f t="shared" si="8"/>
        <v>0</v>
      </c>
    </row>
    <row r="519" spans="1:12">
      <c r="A519" s="175" t="s">
        <v>1267</v>
      </c>
      <c r="B519" s="175" t="s">
        <v>146</v>
      </c>
      <c r="C519" s="175" t="s">
        <v>265</v>
      </c>
      <c r="D519" s="177" t="s">
        <v>691</v>
      </c>
      <c r="E519" s="179">
        <v>1</v>
      </c>
      <c r="F519" s="175" t="s">
        <v>1271</v>
      </c>
      <c r="G519" s="175" t="s">
        <v>1127</v>
      </c>
      <c r="H519" s="181"/>
      <c r="I519" s="175" t="s">
        <v>691</v>
      </c>
      <c r="J519" s="6">
        <f>IF(ISERROR(VLOOKUP(A519,'8080 Op to Hex'!$A:$A,1,0)),0,1)</f>
        <v>0</v>
      </c>
      <c r="K519" s="6" cm="1">
        <f t="array" ref="K519">HlpGetInstructionSize(A519,B519,C519)</f>
        <v>1</v>
      </c>
      <c r="L519" s="6">
        <f t="shared" si="8"/>
        <v>0</v>
      </c>
    </row>
    <row r="520" spans="1:12">
      <c r="A520" s="175" t="s">
        <v>1267</v>
      </c>
      <c r="B520" s="175" t="s">
        <v>146</v>
      </c>
      <c r="C520" s="175" t="s">
        <v>303</v>
      </c>
      <c r="D520" s="177" t="s">
        <v>693</v>
      </c>
      <c r="E520" s="179">
        <v>1</v>
      </c>
      <c r="F520" s="175" t="s">
        <v>1272</v>
      </c>
      <c r="G520" s="175" t="s">
        <v>1127</v>
      </c>
      <c r="H520" s="181"/>
      <c r="I520" s="175" t="s">
        <v>693</v>
      </c>
      <c r="J520" s="6">
        <f>IF(ISERROR(VLOOKUP(A520,'8080 Op to Hex'!$A:$A,1,0)),0,1)</f>
        <v>0</v>
      </c>
      <c r="K520" s="6" cm="1">
        <f t="array" ref="K520">HlpGetInstructionSize(A520,B520,C520)</f>
        <v>1</v>
      </c>
      <c r="L520" s="6">
        <f t="shared" si="8"/>
        <v>0</v>
      </c>
    </row>
    <row r="521" spans="1:12">
      <c r="A521" s="175" t="s">
        <v>1267</v>
      </c>
      <c r="B521" s="175" t="s">
        <v>146</v>
      </c>
      <c r="C521" s="175" t="s">
        <v>327</v>
      </c>
      <c r="D521" s="177" t="s">
        <v>695</v>
      </c>
      <c r="E521" s="179">
        <v>1</v>
      </c>
      <c r="F521" s="175" t="s">
        <v>1273</v>
      </c>
      <c r="G521" s="175" t="s">
        <v>1127</v>
      </c>
      <c r="H521" s="181"/>
      <c r="I521" s="175" t="s">
        <v>695</v>
      </c>
      <c r="J521" s="6">
        <f>IF(ISERROR(VLOOKUP(A521,'8080 Op to Hex'!$A:$A,1,0)),0,1)</f>
        <v>0</v>
      </c>
      <c r="K521" s="6" cm="1">
        <f t="array" ref="K521">HlpGetInstructionSize(A521,B521,C521)</f>
        <v>1</v>
      </c>
      <c r="L521" s="6">
        <f t="shared" si="8"/>
        <v>0</v>
      </c>
    </row>
    <row r="522" spans="1:12">
      <c r="A522" s="175" t="s">
        <v>1267</v>
      </c>
      <c r="B522" s="175" t="s">
        <v>146</v>
      </c>
      <c r="C522" s="175" t="s">
        <v>1452</v>
      </c>
      <c r="D522" s="177" t="s">
        <v>811</v>
      </c>
      <c r="E522" s="179">
        <v>2</v>
      </c>
      <c r="F522" s="175" t="s">
        <v>1318</v>
      </c>
      <c r="G522" s="175" t="s">
        <v>1127</v>
      </c>
      <c r="H522" s="181"/>
      <c r="I522" s="175" t="s">
        <v>811</v>
      </c>
      <c r="J522" s="6">
        <f>IF(ISERROR(VLOOKUP(A522,'8080 Op to Hex'!$A:$A,1,0)),0,1)</f>
        <v>0</v>
      </c>
      <c r="K522" s="6" cm="1">
        <f t="array" ref="K522">HlpGetInstructionSize(A522,B522,C522)</f>
        <v>1</v>
      </c>
      <c r="L522" s="6">
        <f t="shared" si="8"/>
        <v>1</v>
      </c>
    </row>
    <row r="523" spans="1:12">
      <c r="A523" s="175" t="s">
        <v>1267</v>
      </c>
      <c r="B523" s="175" t="s">
        <v>1221</v>
      </c>
      <c r="C523" s="175" t="s">
        <v>336</v>
      </c>
      <c r="D523" s="177" t="s">
        <v>2011</v>
      </c>
      <c r="E523" s="179">
        <v>2</v>
      </c>
      <c r="F523" s="175" t="s">
        <v>2012</v>
      </c>
      <c r="G523" s="175" t="s">
        <v>1213</v>
      </c>
      <c r="H523" s="181" t="s">
        <v>842</v>
      </c>
      <c r="I523" s="175" t="s">
        <v>482</v>
      </c>
      <c r="J523" s="6">
        <f>IF(ISERROR(VLOOKUP(A523,'8080 Op to Hex'!$A:$A,1,0)),0,1)</f>
        <v>0</v>
      </c>
      <c r="K523" s="6" t="e" cm="1">
        <f t="array" ref="K523">HlpGetInstructionSize(A523,B523,C523)</f>
        <v>#VALUE!</v>
      </c>
      <c r="L523" s="6" t="e">
        <f t="shared" si="8"/>
        <v>#VALUE!</v>
      </c>
    </row>
    <row r="524" spans="1:12">
      <c r="A524" s="175" t="s">
        <v>1267</v>
      </c>
      <c r="B524" s="175" t="s">
        <v>1221</v>
      </c>
      <c r="C524" s="175" t="s">
        <v>811</v>
      </c>
      <c r="D524" s="177" t="s">
        <v>2013</v>
      </c>
      <c r="E524" s="179">
        <v>2</v>
      </c>
      <c r="F524" s="175" t="s">
        <v>2014</v>
      </c>
      <c r="G524" s="175" t="s">
        <v>1213</v>
      </c>
      <c r="H524" s="181" t="s">
        <v>842</v>
      </c>
      <c r="I524" s="175" t="s">
        <v>918</v>
      </c>
      <c r="J524" s="6">
        <f>IF(ISERROR(VLOOKUP(A524,'8080 Op to Hex'!$A:$A,1,0)),0,1)</f>
        <v>0</v>
      </c>
      <c r="K524" s="6" t="e" cm="1">
        <f t="array" ref="K524">HlpGetInstructionSize(A524,B524,C524)</f>
        <v>#VALUE!</v>
      </c>
      <c r="L524" s="6" t="e">
        <f t="shared" si="8"/>
        <v>#VALUE!</v>
      </c>
    </row>
    <row r="525" spans="1:12">
      <c r="A525" s="175" t="s">
        <v>1267</v>
      </c>
      <c r="B525" s="175" t="s">
        <v>1221</v>
      </c>
      <c r="C525" s="175" t="s">
        <v>1221</v>
      </c>
      <c r="D525" s="177" t="s">
        <v>2015</v>
      </c>
      <c r="E525" s="179">
        <v>2</v>
      </c>
      <c r="F525" s="175" t="s">
        <v>2016</v>
      </c>
      <c r="G525" s="175" t="s">
        <v>1213</v>
      </c>
      <c r="H525" s="181" t="s">
        <v>842</v>
      </c>
      <c r="I525" s="175" t="s">
        <v>927</v>
      </c>
      <c r="J525" s="6">
        <f>IF(ISERROR(VLOOKUP(A525,'8080 Op to Hex'!$A:$A,1,0)),0,1)</f>
        <v>0</v>
      </c>
      <c r="K525" s="6" t="e" cm="1">
        <f t="array" ref="K525">HlpGetInstructionSize(A525,B525,C525)</f>
        <v>#VALUE!</v>
      </c>
      <c r="L525" s="6" t="e">
        <f t="shared" si="8"/>
        <v>#VALUE!</v>
      </c>
    </row>
    <row r="526" spans="1:12">
      <c r="A526" s="175" t="s">
        <v>1267</v>
      </c>
      <c r="B526" s="175" t="s">
        <v>1221</v>
      </c>
      <c r="C526" s="175" t="s">
        <v>114</v>
      </c>
      <c r="D526" s="177" t="s">
        <v>2017</v>
      </c>
      <c r="E526" s="179">
        <v>2</v>
      </c>
      <c r="F526" s="175" t="s">
        <v>2018</v>
      </c>
      <c r="G526" s="175" t="s">
        <v>1213</v>
      </c>
      <c r="H526" s="181" t="s">
        <v>842</v>
      </c>
      <c r="I526" s="175" t="s">
        <v>937</v>
      </c>
      <c r="J526" s="6">
        <f>IF(ISERROR(VLOOKUP(A526,'8080 Op to Hex'!$A:$A,1,0)),0,1)</f>
        <v>0</v>
      </c>
      <c r="K526" s="6" t="e" cm="1">
        <f t="array" ref="K526">HlpGetInstructionSize(A526,B526,C526)</f>
        <v>#VALUE!</v>
      </c>
      <c r="L526" s="6" t="e">
        <f t="shared" si="8"/>
        <v>#VALUE!</v>
      </c>
    </row>
    <row r="527" spans="1:12">
      <c r="A527" s="175" t="s">
        <v>1251</v>
      </c>
      <c r="B527" s="175"/>
      <c r="C527" s="175"/>
      <c r="D527" s="177" t="s">
        <v>904</v>
      </c>
      <c r="E527" s="179">
        <v>1</v>
      </c>
      <c r="F527" s="175" t="s">
        <v>2019</v>
      </c>
      <c r="G527" s="175" t="s">
        <v>188</v>
      </c>
      <c r="H527" s="181"/>
      <c r="I527" s="175" t="s">
        <v>904</v>
      </c>
      <c r="J527" s="6">
        <f>IF(ISERROR(VLOOKUP(A527,'8080 Op to Hex'!$A:$A,1,0)),0,1)</f>
        <v>0</v>
      </c>
      <c r="K527" s="6" cm="1">
        <f t="array" ref="K527">HlpGetInstructionSize(A527,B527,C527)</f>
        <v>1</v>
      </c>
      <c r="L527" s="6">
        <f t="shared" si="8"/>
        <v>0</v>
      </c>
    </row>
    <row r="528" spans="1:12">
      <c r="A528" s="175" t="s">
        <v>1368</v>
      </c>
      <c r="B528" s="175" t="s">
        <v>209</v>
      </c>
      <c r="C528" s="175" t="s">
        <v>1238</v>
      </c>
      <c r="D528" s="177" t="s">
        <v>2020</v>
      </c>
      <c r="E528" s="179">
        <v>2</v>
      </c>
      <c r="F528" s="175" t="s">
        <v>2021</v>
      </c>
      <c r="G528" s="175" t="s">
        <v>118</v>
      </c>
      <c r="H528" s="181" t="s">
        <v>776</v>
      </c>
      <c r="I528" s="175" t="s">
        <v>766</v>
      </c>
      <c r="J528" s="6">
        <f>IF(ISERROR(VLOOKUP(A528,'8080 Op to Hex'!$A:$A,1,0)),0,1)</f>
        <v>0</v>
      </c>
      <c r="K528" s="6" cm="1">
        <f t="array" ref="K528">HlpGetInstructionSize(A528,B528,C528)</f>
        <v>1</v>
      </c>
      <c r="L528" s="6">
        <f t="shared" si="8"/>
        <v>1</v>
      </c>
    </row>
    <row r="529" spans="1:12">
      <c r="A529" s="175" t="s">
        <v>1368</v>
      </c>
      <c r="B529" s="175" t="s">
        <v>209</v>
      </c>
      <c r="C529" s="175" t="s">
        <v>146</v>
      </c>
      <c r="D529" s="177" t="s">
        <v>2022</v>
      </c>
      <c r="E529" s="179">
        <v>2</v>
      </c>
      <c r="F529" s="175" t="s">
        <v>1369</v>
      </c>
      <c r="G529" s="175" t="s">
        <v>118</v>
      </c>
      <c r="H529" s="181" t="s">
        <v>776</v>
      </c>
      <c r="I529" s="175" t="s">
        <v>768</v>
      </c>
      <c r="J529" s="6">
        <f>IF(ISERROR(VLOOKUP(A529,'8080 Op to Hex'!$A:$A,1,0)),0,1)</f>
        <v>0</v>
      </c>
      <c r="K529" s="6" cm="1">
        <f t="array" ref="K529">HlpGetInstructionSize(A529,B529,C529)</f>
        <v>1</v>
      </c>
      <c r="L529" s="6">
        <f t="shared" si="8"/>
        <v>1</v>
      </c>
    </row>
    <row r="530" spans="1:12">
      <c r="A530" s="175" t="s">
        <v>1368</v>
      </c>
      <c r="B530" s="175" t="s">
        <v>209</v>
      </c>
      <c r="C530" s="175" t="s">
        <v>144</v>
      </c>
      <c r="D530" s="177" t="s">
        <v>2023</v>
      </c>
      <c r="E530" s="179">
        <v>2</v>
      </c>
      <c r="F530" s="175" t="s">
        <v>2024</v>
      </c>
      <c r="G530" s="175" t="s">
        <v>118</v>
      </c>
      <c r="H530" s="181" t="s">
        <v>776</v>
      </c>
      <c r="I530" s="175" t="s">
        <v>753</v>
      </c>
      <c r="J530" s="6">
        <f>IF(ISERROR(VLOOKUP(A530,'8080 Op to Hex'!$A:$A,1,0)),0,1)</f>
        <v>0</v>
      </c>
      <c r="K530" s="6" cm="1">
        <f t="array" ref="K530">HlpGetInstructionSize(A530,B530,C530)</f>
        <v>1</v>
      </c>
      <c r="L530" s="6">
        <f t="shared" si="8"/>
        <v>1</v>
      </c>
    </row>
    <row r="531" spans="1:12">
      <c r="A531" s="175" t="s">
        <v>1368</v>
      </c>
      <c r="B531" s="175" t="s">
        <v>209</v>
      </c>
      <c r="C531" s="175" t="s">
        <v>182</v>
      </c>
      <c r="D531" s="177" t="s">
        <v>2025</v>
      </c>
      <c r="E531" s="179">
        <v>2</v>
      </c>
      <c r="F531" s="175" t="s">
        <v>2026</v>
      </c>
      <c r="G531" s="175" t="s">
        <v>118</v>
      </c>
      <c r="H531" s="181" t="s">
        <v>776</v>
      </c>
      <c r="I531" s="175" t="s">
        <v>756</v>
      </c>
      <c r="J531" s="6">
        <f>IF(ISERROR(VLOOKUP(A531,'8080 Op to Hex'!$A:$A,1,0)),0,1)</f>
        <v>0</v>
      </c>
      <c r="K531" s="6" cm="1">
        <f t="array" ref="K531">HlpGetInstructionSize(A531,B531,C531)</f>
        <v>1</v>
      </c>
      <c r="L531" s="6">
        <f t="shared" si="8"/>
        <v>1</v>
      </c>
    </row>
    <row r="532" spans="1:12">
      <c r="A532" s="175" t="s">
        <v>1368</v>
      </c>
      <c r="B532" s="175" t="s">
        <v>209</v>
      </c>
      <c r="C532" s="175" t="s">
        <v>183</v>
      </c>
      <c r="D532" s="177" t="s">
        <v>2027</v>
      </c>
      <c r="E532" s="179">
        <v>2</v>
      </c>
      <c r="F532" s="175" t="s">
        <v>2028</v>
      </c>
      <c r="G532" s="175" t="s">
        <v>118</v>
      </c>
      <c r="H532" s="181" t="s">
        <v>776</v>
      </c>
      <c r="I532" s="175" t="s">
        <v>758</v>
      </c>
      <c r="J532" s="6">
        <f>IF(ISERROR(VLOOKUP(A532,'8080 Op to Hex'!$A:$A,1,0)),0,1)</f>
        <v>0</v>
      </c>
      <c r="K532" s="6" cm="1">
        <f t="array" ref="K532">HlpGetInstructionSize(A532,B532,C532)</f>
        <v>1</v>
      </c>
      <c r="L532" s="6">
        <f t="shared" si="8"/>
        <v>1</v>
      </c>
    </row>
    <row r="533" spans="1:12">
      <c r="A533" s="175" t="s">
        <v>1368</v>
      </c>
      <c r="B533" s="175" t="s">
        <v>209</v>
      </c>
      <c r="C533" s="175" t="s">
        <v>265</v>
      </c>
      <c r="D533" s="177" t="s">
        <v>2029</v>
      </c>
      <c r="E533" s="179">
        <v>2</v>
      </c>
      <c r="F533" s="175" t="s">
        <v>2030</v>
      </c>
      <c r="G533" s="175" t="s">
        <v>118</v>
      </c>
      <c r="H533" s="181" t="s">
        <v>776</v>
      </c>
      <c r="I533" s="175" t="s">
        <v>760</v>
      </c>
      <c r="J533" s="6">
        <f>IF(ISERROR(VLOOKUP(A533,'8080 Op to Hex'!$A:$A,1,0)),0,1)</f>
        <v>0</v>
      </c>
      <c r="K533" s="6" cm="1">
        <f t="array" ref="K533">HlpGetInstructionSize(A533,B533,C533)</f>
        <v>1</v>
      </c>
      <c r="L533" s="6">
        <f t="shared" si="8"/>
        <v>1</v>
      </c>
    </row>
    <row r="534" spans="1:12">
      <c r="A534" s="175" t="s">
        <v>1368</v>
      </c>
      <c r="B534" s="175" t="s">
        <v>209</v>
      </c>
      <c r="C534" s="175" t="s">
        <v>303</v>
      </c>
      <c r="D534" s="177" t="s">
        <v>2031</v>
      </c>
      <c r="E534" s="179">
        <v>2</v>
      </c>
      <c r="F534" s="175" t="s">
        <v>2032</v>
      </c>
      <c r="G534" s="175" t="s">
        <v>118</v>
      </c>
      <c r="H534" s="181" t="s">
        <v>776</v>
      </c>
      <c r="I534" s="175" t="s">
        <v>762</v>
      </c>
      <c r="J534" s="6">
        <f>IF(ISERROR(VLOOKUP(A534,'8080 Op to Hex'!$A:$A,1,0)),0,1)</f>
        <v>0</v>
      </c>
      <c r="K534" s="6" cm="1">
        <f t="array" ref="K534">HlpGetInstructionSize(A534,B534,C534)</f>
        <v>1</v>
      </c>
      <c r="L534" s="6">
        <f t="shared" si="8"/>
        <v>1</v>
      </c>
    </row>
    <row r="535" spans="1:12">
      <c r="A535" s="175" t="s">
        <v>1368</v>
      </c>
      <c r="B535" s="175" t="s">
        <v>209</v>
      </c>
      <c r="C535" s="175" t="s">
        <v>327</v>
      </c>
      <c r="D535" s="177" t="s">
        <v>2033</v>
      </c>
      <c r="E535" s="179">
        <v>2</v>
      </c>
      <c r="F535" s="175" t="s">
        <v>2034</v>
      </c>
      <c r="G535" s="175" t="s">
        <v>118</v>
      </c>
      <c r="H535" s="181" t="s">
        <v>776</v>
      </c>
      <c r="I535" s="175" t="s">
        <v>764</v>
      </c>
      <c r="J535" s="6">
        <f>IF(ISERROR(VLOOKUP(A535,'8080 Op to Hex'!$A:$A,1,0)),0,1)</f>
        <v>0</v>
      </c>
      <c r="K535" s="6" cm="1">
        <f t="array" ref="K535">HlpGetInstructionSize(A535,B535,C535)</f>
        <v>1</v>
      </c>
      <c r="L535" s="6">
        <f t="shared" si="8"/>
        <v>1</v>
      </c>
    </row>
    <row r="536" spans="1:12">
      <c r="A536" s="175" t="s">
        <v>1368</v>
      </c>
      <c r="B536" s="175" t="s">
        <v>210</v>
      </c>
      <c r="C536" s="175" t="s">
        <v>1238</v>
      </c>
      <c r="D536" s="177" t="s">
        <v>2035</v>
      </c>
      <c r="E536" s="179">
        <v>2</v>
      </c>
      <c r="F536" s="175" t="s">
        <v>2036</v>
      </c>
      <c r="G536" s="175" t="s">
        <v>118</v>
      </c>
      <c r="H536" s="181" t="s">
        <v>776</v>
      </c>
      <c r="I536" s="175" t="s">
        <v>780</v>
      </c>
      <c r="J536" s="6">
        <f>IF(ISERROR(VLOOKUP(A536,'8080 Op to Hex'!$A:$A,1,0)),0,1)</f>
        <v>0</v>
      </c>
      <c r="K536" s="6" cm="1">
        <f t="array" ref="K536">HlpGetInstructionSize(A536,B536,C536)</f>
        <v>1</v>
      </c>
      <c r="L536" s="6">
        <f t="shared" si="8"/>
        <v>1</v>
      </c>
    </row>
    <row r="537" spans="1:12">
      <c r="A537" s="175" t="s">
        <v>1368</v>
      </c>
      <c r="B537" s="175" t="s">
        <v>210</v>
      </c>
      <c r="C537" s="175" t="s">
        <v>146</v>
      </c>
      <c r="D537" s="177" t="s">
        <v>2037</v>
      </c>
      <c r="E537" s="179">
        <v>2</v>
      </c>
      <c r="F537" s="175" t="s">
        <v>1370</v>
      </c>
      <c r="G537" s="175" t="s">
        <v>118</v>
      </c>
      <c r="H537" s="181" t="s">
        <v>776</v>
      </c>
      <c r="I537" s="175" t="s">
        <v>782</v>
      </c>
      <c r="J537" s="6">
        <f>IF(ISERROR(VLOOKUP(A537,'8080 Op to Hex'!$A:$A,1,0)),0,1)</f>
        <v>0</v>
      </c>
      <c r="K537" s="6" cm="1">
        <f t="array" ref="K537">HlpGetInstructionSize(A537,B537,C537)</f>
        <v>1</v>
      </c>
      <c r="L537" s="6">
        <f t="shared" si="8"/>
        <v>1</v>
      </c>
    </row>
    <row r="538" spans="1:12">
      <c r="A538" s="175" t="s">
        <v>1368</v>
      </c>
      <c r="B538" s="175" t="s">
        <v>210</v>
      </c>
      <c r="C538" s="175" t="s">
        <v>144</v>
      </c>
      <c r="D538" s="177" t="s">
        <v>2038</v>
      </c>
      <c r="E538" s="179">
        <v>2</v>
      </c>
      <c r="F538" s="175" t="s">
        <v>2039</v>
      </c>
      <c r="G538" s="175" t="s">
        <v>118</v>
      </c>
      <c r="H538" s="181" t="s">
        <v>776</v>
      </c>
      <c r="I538" s="175" t="s">
        <v>770</v>
      </c>
      <c r="J538" s="6">
        <f>IF(ISERROR(VLOOKUP(A538,'8080 Op to Hex'!$A:$A,1,0)),0,1)</f>
        <v>0</v>
      </c>
      <c r="K538" s="6" cm="1">
        <f t="array" ref="K538">HlpGetInstructionSize(A538,B538,C538)</f>
        <v>1</v>
      </c>
      <c r="L538" s="6">
        <f t="shared" si="8"/>
        <v>1</v>
      </c>
    </row>
    <row r="539" spans="1:12">
      <c r="A539" s="175" t="s">
        <v>1368</v>
      </c>
      <c r="B539" s="175" t="s">
        <v>210</v>
      </c>
      <c r="C539" s="175" t="s">
        <v>182</v>
      </c>
      <c r="D539" s="177" t="s">
        <v>2040</v>
      </c>
      <c r="E539" s="179">
        <v>2</v>
      </c>
      <c r="F539" s="175" t="s">
        <v>2041</v>
      </c>
      <c r="G539" s="175" t="s">
        <v>118</v>
      </c>
      <c r="H539" s="181" t="s">
        <v>776</v>
      </c>
      <c r="I539" s="175" t="s">
        <v>772</v>
      </c>
      <c r="J539" s="6">
        <f>IF(ISERROR(VLOOKUP(A539,'8080 Op to Hex'!$A:$A,1,0)),0,1)</f>
        <v>0</v>
      </c>
      <c r="K539" s="6" cm="1">
        <f t="array" ref="K539">HlpGetInstructionSize(A539,B539,C539)</f>
        <v>1</v>
      </c>
      <c r="L539" s="6">
        <f t="shared" si="8"/>
        <v>1</v>
      </c>
    </row>
    <row r="540" spans="1:12">
      <c r="A540" s="175" t="s">
        <v>1368</v>
      </c>
      <c r="B540" s="175" t="s">
        <v>210</v>
      </c>
      <c r="C540" s="175" t="s">
        <v>183</v>
      </c>
      <c r="D540" s="177" t="s">
        <v>2042</v>
      </c>
      <c r="E540" s="179">
        <v>2</v>
      </c>
      <c r="F540" s="175" t="s">
        <v>2043</v>
      </c>
      <c r="G540" s="175" t="s">
        <v>118</v>
      </c>
      <c r="H540" s="181" t="s">
        <v>776</v>
      </c>
      <c r="I540" s="175" t="s">
        <v>774</v>
      </c>
      <c r="J540" s="6">
        <f>IF(ISERROR(VLOOKUP(A540,'8080 Op to Hex'!$A:$A,1,0)),0,1)</f>
        <v>0</v>
      </c>
      <c r="K540" s="6" cm="1">
        <f t="array" ref="K540">HlpGetInstructionSize(A540,B540,C540)</f>
        <v>1</v>
      </c>
      <c r="L540" s="6">
        <f t="shared" si="8"/>
        <v>1</v>
      </c>
    </row>
    <row r="541" spans="1:12">
      <c r="A541" s="175" t="s">
        <v>1368</v>
      </c>
      <c r="B541" s="175" t="s">
        <v>210</v>
      </c>
      <c r="C541" s="175" t="s">
        <v>265</v>
      </c>
      <c r="D541" s="177" t="s">
        <v>2044</v>
      </c>
      <c r="E541" s="179">
        <v>2</v>
      </c>
      <c r="F541" s="175" t="s">
        <v>2045</v>
      </c>
      <c r="G541" s="175" t="s">
        <v>118</v>
      </c>
      <c r="H541" s="181" t="s">
        <v>776</v>
      </c>
      <c r="I541" s="175" t="s">
        <v>776</v>
      </c>
      <c r="J541" s="6">
        <f>IF(ISERROR(VLOOKUP(A541,'8080 Op to Hex'!$A:$A,1,0)),0,1)</f>
        <v>0</v>
      </c>
      <c r="K541" s="6" cm="1">
        <f t="array" ref="K541">HlpGetInstructionSize(A541,B541,C541)</f>
        <v>1</v>
      </c>
      <c r="L541" s="6">
        <f t="shared" si="8"/>
        <v>1</v>
      </c>
    </row>
    <row r="542" spans="1:12">
      <c r="A542" s="175" t="s">
        <v>1368</v>
      </c>
      <c r="B542" s="175" t="s">
        <v>210</v>
      </c>
      <c r="C542" s="175" t="s">
        <v>303</v>
      </c>
      <c r="D542" s="177" t="s">
        <v>2046</v>
      </c>
      <c r="E542" s="179">
        <v>2</v>
      </c>
      <c r="F542" s="175" t="s">
        <v>2047</v>
      </c>
      <c r="G542" s="175" t="s">
        <v>118</v>
      </c>
      <c r="H542" s="181" t="s">
        <v>776</v>
      </c>
      <c r="I542" s="175" t="s">
        <v>777</v>
      </c>
      <c r="J542" s="6">
        <f>IF(ISERROR(VLOOKUP(A542,'8080 Op to Hex'!$A:$A,1,0)),0,1)</f>
        <v>0</v>
      </c>
      <c r="K542" s="6" cm="1">
        <f t="array" ref="K542">HlpGetInstructionSize(A542,B542,C542)</f>
        <v>1</v>
      </c>
      <c r="L542" s="6">
        <f t="shared" si="8"/>
        <v>1</v>
      </c>
    </row>
    <row r="543" spans="1:12">
      <c r="A543" s="175" t="s">
        <v>1368</v>
      </c>
      <c r="B543" s="175" t="s">
        <v>210</v>
      </c>
      <c r="C543" s="175" t="s">
        <v>327</v>
      </c>
      <c r="D543" s="177" t="s">
        <v>2048</v>
      </c>
      <c r="E543" s="179">
        <v>2</v>
      </c>
      <c r="F543" s="175" t="s">
        <v>2049</v>
      </c>
      <c r="G543" s="175" t="s">
        <v>118</v>
      </c>
      <c r="H543" s="181" t="s">
        <v>776</v>
      </c>
      <c r="I543" s="175" t="s">
        <v>478</v>
      </c>
      <c r="J543" s="6">
        <f>IF(ISERROR(VLOOKUP(A543,'8080 Op to Hex'!$A:$A,1,0)),0,1)</f>
        <v>0</v>
      </c>
      <c r="K543" s="6" cm="1">
        <f t="array" ref="K543">HlpGetInstructionSize(A543,B543,C543)</f>
        <v>1</v>
      </c>
      <c r="L543" s="6">
        <f t="shared" si="8"/>
        <v>1</v>
      </c>
    </row>
    <row r="544" spans="1:12">
      <c r="A544" s="175" t="s">
        <v>1368</v>
      </c>
      <c r="B544" s="175" t="s">
        <v>234</v>
      </c>
      <c r="C544" s="175" t="s">
        <v>1238</v>
      </c>
      <c r="D544" s="177" t="s">
        <v>2050</v>
      </c>
      <c r="E544" s="179">
        <v>2</v>
      </c>
      <c r="F544" s="175" t="s">
        <v>2051</v>
      </c>
      <c r="G544" s="175" t="s">
        <v>118</v>
      </c>
      <c r="H544" s="181" t="s">
        <v>776</v>
      </c>
      <c r="I544" s="175" t="s">
        <v>797</v>
      </c>
      <c r="J544" s="6">
        <f>IF(ISERROR(VLOOKUP(A544,'8080 Op to Hex'!$A:$A,1,0)),0,1)</f>
        <v>0</v>
      </c>
      <c r="K544" s="6" cm="1">
        <f t="array" ref="K544">HlpGetInstructionSize(A544,B544,C544)</f>
        <v>1</v>
      </c>
      <c r="L544" s="6">
        <f t="shared" si="8"/>
        <v>1</v>
      </c>
    </row>
    <row r="545" spans="1:12">
      <c r="A545" s="175" t="s">
        <v>1368</v>
      </c>
      <c r="B545" s="175" t="s">
        <v>234</v>
      </c>
      <c r="C545" s="175" t="s">
        <v>146</v>
      </c>
      <c r="D545" s="177" t="s">
        <v>2052</v>
      </c>
      <c r="E545" s="179">
        <v>2</v>
      </c>
      <c r="F545" s="175" t="s">
        <v>1371</v>
      </c>
      <c r="G545" s="175" t="s">
        <v>118</v>
      </c>
      <c r="H545" s="181" t="s">
        <v>776</v>
      </c>
      <c r="I545" s="175" t="s">
        <v>799</v>
      </c>
      <c r="J545" s="6">
        <f>IF(ISERROR(VLOOKUP(A545,'8080 Op to Hex'!$A:$A,1,0)),0,1)</f>
        <v>0</v>
      </c>
      <c r="K545" s="6" cm="1">
        <f t="array" ref="K545">HlpGetInstructionSize(A545,B545,C545)</f>
        <v>1</v>
      </c>
      <c r="L545" s="6">
        <f t="shared" si="8"/>
        <v>1</v>
      </c>
    </row>
    <row r="546" spans="1:12">
      <c r="A546" s="175" t="s">
        <v>1368</v>
      </c>
      <c r="B546" s="175" t="s">
        <v>234</v>
      </c>
      <c r="C546" s="175" t="s">
        <v>144</v>
      </c>
      <c r="D546" s="177" t="s">
        <v>2053</v>
      </c>
      <c r="E546" s="179">
        <v>2</v>
      </c>
      <c r="F546" s="175" t="s">
        <v>2054</v>
      </c>
      <c r="G546" s="175" t="s">
        <v>118</v>
      </c>
      <c r="H546" s="181" t="s">
        <v>776</v>
      </c>
      <c r="I546" s="175" t="s">
        <v>784</v>
      </c>
      <c r="J546" s="6">
        <f>IF(ISERROR(VLOOKUP(A546,'8080 Op to Hex'!$A:$A,1,0)),0,1)</f>
        <v>0</v>
      </c>
      <c r="K546" s="6" cm="1">
        <f t="array" ref="K546">HlpGetInstructionSize(A546,B546,C546)</f>
        <v>1</v>
      </c>
      <c r="L546" s="6">
        <f t="shared" si="8"/>
        <v>1</v>
      </c>
    </row>
    <row r="547" spans="1:12">
      <c r="A547" s="175" t="s">
        <v>1368</v>
      </c>
      <c r="B547" s="175" t="s">
        <v>234</v>
      </c>
      <c r="C547" s="175" t="s">
        <v>182</v>
      </c>
      <c r="D547" s="177" t="s">
        <v>2055</v>
      </c>
      <c r="E547" s="179">
        <v>2</v>
      </c>
      <c r="F547" s="175" t="s">
        <v>2056</v>
      </c>
      <c r="G547" s="175" t="s">
        <v>118</v>
      </c>
      <c r="H547" s="181" t="s">
        <v>776</v>
      </c>
      <c r="I547" s="175" t="s">
        <v>787</v>
      </c>
      <c r="J547" s="6">
        <f>IF(ISERROR(VLOOKUP(A547,'8080 Op to Hex'!$A:$A,1,0)),0,1)</f>
        <v>0</v>
      </c>
      <c r="K547" s="6" cm="1">
        <f t="array" ref="K547">HlpGetInstructionSize(A547,B547,C547)</f>
        <v>1</v>
      </c>
      <c r="L547" s="6">
        <f t="shared" si="8"/>
        <v>1</v>
      </c>
    </row>
    <row r="548" spans="1:12">
      <c r="A548" s="175" t="s">
        <v>1368</v>
      </c>
      <c r="B548" s="175" t="s">
        <v>234</v>
      </c>
      <c r="C548" s="175" t="s">
        <v>183</v>
      </c>
      <c r="D548" s="177" t="s">
        <v>2057</v>
      </c>
      <c r="E548" s="179">
        <v>2</v>
      </c>
      <c r="F548" s="175" t="s">
        <v>2058</v>
      </c>
      <c r="G548" s="175" t="s">
        <v>118</v>
      </c>
      <c r="H548" s="181" t="s">
        <v>776</v>
      </c>
      <c r="I548" s="175" t="s">
        <v>789</v>
      </c>
      <c r="J548" s="6">
        <f>IF(ISERROR(VLOOKUP(A548,'8080 Op to Hex'!$A:$A,1,0)),0,1)</f>
        <v>0</v>
      </c>
      <c r="K548" s="6" cm="1">
        <f t="array" ref="K548">HlpGetInstructionSize(A548,B548,C548)</f>
        <v>1</v>
      </c>
      <c r="L548" s="6">
        <f t="shared" si="8"/>
        <v>1</v>
      </c>
    </row>
    <row r="549" spans="1:12">
      <c r="A549" s="175" t="s">
        <v>1368</v>
      </c>
      <c r="B549" s="175" t="s">
        <v>234</v>
      </c>
      <c r="C549" s="175" t="s">
        <v>265</v>
      </c>
      <c r="D549" s="177" t="s">
        <v>2059</v>
      </c>
      <c r="E549" s="179">
        <v>2</v>
      </c>
      <c r="F549" s="175" t="s">
        <v>2060</v>
      </c>
      <c r="G549" s="175" t="s">
        <v>118</v>
      </c>
      <c r="H549" s="181" t="s">
        <v>776</v>
      </c>
      <c r="I549" s="175" t="s">
        <v>791</v>
      </c>
      <c r="J549" s="6">
        <f>IF(ISERROR(VLOOKUP(A549,'8080 Op to Hex'!$A:$A,1,0)),0,1)</f>
        <v>0</v>
      </c>
      <c r="K549" s="6" cm="1">
        <f t="array" ref="K549">HlpGetInstructionSize(A549,B549,C549)</f>
        <v>1</v>
      </c>
      <c r="L549" s="6">
        <f t="shared" si="8"/>
        <v>1</v>
      </c>
    </row>
    <row r="550" spans="1:12">
      <c r="A550" s="175" t="s">
        <v>1368</v>
      </c>
      <c r="B550" s="175" t="s">
        <v>234</v>
      </c>
      <c r="C550" s="175" t="s">
        <v>303</v>
      </c>
      <c r="D550" s="177" t="s">
        <v>2061</v>
      </c>
      <c r="E550" s="179">
        <v>2</v>
      </c>
      <c r="F550" s="175" t="s">
        <v>2062</v>
      </c>
      <c r="G550" s="175" t="s">
        <v>118</v>
      </c>
      <c r="H550" s="181" t="s">
        <v>776</v>
      </c>
      <c r="I550" s="175" t="s">
        <v>793</v>
      </c>
      <c r="J550" s="6">
        <f>IF(ISERROR(VLOOKUP(A550,'8080 Op to Hex'!$A:$A,1,0)),0,1)</f>
        <v>0</v>
      </c>
      <c r="K550" s="6" cm="1">
        <f t="array" ref="K550">HlpGetInstructionSize(A550,B550,C550)</f>
        <v>1</v>
      </c>
      <c r="L550" s="6">
        <f t="shared" si="8"/>
        <v>1</v>
      </c>
    </row>
    <row r="551" spans="1:12">
      <c r="A551" s="175" t="s">
        <v>1368</v>
      </c>
      <c r="B551" s="175" t="s">
        <v>234</v>
      </c>
      <c r="C551" s="175" t="s">
        <v>327</v>
      </c>
      <c r="D551" s="177" t="s">
        <v>2063</v>
      </c>
      <c r="E551" s="179">
        <v>2</v>
      </c>
      <c r="F551" s="175" t="s">
        <v>2064</v>
      </c>
      <c r="G551" s="175" t="s">
        <v>118</v>
      </c>
      <c r="H551" s="181" t="s">
        <v>776</v>
      </c>
      <c r="I551" s="175" t="s">
        <v>795</v>
      </c>
      <c r="J551" s="6">
        <f>IF(ISERROR(VLOOKUP(A551,'8080 Op to Hex'!$A:$A,1,0)),0,1)</f>
        <v>0</v>
      </c>
      <c r="K551" s="6" cm="1">
        <f t="array" ref="K551">HlpGetInstructionSize(A551,B551,C551)</f>
        <v>1</v>
      </c>
      <c r="L551" s="6">
        <f t="shared" si="8"/>
        <v>1</v>
      </c>
    </row>
    <row r="552" spans="1:12">
      <c r="A552" s="175" t="s">
        <v>1368</v>
      </c>
      <c r="B552" s="175" t="s">
        <v>233</v>
      </c>
      <c r="C552" s="175" t="s">
        <v>1238</v>
      </c>
      <c r="D552" s="177" t="s">
        <v>2065</v>
      </c>
      <c r="E552" s="179">
        <v>2</v>
      </c>
      <c r="F552" s="175" t="s">
        <v>2066</v>
      </c>
      <c r="G552" s="175" t="s">
        <v>118</v>
      </c>
      <c r="H552" s="181" t="s">
        <v>776</v>
      </c>
      <c r="I552" s="175" t="s">
        <v>811</v>
      </c>
      <c r="J552" s="6">
        <f>IF(ISERROR(VLOOKUP(A552,'8080 Op to Hex'!$A:$A,1,0)),0,1)</f>
        <v>0</v>
      </c>
      <c r="K552" s="6" cm="1">
        <f t="array" ref="K552">HlpGetInstructionSize(A552,B552,C552)</f>
        <v>1</v>
      </c>
      <c r="L552" s="6">
        <f t="shared" si="8"/>
        <v>1</v>
      </c>
    </row>
    <row r="553" spans="1:12">
      <c r="A553" s="175" t="s">
        <v>1368</v>
      </c>
      <c r="B553" s="175" t="s">
        <v>233</v>
      </c>
      <c r="C553" s="175" t="s">
        <v>146</v>
      </c>
      <c r="D553" s="177" t="s">
        <v>2067</v>
      </c>
      <c r="E553" s="179">
        <v>2</v>
      </c>
      <c r="F553" s="175" t="s">
        <v>1372</v>
      </c>
      <c r="G553" s="175" t="s">
        <v>118</v>
      </c>
      <c r="H553" s="181" t="s">
        <v>776</v>
      </c>
      <c r="I553" s="175" t="s">
        <v>813</v>
      </c>
      <c r="J553" s="6">
        <f>IF(ISERROR(VLOOKUP(A553,'8080 Op to Hex'!$A:$A,1,0)),0,1)</f>
        <v>0</v>
      </c>
      <c r="K553" s="6" cm="1">
        <f t="array" ref="K553">HlpGetInstructionSize(A553,B553,C553)</f>
        <v>1</v>
      </c>
      <c r="L553" s="6">
        <f t="shared" si="8"/>
        <v>1</v>
      </c>
    </row>
    <row r="554" spans="1:12">
      <c r="A554" s="175" t="s">
        <v>1368</v>
      </c>
      <c r="B554" s="175" t="s">
        <v>233</v>
      </c>
      <c r="C554" s="175" t="s">
        <v>144</v>
      </c>
      <c r="D554" s="177" t="s">
        <v>2068</v>
      </c>
      <c r="E554" s="179">
        <v>2</v>
      </c>
      <c r="F554" s="175" t="s">
        <v>2069</v>
      </c>
      <c r="G554" s="175" t="s">
        <v>118</v>
      </c>
      <c r="H554" s="181" t="s">
        <v>776</v>
      </c>
      <c r="I554" s="175" t="s">
        <v>801</v>
      </c>
      <c r="J554" s="6">
        <f>IF(ISERROR(VLOOKUP(A554,'8080 Op to Hex'!$A:$A,1,0)),0,1)</f>
        <v>0</v>
      </c>
      <c r="K554" s="6" cm="1">
        <f t="array" ref="K554">HlpGetInstructionSize(A554,B554,C554)</f>
        <v>1</v>
      </c>
      <c r="L554" s="6">
        <f t="shared" si="8"/>
        <v>1</v>
      </c>
    </row>
    <row r="555" spans="1:12">
      <c r="A555" s="175" t="s">
        <v>1368</v>
      </c>
      <c r="B555" s="175" t="s">
        <v>233</v>
      </c>
      <c r="C555" s="175" t="s">
        <v>182</v>
      </c>
      <c r="D555" s="177" t="s">
        <v>2070</v>
      </c>
      <c r="E555" s="179">
        <v>2</v>
      </c>
      <c r="F555" s="175" t="s">
        <v>2071</v>
      </c>
      <c r="G555" s="175" t="s">
        <v>118</v>
      </c>
      <c r="H555" s="181" t="s">
        <v>776</v>
      </c>
      <c r="I555" s="175" t="s">
        <v>804</v>
      </c>
      <c r="J555" s="6">
        <f>IF(ISERROR(VLOOKUP(A555,'8080 Op to Hex'!$A:$A,1,0)),0,1)</f>
        <v>0</v>
      </c>
      <c r="K555" s="6" cm="1">
        <f t="array" ref="K555">HlpGetInstructionSize(A555,B555,C555)</f>
        <v>1</v>
      </c>
      <c r="L555" s="6">
        <f t="shared" si="8"/>
        <v>1</v>
      </c>
    </row>
    <row r="556" spans="1:12">
      <c r="A556" s="175" t="s">
        <v>1368</v>
      </c>
      <c r="B556" s="175" t="s">
        <v>233</v>
      </c>
      <c r="C556" s="175" t="s">
        <v>183</v>
      </c>
      <c r="D556" s="177" t="s">
        <v>2072</v>
      </c>
      <c r="E556" s="179">
        <v>2</v>
      </c>
      <c r="F556" s="175" t="s">
        <v>2073</v>
      </c>
      <c r="G556" s="175" t="s">
        <v>118</v>
      </c>
      <c r="H556" s="181" t="s">
        <v>776</v>
      </c>
      <c r="I556" s="175" t="s">
        <v>805</v>
      </c>
      <c r="J556" s="6">
        <f>IF(ISERROR(VLOOKUP(A556,'8080 Op to Hex'!$A:$A,1,0)),0,1)</f>
        <v>0</v>
      </c>
      <c r="K556" s="6" cm="1">
        <f t="array" ref="K556">HlpGetInstructionSize(A556,B556,C556)</f>
        <v>1</v>
      </c>
      <c r="L556" s="6">
        <f t="shared" si="8"/>
        <v>1</v>
      </c>
    </row>
    <row r="557" spans="1:12">
      <c r="A557" s="175" t="s">
        <v>1368</v>
      </c>
      <c r="B557" s="175" t="s">
        <v>233</v>
      </c>
      <c r="C557" s="175" t="s">
        <v>265</v>
      </c>
      <c r="D557" s="177" t="s">
        <v>2074</v>
      </c>
      <c r="E557" s="179">
        <v>2</v>
      </c>
      <c r="F557" s="175" t="s">
        <v>2075</v>
      </c>
      <c r="G557" s="175" t="s">
        <v>118</v>
      </c>
      <c r="H557" s="181" t="s">
        <v>776</v>
      </c>
      <c r="I557" s="175" t="s">
        <v>292</v>
      </c>
      <c r="J557" s="6">
        <f>IF(ISERROR(VLOOKUP(A557,'8080 Op to Hex'!$A:$A,1,0)),0,1)</f>
        <v>0</v>
      </c>
      <c r="K557" s="6" cm="1">
        <f t="array" ref="K557">HlpGetInstructionSize(A557,B557,C557)</f>
        <v>1</v>
      </c>
      <c r="L557" s="6">
        <f t="shared" si="8"/>
        <v>1</v>
      </c>
    </row>
    <row r="558" spans="1:12">
      <c r="A558" s="175" t="s">
        <v>1368</v>
      </c>
      <c r="B558" s="175" t="s">
        <v>233</v>
      </c>
      <c r="C558" s="175" t="s">
        <v>303</v>
      </c>
      <c r="D558" s="177" t="s">
        <v>2076</v>
      </c>
      <c r="E558" s="179">
        <v>2</v>
      </c>
      <c r="F558" s="175" t="s">
        <v>2077</v>
      </c>
      <c r="G558" s="175" t="s">
        <v>118</v>
      </c>
      <c r="H558" s="181" t="s">
        <v>776</v>
      </c>
      <c r="I558" s="175" t="s">
        <v>808</v>
      </c>
      <c r="J558" s="6">
        <f>IF(ISERROR(VLOOKUP(A558,'8080 Op to Hex'!$A:$A,1,0)),0,1)</f>
        <v>0</v>
      </c>
      <c r="K558" s="6" cm="1">
        <f t="array" ref="K558">HlpGetInstructionSize(A558,B558,C558)</f>
        <v>1</v>
      </c>
      <c r="L558" s="6">
        <f t="shared" si="8"/>
        <v>1</v>
      </c>
    </row>
    <row r="559" spans="1:12">
      <c r="A559" s="175" t="s">
        <v>1368</v>
      </c>
      <c r="B559" s="175" t="s">
        <v>233</v>
      </c>
      <c r="C559" s="175" t="s">
        <v>327</v>
      </c>
      <c r="D559" s="177" t="s">
        <v>2078</v>
      </c>
      <c r="E559" s="179">
        <v>2</v>
      </c>
      <c r="F559" s="175" t="s">
        <v>2079</v>
      </c>
      <c r="G559" s="175" t="s">
        <v>118</v>
      </c>
      <c r="H559" s="181" t="s">
        <v>776</v>
      </c>
      <c r="I559" s="175" t="s">
        <v>810</v>
      </c>
      <c r="J559" s="6">
        <f>IF(ISERROR(VLOOKUP(A559,'8080 Op to Hex'!$A:$A,1,0)),0,1)</f>
        <v>0</v>
      </c>
      <c r="K559" s="6" cm="1">
        <f t="array" ref="K559">HlpGetInstructionSize(A559,B559,C559)</f>
        <v>1</v>
      </c>
      <c r="L559" s="6">
        <f t="shared" si="8"/>
        <v>1</v>
      </c>
    </row>
    <row r="560" spans="1:12">
      <c r="A560" s="175" t="s">
        <v>1368</v>
      </c>
      <c r="B560" s="175" t="s">
        <v>1246</v>
      </c>
      <c r="C560" s="175" t="s">
        <v>1238</v>
      </c>
      <c r="D560" s="177" t="s">
        <v>2080</v>
      </c>
      <c r="E560" s="179">
        <v>2</v>
      </c>
      <c r="F560" s="175" t="s">
        <v>2081</v>
      </c>
      <c r="G560" s="175" t="s">
        <v>118</v>
      </c>
      <c r="H560" s="181" t="s">
        <v>776</v>
      </c>
      <c r="I560" s="175" t="s">
        <v>827</v>
      </c>
      <c r="J560" s="6">
        <f>IF(ISERROR(VLOOKUP(A560,'8080 Op to Hex'!$A:$A,1,0)),0,1)</f>
        <v>0</v>
      </c>
      <c r="K560" s="6" cm="1">
        <f t="array" ref="K560">HlpGetInstructionSize(A560,B560,C560)</f>
        <v>1</v>
      </c>
      <c r="L560" s="6">
        <f t="shared" si="8"/>
        <v>1</v>
      </c>
    </row>
    <row r="561" spans="1:12">
      <c r="A561" s="175" t="s">
        <v>1368</v>
      </c>
      <c r="B561" s="175" t="s">
        <v>1246</v>
      </c>
      <c r="C561" s="175" t="s">
        <v>146</v>
      </c>
      <c r="D561" s="177" t="s">
        <v>2082</v>
      </c>
      <c r="E561" s="179">
        <v>2</v>
      </c>
      <c r="F561" s="175" t="s">
        <v>1373</v>
      </c>
      <c r="G561" s="175" t="s">
        <v>118</v>
      </c>
      <c r="H561" s="181" t="s">
        <v>776</v>
      </c>
      <c r="I561" s="175" t="s">
        <v>829</v>
      </c>
      <c r="J561" s="6">
        <f>IF(ISERROR(VLOOKUP(A561,'8080 Op to Hex'!$A:$A,1,0)),0,1)</f>
        <v>0</v>
      </c>
      <c r="K561" s="6" cm="1">
        <f t="array" ref="K561">HlpGetInstructionSize(A561,B561,C561)</f>
        <v>1</v>
      </c>
      <c r="L561" s="6">
        <f t="shared" si="8"/>
        <v>1</v>
      </c>
    </row>
    <row r="562" spans="1:12">
      <c r="A562" s="175" t="s">
        <v>1368</v>
      </c>
      <c r="B562" s="175" t="s">
        <v>1246</v>
      </c>
      <c r="C562" s="175" t="s">
        <v>144</v>
      </c>
      <c r="D562" s="177" t="s">
        <v>2083</v>
      </c>
      <c r="E562" s="179">
        <v>2</v>
      </c>
      <c r="F562" s="175" t="s">
        <v>2084</v>
      </c>
      <c r="G562" s="175" t="s">
        <v>118</v>
      </c>
      <c r="H562" s="181" t="s">
        <v>776</v>
      </c>
      <c r="I562" s="175" t="s">
        <v>815</v>
      </c>
      <c r="J562" s="6">
        <f>IF(ISERROR(VLOOKUP(A562,'8080 Op to Hex'!$A:$A,1,0)),0,1)</f>
        <v>0</v>
      </c>
      <c r="K562" s="6" cm="1">
        <f t="array" ref="K562">HlpGetInstructionSize(A562,B562,C562)</f>
        <v>1</v>
      </c>
      <c r="L562" s="6">
        <f t="shared" si="8"/>
        <v>1</v>
      </c>
    </row>
    <row r="563" spans="1:12">
      <c r="A563" s="175" t="s">
        <v>1368</v>
      </c>
      <c r="B563" s="175" t="s">
        <v>1246</v>
      </c>
      <c r="C563" s="175" t="s">
        <v>182</v>
      </c>
      <c r="D563" s="177" t="s">
        <v>2085</v>
      </c>
      <c r="E563" s="179">
        <v>2</v>
      </c>
      <c r="F563" s="175" t="s">
        <v>2086</v>
      </c>
      <c r="G563" s="175" t="s">
        <v>118</v>
      </c>
      <c r="H563" s="181" t="s">
        <v>776</v>
      </c>
      <c r="I563" s="175" t="s">
        <v>818</v>
      </c>
      <c r="J563" s="6">
        <f>IF(ISERROR(VLOOKUP(A563,'8080 Op to Hex'!$A:$A,1,0)),0,1)</f>
        <v>0</v>
      </c>
      <c r="K563" s="6" cm="1">
        <f t="array" ref="K563">HlpGetInstructionSize(A563,B563,C563)</f>
        <v>1</v>
      </c>
      <c r="L563" s="6">
        <f t="shared" si="8"/>
        <v>1</v>
      </c>
    </row>
    <row r="564" spans="1:12">
      <c r="A564" s="175" t="s">
        <v>1368</v>
      </c>
      <c r="B564" s="175" t="s">
        <v>1246</v>
      </c>
      <c r="C564" s="175" t="s">
        <v>183</v>
      </c>
      <c r="D564" s="177" t="s">
        <v>2087</v>
      </c>
      <c r="E564" s="179">
        <v>2</v>
      </c>
      <c r="F564" s="175" t="s">
        <v>2088</v>
      </c>
      <c r="G564" s="175" t="s">
        <v>118</v>
      </c>
      <c r="H564" s="181" t="s">
        <v>776</v>
      </c>
      <c r="I564" s="175" t="s">
        <v>820</v>
      </c>
      <c r="J564" s="6">
        <f>IF(ISERROR(VLOOKUP(A564,'8080 Op to Hex'!$A:$A,1,0)),0,1)</f>
        <v>0</v>
      </c>
      <c r="K564" s="6" cm="1">
        <f t="array" ref="K564">HlpGetInstructionSize(A564,B564,C564)</f>
        <v>1</v>
      </c>
      <c r="L564" s="6">
        <f t="shared" si="8"/>
        <v>1</v>
      </c>
    </row>
    <row r="565" spans="1:12">
      <c r="A565" s="175" t="s">
        <v>1368</v>
      </c>
      <c r="B565" s="175" t="s">
        <v>1246</v>
      </c>
      <c r="C565" s="175" t="s">
        <v>265</v>
      </c>
      <c r="D565" s="177" t="s">
        <v>2089</v>
      </c>
      <c r="E565" s="179">
        <v>2</v>
      </c>
      <c r="F565" s="175" t="s">
        <v>2090</v>
      </c>
      <c r="G565" s="175" t="s">
        <v>118</v>
      </c>
      <c r="H565" s="181" t="s">
        <v>776</v>
      </c>
      <c r="I565" s="175" t="s">
        <v>822</v>
      </c>
      <c r="J565" s="6">
        <f>IF(ISERROR(VLOOKUP(A565,'8080 Op to Hex'!$A:$A,1,0)),0,1)</f>
        <v>0</v>
      </c>
      <c r="K565" s="6" cm="1">
        <f t="array" ref="K565">HlpGetInstructionSize(A565,B565,C565)</f>
        <v>1</v>
      </c>
      <c r="L565" s="6">
        <f t="shared" si="8"/>
        <v>1</v>
      </c>
    </row>
    <row r="566" spans="1:12">
      <c r="A566" s="175" t="s">
        <v>1368</v>
      </c>
      <c r="B566" s="175" t="s">
        <v>1246</v>
      </c>
      <c r="C566" s="175" t="s">
        <v>303</v>
      </c>
      <c r="D566" s="177" t="s">
        <v>2091</v>
      </c>
      <c r="E566" s="179">
        <v>2</v>
      </c>
      <c r="F566" s="175" t="s">
        <v>2092</v>
      </c>
      <c r="G566" s="175" t="s">
        <v>118</v>
      </c>
      <c r="H566" s="181" t="s">
        <v>776</v>
      </c>
      <c r="I566" s="175" t="s">
        <v>823</v>
      </c>
      <c r="J566" s="6">
        <f>IF(ISERROR(VLOOKUP(A566,'8080 Op to Hex'!$A:$A,1,0)),0,1)</f>
        <v>0</v>
      </c>
      <c r="K566" s="6" cm="1">
        <f t="array" ref="K566">HlpGetInstructionSize(A566,B566,C566)</f>
        <v>1</v>
      </c>
      <c r="L566" s="6">
        <f t="shared" si="8"/>
        <v>1</v>
      </c>
    </row>
    <row r="567" spans="1:12">
      <c r="A567" s="175" t="s">
        <v>1368</v>
      </c>
      <c r="B567" s="175" t="s">
        <v>1246</v>
      </c>
      <c r="C567" s="175" t="s">
        <v>327</v>
      </c>
      <c r="D567" s="177" t="s">
        <v>2093</v>
      </c>
      <c r="E567" s="179">
        <v>2</v>
      </c>
      <c r="F567" s="175" t="s">
        <v>2094</v>
      </c>
      <c r="G567" s="175" t="s">
        <v>118</v>
      </c>
      <c r="H567" s="181" t="s">
        <v>776</v>
      </c>
      <c r="I567" s="175" t="s">
        <v>825</v>
      </c>
      <c r="J567" s="6">
        <f>IF(ISERROR(VLOOKUP(A567,'8080 Op to Hex'!$A:$A,1,0)),0,1)</f>
        <v>0</v>
      </c>
      <c r="K567" s="6" cm="1">
        <f t="array" ref="K567">HlpGetInstructionSize(A567,B567,C567)</f>
        <v>1</v>
      </c>
      <c r="L567" s="6">
        <f t="shared" si="8"/>
        <v>1</v>
      </c>
    </row>
    <row r="568" spans="1:12">
      <c r="A568" s="175" t="s">
        <v>1368</v>
      </c>
      <c r="B568" s="175" t="s">
        <v>253</v>
      </c>
      <c r="C568" s="175" t="s">
        <v>1238</v>
      </c>
      <c r="D568" s="177" t="s">
        <v>2095</v>
      </c>
      <c r="E568" s="179">
        <v>2</v>
      </c>
      <c r="F568" s="175" t="s">
        <v>2096</v>
      </c>
      <c r="G568" s="175" t="s">
        <v>118</v>
      </c>
      <c r="H568" s="181" t="s">
        <v>776</v>
      </c>
      <c r="I568" s="175" t="s">
        <v>200</v>
      </c>
      <c r="J568" s="6">
        <f>IF(ISERROR(VLOOKUP(A568,'8080 Op to Hex'!$A:$A,1,0)),0,1)</f>
        <v>0</v>
      </c>
      <c r="K568" s="6" cm="1">
        <f t="array" ref="K568">HlpGetInstructionSize(A568,B568,C568)</f>
        <v>1</v>
      </c>
      <c r="L568" s="6">
        <f t="shared" si="8"/>
        <v>1</v>
      </c>
    </row>
    <row r="569" spans="1:12">
      <c r="A569" s="175" t="s">
        <v>1368</v>
      </c>
      <c r="B569" s="175" t="s">
        <v>253</v>
      </c>
      <c r="C569" s="175" t="s">
        <v>146</v>
      </c>
      <c r="D569" s="177" t="s">
        <v>2097</v>
      </c>
      <c r="E569" s="179">
        <v>2</v>
      </c>
      <c r="F569" s="175" t="s">
        <v>1374</v>
      </c>
      <c r="G569" s="175" t="s">
        <v>118</v>
      </c>
      <c r="H569" s="181" t="s">
        <v>776</v>
      </c>
      <c r="I569" s="175" t="s">
        <v>844</v>
      </c>
      <c r="J569" s="6">
        <f>IF(ISERROR(VLOOKUP(A569,'8080 Op to Hex'!$A:$A,1,0)),0,1)</f>
        <v>0</v>
      </c>
      <c r="K569" s="6" cm="1">
        <f t="array" ref="K569">HlpGetInstructionSize(A569,B569,C569)</f>
        <v>1</v>
      </c>
      <c r="L569" s="6">
        <f t="shared" si="8"/>
        <v>1</v>
      </c>
    </row>
    <row r="570" spans="1:12">
      <c r="A570" s="175" t="s">
        <v>1368</v>
      </c>
      <c r="B570" s="175" t="s">
        <v>253</v>
      </c>
      <c r="C570" s="175" t="s">
        <v>144</v>
      </c>
      <c r="D570" s="177" t="s">
        <v>2098</v>
      </c>
      <c r="E570" s="179">
        <v>2</v>
      </c>
      <c r="F570" s="175" t="s">
        <v>2099</v>
      </c>
      <c r="G570" s="175" t="s">
        <v>118</v>
      </c>
      <c r="H570" s="181" t="s">
        <v>776</v>
      </c>
      <c r="I570" s="175" t="s">
        <v>831</v>
      </c>
      <c r="J570" s="6">
        <f>IF(ISERROR(VLOOKUP(A570,'8080 Op to Hex'!$A:$A,1,0)),0,1)</f>
        <v>0</v>
      </c>
      <c r="K570" s="6" cm="1">
        <f t="array" ref="K570">HlpGetInstructionSize(A570,B570,C570)</f>
        <v>1</v>
      </c>
      <c r="L570" s="6">
        <f t="shared" si="8"/>
        <v>1</v>
      </c>
    </row>
    <row r="571" spans="1:12">
      <c r="A571" s="175" t="s">
        <v>1368</v>
      </c>
      <c r="B571" s="175" t="s">
        <v>253</v>
      </c>
      <c r="C571" s="175" t="s">
        <v>182</v>
      </c>
      <c r="D571" s="177" t="s">
        <v>2100</v>
      </c>
      <c r="E571" s="179">
        <v>2</v>
      </c>
      <c r="F571" s="175" t="s">
        <v>2101</v>
      </c>
      <c r="G571" s="175" t="s">
        <v>118</v>
      </c>
      <c r="H571" s="181" t="s">
        <v>776</v>
      </c>
      <c r="I571" s="175" t="s">
        <v>834</v>
      </c>
      <c r="J571" s="6">
        <f>IF(ISERROR(VLOOKUP(A571,'8080 Op to Hex'!$A:$A,1,0)),0,1)</f>
        <v>0</v>
      </c>
      <c r="K571" s="6" cm="1">
        <f t="array" ref="K571">HlpGetInstructionSize(A571,B571,C571)</f>
        <v>1</v>
      </c>
      <c r="L571" s="6">
        <f t="shared" si="8"/>
        <v>1</v>
      </c>
    </row>
    <row r="572" spans="1:12">
      <c r="A572" s="175" t="s">
        <v>1368</v>
      </c>
      <c r="B572" s="175" t="s">
        <v>253</v>
      </c>
      <c r="C572" s="175" t="s">
        <v>183</v>
      </c>
      <c r="D572" s="177" t="s">
        <v>2102</v>
      </c>
      <c r="E572" s="179">
        <v>2</v>
      </c>
      <c r="F572" s="175" t="s">
        <v>2103</v>
      </c>
      <c r="G572" s="175" t="s">
        <v>118</v>
      </c>
      <c r="H572" s="181" t="s">
        <v>776</v>
      </c>
      <c r="I572" s="175" t="s">
        <v>836</v>
      </c>
      <c r="J572" s="6">
        <f>IF(ISERROR(VLOOKUP(A572,'8080 Op to Hex'!$A:$A,1,0)),0,1)</f>
        <v>0</v>
      </c>
      <c r="K572" s="6" cm="1">
        <f t="array" ref="K572">HlpGetInstructionSize(A572,B572,C572)</f>
        <v>1</v>
      </c>
      <c r="L572" s="6">
        <f t="shared" si="8"/>
        <v>1</v>
      </c>
    </row>
    <row r="573" spans="1:12">
      <c r="A573" s="175" t="s">
        <v>1368</v>
      </c>
      <c r="B573" s="175" t="s">
        <v>253</v>
      </c>
      <c r="C573" s="175" t="s">
        <v>265</v>
      </c>
      <c r="D573" s="177" t="s">
        <v>2104</v>
      </c>
      <c r="E573" s="179">
        <v>2</v>
      </c>
      <c r="F573" s="175" t="s">
        <v>2105</v>
      </c>
      <c r="G573" s="175" t="s">
        <v>118</v>
      </c>
      <c r="H573" s="181" t="s">
        <v>776</v>
      </c>
      <c r="I573" s="175" t="s">
        <v>838</v>
      </c>
      <c r="J573" s="6">
        <f>IF(ISERROR(VLOOKUP(A573,'8080 Op to Hex'!$A:$A,1,0)),0,1)</f>
        <v>0</v>
      </c>
      <c r="K573" s="6" cm="1">
        <f t="array" ref="K573">HlpGetInstructionSize(A573,B573,C573)</f>
        <v>1</v>
      </c>
      <c r="L573" s="6">
        <f t="shared" si="8"/>
        <v>1</v>
      </c>
    </row>
    <row r="574" spans="1:12">
      <c r="A574" s="175" t="s">
        <v>1368</v>
      </c>
      <c r="B574" s="175" t="s">
        <v>253</v>
      </c>
      <c r="C574" s="175" t="s">
        <v>303</v>
      </c>
      <c r="D574" s="177" t="s">
        <v>2106</v>
      </c>
      <c r="E574" s="179">
        <v>2</v>
      </c>
      <c r="F574" s="175" t="s">
        <v>2107</v>
      </c>
      <c r="G574" s="175" t="s">
        <v>118</v>
      </c>
      <c r="H574" s="181" t="s">
        <v>776</v>
      </c>
      <c r="I574" s="175" t="s">
        <v>840</v>
      </c>
      <c r="J574" s="6">
        <f>IF(ISERROR(VLOOKUP(A574,'8080 Op to Hex'!$A:$A,1,0)),0,1)</f>
        <v>0</v>
      </c>
      <c r="K574" s="6" cm="1">
        <f t="array" ref="K574">HlpGetInstructionSize(A574,B574,C574)</f>
        <v>1</v>
      </c>
      <c r="L574" s="6">
        <f t="shared" si="8"/>
        <v>1</v>
      </c>
    </row>
    <row r="575" spans="1:12">
      <c r="A575" s="175" t="s">
        <v>1368</v>
      </c>
      <c r="B575" s="175" t="s">
        <v>253</v>
      </c>
      <c r="C575" s="175" t="s">
        <v>327</v>
      </c>
      <c r="D575" s="177" t="s">
        <v>2108</v>
      </c>
      <c r="E575" s="179">
        <v>2</v>
      </c>
      <c r="F575" s="175" t="s">
        <v>2109</v>
      </c>
      <c r="G575" s="175" t="s">
        <v>118</v>
      </c>
      <c r="H575" s="181" t="s">
        <v>776</v>
      </c>
      <c r="I575" s="175" t="s">
        <v>842</v>
      </c>
      <c r="J575" s="6">
        <f>IF(ISERROR(VLOOKUP(A575,'8080 Op to Hex'!$A:$A,1,0)),0,1)</f>
        <v>0</v>
      </c>
      <c r="K575" s="6" cm="1">
        <f t="array" ref="K575">HlpGetInstructionSize(A575,B575,C575)</f>
        <v>1</v>
      </c>
      <c r="L575" s="6">
        <f t="shared" si="8"/>
        <v>1</v>
      </c>
    </row>
    <row r="576" spans="1:12">
      <c r="A576" s="175" t="s">
        <v>1368</v>
      </c>
      <c r="B576" s="175" t="s">
        <v>1335</v>
      </c>
      <c r="C576" s="175" t="s">
        <v>1238</v>
      </c>
      <c r="D576" s="177" t="s">
        <v>2110</v>
      </c>
      <c r="E576" s="179">
        <v>2</v>
      </c>
      <c r="F576" s="175" t="s">
        <v>2111</v>
      </c>
      <c r="G576" s="175" t="s">
        <v>118</v>
      </c>
      <c r="H576" s="181" t="s">
        <v>776</v>
      </c>
      <c r="I576" s="175" t="s">
        <v>976</v>
      </c>
      <c r="J576" s="6">
        <f>IF(ISERROR(VLOOKUP(A576,'8080 Op to Hex'!$A:$A,1,0)),0,1)</f>
        <v>0</v>
      </c>
      <c r="K576" s="6" cm="1">
        <f t="array" ref="K576">HlpGetInstructionSize(A576,B576,C576)</f>
        <v>1</v>
      </c>
      <c r="L576" s="6">
        <f t="shared" si="8"/>
        <v>1</v>
      </c>
    </row>
    <row r="577" spans="1:12">
      <c r="A577" s="175" t="s">
        <v>1368</v>
      </c>
      <c r="B577" s="175" t="s">
        <v>1335</v>
      </c>
      <c r="C577" s="175" t="s">
        <v>146</v>
      </c>
      <c r="D577" s="177" t="s">
        <v>2112</v>
      </c>
      <c r="E577" s="179">
        <v>2</v>
      </c>
      <c r="F577" s="175" t="s">
        <v>1375</v>
      </c>
      <c r="G577" s="175" t="s">
        <v>118</v>
      </c>
      <c r="H577" s="181" t="s">
        <v>776</v>
      </c>
      <c r="I577" s="175" t="s">
        <v>1336</v>
      </c>
      <c r="J577" s="6">
        <f>IF(ISERROR(VLOOKUP(A577,'8080 Op to Hex'!$A:$A,1,0)),0,1)</f>
        <v>0</v>
      </c>
      <c r="K577" s="6" cm="1">
        <f t="array" ref="K577">HlpGetInstructionSize(A577,B577,C577)</f>
        <v>1</v>
      </c>
      <c r="L577" s="6">
        <f t="shared" si="8"/>
        <v>1</v>
      </c>
    </row>
    <row r="578" spans="1:12">
      <c r="A578" s="175" t="s">
        <v>1368</v>
      </c>
      <c r="B578" s="175" t="s">
        <v>1335</v>
      </c>
      <c r="C578" s="175" t="s">
        <v>144</v>
      </c>
      <c r="D578" s="177" t="s">
        <v>2113</v>
      </c>
      <c r="E578" s="179">
        <v>2</v>
      </c>
      <c r="F578" s="175" t="s">
        <v>2114</v>
      </c>
      <c r="G578" s="175" t="s">
        <v>118</v>
      </c>
      <c r="H578" s="181" t="s">
        <v>776</v>
      </c>
      <c r="I578" s="175" t="s">
        <v>264</v>
      </c>
      <c r="J578" s="6">
        <f>IF(ISERROR(VLOOKUP(A578,'8080 Op to Hex'!$A:$A,1,0)),0,1)</f>
        <v>0</v>
      </c>
      <c r="K578" s="6" cm="1">
        <f t="array" ref="K578">HlpGetInstructionSize(A578,B578,C578)</f>
        <v>1</v>
      </c>
      <c r="L578" s="6">
        <f t="shared" ref="L578:L637" si="9">IF(E578&lt;&gt;K578,1,0)</f>
        <v>1</v>
      </c>
    </row>
    <row r="579" spans="1:12">
      <c r="A579" s="175" t="s">
        <v>1368</v>
      </c>
      <c r="B579" s="175" t="s">
        <v>1335</v>
      </c>
      <c r="C579" s="175" t="s">
        <v>182</v>
      </c>
      <c r="D579" s="177" t="s">
        <v>2115</v>
      </c>
      <c r="E579" s="179">
        <v>2</v>
      </c>
      <c r="F579" s="175" t="s">
        <v>2116</v>
      </c>
      <c r="G579" s="175" t="s">
        <v>118</v>
      </c>
      <c r="H579" s="181" t="s">
        <v>776</v>
      </c>
      <c r="I579" s="175" t="s">
        <v>848</v>
      </c>
      <c r="J579" s="6">
        <f>IF(ISERROR(VLOOKUP(A579,'8080 Op to Hex'!$A:$A,1,0)),0,1)</f>
        <v>0</v>
      </c>
      <c r="K579" s="6" cm="1">
        <f t="array" ref="K579">HlpGetInstructionSize(A579,B579,C579)</f>
        <v>1</v>
      </c>
      <c r="L579" s="6">
        <f t="shared" si="9"/>
        <v>1</v>
      </c>
    </row>
    <row r="580" spans="1:12">
      <c r="A580" s="175" t="s">
        <v>1368</v>
      </c>
      <c r="B580" s="175" t="s">
        <v>1335</v>
      </c>
      <c r="C580" s="175" t="s">
        <v>183</v>
      </c>
      <c r="D580" s="177" t="s">
        <v>2117</v>
      </c>
      <c r="E580" s="179">
        <v>2</v>
      </c>
      <c r="F580" s="175" t="s">
        <v>2118</v>
      </c>
      <c r="G580" s="175" t="s">
        <v>118</v>
      </c>
      <c r="H580" s="181" t="s">
        <v>776</v>
      </c>
      <c r="I580" s="175" t="s">
        <v>850</v>
      </c>
      <c r="J580" s="6">
        <f>IF(ISERROR(VLOOKUP(A580,'8080 Op to Hex'!$A:$A,1,0)),0,1)</f>
        <v>0</v>
      </c>
      <c r="K580" s="6" cm="1">
        <f t="array" ref="K580">HlpGetInstructionSize(A580,B580,C580)</f>
        <v>1</v>
      </c>
      <c r="L580" s="6">
        <f t="shared" si="9"/>
        <v>1</v>
      </c>
    </row>
    <row r="581" spans="1:12">
      <c r="A581" s="175" t="s">
        <v>1368</v>
      </c>
      <c r="B581" s="175" t="s">
        <v>1335</v>
      </c>
      <c r="C581" s="175" t="s">
        <v>265</v>
      </c>
      <c r="D581" s="177" t="s">
        <v>2119</v>
      </c>
      <c r="E581" s="179">
        <v>2</v>
      </c>
      <c r="F581" s="175" t="s">
        <v>2120</v>
      </c>
      <c r="G581" s="175" t="s">
        <v>118</v>
      </c>
      <c r="H581" s="181" t="s">
        <v>776</v>
      </c>
      <c r="I581" s="175" t="s">
        <v>852</v>
      </c>
      <c r="J581" s="6">
        <f>IF(ISERROR(VLOOKUP(A581,'8080 Op to Hex'!$A:$A,1,0)),0,1)</f>
        <v>0</v>
      </c>
      <c r="K581" s="6" cm="1">
        <f t="array" ref="K581">HlpGetInstructionSize(A581,B581,C581)</f>
        <v>1</v>
      </c>
      <c r="L581" s="6">
        <f t="shared" si="9"/>
        <v>1</v>
      </c>
    </row>
    <row r="582" spans="1:12">
      <c r="A582" s="175" t="s">
        <v>1368</v>
      </c>
      <c r="B582" s="175" t="s">
        <v>1335</v>
      </c>
      <c r="C582" s="175" t="s">
        <v>303</v>
      </c>
      <c r="D582" s="177" t="s">
        <v>2121</v>
      </c>
      <c r="E582" s="179">
        <v>2</v>
      </c>
      <c r="F582" s="175" t="s">
        <v>2122</v>
      </c>
      <c r="G582" s="175" t="s">
        <v>118</v>
      </c>
      <c r="H582" s="181" t="s">
        <v>776</v>
      </c>
      <c r="I582" s="175" t="s">
        <v>855</v>
      </c>
      <c r="J582" s="6">
        <f>IF(ISERROR(VLOOKUP(A582,'8080 Op to Hex'!$A:$A,1,0)),0,1)</f>
        <v>0</v>
      </c>
      <c r="K582" s="6" cm="1">
        <f t="array" ref="K582">HlpGetInstructionSize(A582,B582,C582)</f>
        <v>1</v>
      </c>
      <c r="L582" s="6">
        <f t="shared" si="9"/>
        <v>1</v>
      </c>
    </row>
    <row r="583" spans="1:12">
      <c r="A583" s="175" t="s">
        <v>1368</v>
      </c>
      <c r="B583" s="175" t="s">
        <v>1335</v>
      </c>
      <c r="C583" s="175" t="s">
        <v>327</v>
      </c>
      <c r="D583" s="177" t="s">
        <v>2123</v>
      </c>
      <c r="E583" s="179">
        <v>2</v>
      </c>
      <c r="F583" s="175" t="s">
        <v>2124</v>
      </c>
      <c r="G583" s="175" t="s">
        <v>118</v>
      </c>
      <c r="H583" s="181" t="s">
        <v>776</v>
      </c>
      <c r="I583" s="175" t="s">
        <v>857</v>
      </c>
      <c r="J583" s="6">
        <f>IF(ISERROR(VLOOKUP(A583,'8080 Op to Hex'!$A:$A,1,0)),0,1)</f>
        <v>0</v>
      </c>
      <c r="K583" s="6" cm="1">
        <f t="array" ref="K583">HlpGetInstructionSize(A583,B583,C583)</f>
        <v>1</v>
      </c>
      <c r="L583" s="6">
        <f t="shared" si="9"/>
        <v>1</v>
      </c>
    </row>
    <row r="584" spans="1:12">
      <c r="A584" s="175" t="s">
        <v>1368</v>
      </c>
      <c r="B584" s="175" t="s">
        <v>1342</v>
      </c>
      <c r="C584" s="175" t="s">
        <v>1238</v>
      </c>
      <c r="D584" s="177" t="s">
        <v>2125</v>
      </c>
      <c r="E584" s="179">
        <v>2</v>
      </c>
      <c r="F584" s="175" t="s">
        <v>2126</v>
      </c>
      <c r="G584" s="175" t="s">
        <v>118</v>
      </c>
      <c r="H584" s="181" t="s">
        <v>776</v>
      </c>
      <c r="I584" s="175" t="s">
        <v>425</v>
      </c>
      <c r="J584" s="6">
        <f>IF(ISERROR(VLOOKUP(A584,'8080 Op to Hex'!$A:$A,1,0)),0,1)</f>
        <v>0</v>
      </c>
      <c r="K584" s="6" cm="1">
        <f t="array" ref="K584">HlpGetInstructionSize(A584,B584,C584)</f>
        <v>1</v>
      </c>
      <c r="L584" s="6">
        <f t="shared" si="9"/>
        <v>1</v>
      </c>
    </row>
    <row r="585" spans="1:12">
      <c r="A585" s="175" t="s">
        <v>1368</v>
      </c>
      <c r="B585" s="175" t="s">
        <v>1342</v>
      </c>
      <c r="C585" s="175" t="s">
        <v>146</v>
      </c>
      <c r="D585" s="177" t="s">
        <v>2127</v>
      </c>
      <c r="E585" s="179">
        <v>2</v>
      </c>
      <c r="F585" s="175" t="s">
        <v>1376</v>
      </c>
      <c r="G585" s="175" t="s">
        <v>118</v>
      </c>
      <c r="H585" s="181" t="s">
        <v>776</v>
      </c>
      <c r="I585" s="175" t="s">
        <v>140</v>
      </c>
      <c r="J585" s="6">
        <f>IF(ISERROR(VLOOKUP(A585,'8080 Op to Hex'!$A:$A,1,0)),0,1)</f>
        <v>0</v>
      </c>
      <c r="K585" s="6" cm="1">
        <f t="array" ref="K585">HlpGetInstructionSize(A585,B585,C585)</f>
        <v>1</v>
      </c>
      <c r="L585" s="6">
        <f t="shared" si="9"/>
        <v>1</v>
      </c>
    </row>
    <row r="586" spans="1:12">
      <c r="A586" s="175" t="s">
        <v>1368</v>
      </c>
      <c r="B586" s="175" t="s">
        <v>1342</v>
      </c>
      <c r="C586" s="175" t="s">
        <v>144</v>
      </c>
      <c r="D586" s="177" t="s">
        <v>2128</v>
      </c>
      <c r="E586" s="179">
        <v>2</v>
      </c>
      <c r="F586" s="175" t="s">
        <v>2129</v>
      </c>
      <c r="G586" s="175" t="s">
        <v>118</v>
      </c>
      <c r="H586" s="181" t="s">
        <v>776</v>
      </c>
      <c r="I586" s="175" t="s">
        <v>1116</v>
      </c>
      <c r="J586" s="6">
        <f>IF(ISERROR(VLOOKUP(A586,'8080 Op to Hex'!$A:$A,1,0)),0,1)</f>
        <v>0</v>
      </c>
      <c r="K586" s="6" cm="1">
        <f t="array" ref="K586">HlpGetInstructionSize(A586,B586,C586)</f>
        <v>1</v>
      </c>
      <c r="L586" s="6">
        <f t="shared" si="9"/>
        <v>1</v>
      </c>
    </row>
    <row r="587" spans="1:12">
      <c r="A587" s="175" t="s">
        <v>1368</v>
      </c>
      <c r="B587" s="175" t="s">
        <v>1342</v>
      </c>
      <c r="C587" s="175" t="s">
        <v>182</v>
      </c>
      <c r="D587" s="177" t="s">
        <v>2130</v>
      </c>
      <c r="E587" s="179">
        <v>2</v>
      </c>
      <c r="F587" s="175" t="s">
        <v>2131</v>
      </c>
      <c r="G587" s="175" t="s">
        <v>118</v>
      </c>
      <c r="H587" s="181" t="s">
        <v>776</v>
      </c>
      <c r="I587" s="175" t="s">
        <v>978</v>
      </c>
      <c r="J587" s="6">
        <f>IF(ISERROR(VLOOKUP(A587,'8080 Op to Hex'!$A:$A,1,0)),0,1)</f>
        <v>0</v>
      </c>
      <c r="K587" s="6" cm="1">
        <f t="array" ref="K587">HlpGetInstructionSize(A587,B587,C587)</f>
        <v>1</v>
      </c>
      <c r="L587" s="6">
        <f t="shared" si="9"/>
        <v>1</v>
      </c>
    </row>
    <row r="588" spans="1:12">
      <c r="A588" s="175" t="s">
        <v>1368</v>
      </c>
      <c r="B588" s="175" t="s">
        <v>1342</v>
      </c>
      <c r="C588" s="175" t="s">
        <v>183</v>
      </c>
      <c r="D588" s="177" t="s">
        <v>2132</v>
      </c>
      <c r="E588" s="179">
        <v>2</v>
      </c>
      <c r="F588" s="175" t="s">
        <v>2133</v>
      </c>
      <c r="G588" s="175" t="s">
        <v>118</v>
      </c>
      <c r="H588" s="181" t="s">
        <v>776</v>
      </c>
      <c r="I588" s="175" t="s">
        <v>974</v>
      </c>
      <c r="J588" s="6">
        <f>IF(ISERROR(VLOOKUP(A588,'8080 Op to Hex'!$A:$A,1,0)),0,1)</f>
        <v>0</v>
      </c>
      <c r="K588" s="6" cm="1">
        <f t="array" ref="K588">HlpGetInstructionSize(A588,B588,C588)</f>
        <v>1</v>
      </c>
      <c r="L588" s="6">
        <f t="shared" si="9"/>
        <v>1</v>
      </c>
    </row>
    <row r="589" spans="1:12">
      <c r="A589" s="175" t="s">
        <v>1368</v>
      </c>
      <c r="B589" s="175" t="s">
        <v>1342</v>
      </c>
      <c r="C589" s="175" t="s">
        <v>265</v>
      </c>
      <c r="D589" s="177" t="s">
        <v>2134</v>
      </c>
      <c r="E589" s="179">
        <v>2</v>
      </c>
      <c r="F589" s="175" t="s">
        <v>2135</v>
      </c>
      <c r="G589" s="175" t="s">
        <v>118</v>
      </c>
      <c r="H589" s="181" t="s">
        <v>776</v>
      </c>
      <c r="I589" s="175" t="s">
        <v>1042</v>
      </c>
      <c r="J589" s="6">
        <f>IF(ISERROR(VLOOKUP(A589,'8080 Op to Hex'!$A:$A,1,0)),0,1)</f>
        <v>0</v>
      </c>
      <c r="K589" s="6" cm="1">
        <f t="array" ref="K589">HlpGetInstructionSize(A589,B589,C589)</f>
        <v>1</v>
      </c>
      <c r="L589" s="6">
        <f t="shared" si="9"/>
        <v>1</v>
      </c>
    </row>
    <row r="590" spans="1:12">
      <c r="A590" s="175" t="s">
        <v>1368</v>
      </c>
      <c r="B590" s="175" t="s">
        <v>1342</v>
      </c>
      <c r="C590" s="175" t="s">
        <v>303</v>
      </c>
      <c r="D590" s="177" t="s">
        <v>2136</v>
      </c>
      <c r="E590" s="179">
        <v>2</v>
      </c>
      <c r="F590" s="175" t="s">
        <v>2137</v>
      </c>
      <c r="G590" s="175" t="s">
        <v>118</v>
      </c>
      <c r="H590" s="181" t="s">
        <v>776</v>
      </c>
      <c r="I590" s="175" t="s">
        <v>1027</v>
      </c>
      <c r="J590" s="6">
        <f>IF(ISERROR(VLOOKUP(A590,'8080 Op to Hex'!$A:$A,1,0)),0,1)</f>
        <v>0</v>
      </c>
      <c r="K590" s="6" cm="1">
        <f t="array" ref="K590">HlpGetInstructionSize(A590,B590,C590)</f>
        <v>1</v>
      </c>
      <c r="L590" s="6">
        <f t="shared" si="9"/>
        <v>1</v>
      </c>
    </row>
    <row r="591" spans="1:12">
      <c r="A591" s="175" t="s">
        <v>1368</v>
      </c>
      <c r="B591" s="175" t="s">
        <v>1342</v>
      </c>
      <c r="C591" s="175" t="s">
        <v>327</v>
      </c>
      <c r="D591" s="177" t="s">
        <v>2138</v>
      </c>
      <c r="E591" s="179">
        <v>2</v>
      </c>
      <c r="F591" s="175" t="s">
        <v>2139</v>
      </c>
      <c r="G591" s="175" t="s">
        <v>118</v>
      </c>
      <c r="H591" s="181" t="s">
        <v>776</v>
      </c>
      <c r="I591" s="175" t="s">
        <v>1025</v>
      </c>
      <c r="J591" s="6">
        <f>IF(ISERROR(VLOOKUP(A591,'8080 Op to Hex'!$A:$A,1,0)),0,1)</f>
        <v>0</v>
      </c>
      <c r="K591" s="6" cm="1">
        <f t="array" ref="K591">HlpGetInstructionSize(A591,B591,C591)</f>
        <v>1</v>
      </c>
      <c r="L591" s="6">
        <f t="shared" si="9"/>
        <v>1</v>
      </c>
    </row>
    <row r="592" spans="1:12">
      <c r="A592" s="175" t="s">
        <v>2140</v>
      </c>
      <c r="B592" s="175" t="s">
        <v>1238</v>
      </c>
      <c r="C592" s="175"/>
      <c r="D592" s="177" t="s">
        <v>2141</v>
      </c>
      <c r="E592" s="179">
        <v>2</v>
      </c>
      <c r="F592" s="175" t="s">
        <v>2142</v>
      </c>
      <c r="G592" s="175" t="s">
        <v>2143</v>
      </c>
      <c r="H592" s="181" t="s">
        <v>776</v>
      </c>
      <c r="I592" s="175" t="s">
        <v>895</v>
      </c>
      <c r="J592" s="6">
        <f>IF(ISERROR(VLOOKUP(A592,'8080 Op to Hex'!$A:$A,1,0)),0,1)</f>
        <v>0</v>
      </c>
      <c r="K592" s="6" cm="1">
        <f t="array" ref="K592">HlpGetInstructionSize(A592,B592,C592)</f>
        <v>1</v>
      </c>
      <c r="L592" s="6">
        <f t="shared" si="9"/>
        <v>1</v>
      </c>
    </row>
    <row r="593" spans="1:12">
      <c r="A593" s="175" t="s">
        <v>2140</v>
      </c>
      <c r="B593" s="175" t="s">
        <v>146</v>
      </c>
      <c r="C593" s="175"/>
      <c r="D593" s="177" t="s">
        <v>2144</v>
      </c>
      <c r="E593" s="179">
        <v>2</v>
      </c>
      <c r="F593" s="175" t="s">
        <v>2145</v>
      </c>
      <c r="G593" s="175" t="s">
        <v>2143</v>
      </c>
      <c r="H593" s="181" t="s">
        <v>776</v>
      </c>
      <c r="I593" s="175" t="s">
        <v>896</v>
      </c>
      <c r="J593" s="6">
        <f>IF(ISERROR(VLOOKUP(A593,'8080 Op to Hex'!$A:$A,1,0)),0,1)</f>
        <v>0</v>
      </c>
      <c r="K593" s="6" cm="1">
        <f t="array" ref="K593">HlpGetInstructionSize(A593,B593,C593)</f>
        <v>1</v>
      </c>
      <c r="L593" s="6">
        <f t="shared" si="9"/>
        <v>1</v>
      </c>
    </row>
    <row r="594" spans="1:12">
      <c r="A594" s="175" t="s">
        <v>2140</v>
      </c>
      <c r="B594" s="175" t="s">
        <v>144</v>
      </c>
      <c r="C594" s="175"/>
      <c r="D594" s="177" t="s">
        <v>2146</v>
      </c>
      <c r="E594" s="179">
        <v>2</v>
      </c>
      <c r="F594" s="175" t="s">
        <v>2147</v>
      </c>
      <c r="G594" s="175" t="s">
        <v>2143</v>
      </c>
      <c r="H594" s="181" t="s">
        <v>776</v>
      </c>
      <c r="I594" s="175" t="s">
        <v>890</v>
      </c>
      <c r="J594" s="6">
        <f>IF(ISERROR(VLOOKUP(A594,'8080 Op to Hex'!$A:$A,1,0)),0,1)</f>
        <v>0</v>
      </c>
      <c r="K594" s="6" cm="1">
        <f t="array" ref="K594">HlpGetInstructionSize(A594,B594,C594)</f>
        <v>1</v>
      </c>
      <c r="L594" s="6">
        <f t="shared" si="9"/>
        <v>1</v>
      </c>
    </row>
    <row r="595" spans="1:12">
      <c r="A595" s="175" t="s">
        <v>2140</v>
      </c>
      <c r="B595" s="175" t="s">
        <v>182</v>
      </c>
      <c r="C595" s="175"/>
      <c r="D595" s="177" t="s">
        <v>2148</v>
      </c>
      <c r="E595" s="179">
        <v>2</v>
      </c>
      <c r="F595" s="175" t="s">
        <v>2149</v>
      </c>
      <c r="G595" s="175" t="s">
        <v>2143</v>
      </c>
      <c r="H595" s="181" t="s">
        <v>776</v>
      </c>
      <c r="I595" s="175" t="s">
        <v>891</v>
      </c>
      <c r="J595" s="6">
        <f>IF(ISERROR(VLOOKUP(A595,'8080 Op to Hex'!$A:$A,1,0)),0,1)</f>
        <v>0</v>
      </c>
      <c r="K595" s="6" cm="1">
        <f t="array" ref="K595">HlpGetInstructionSize(A595,B595,C595)</f>
        <v>1</v>
      </c>
      <c r="L595" s="6">
        <f t="shared" si="9"/>
        <v>1</v>
      </c>
    </row>
    <row r="596" spans="1:12">
      <c r="A596" s="175" t="s">
        <v>2140</v>
      </c>
      <c r="B596" s="175" t="s">
        <v>183</v>
      </c>
      <c r="C596" s="175"/>
      <c r="D596" s="177" t="s">
        <v>2150</v>
      </c>
      <c r="E596" s="179">
        <v>2</v>
      </c>
      <c r="F596" s="175" t="s">
        <v>2151</v>
      </c>
      <c r="G596" s="175" t="s">
        <v>2143</v>
      </c>
      <c r="H596" s="181" t="s">
        <v>776</v>
      </c>
      <c r="I596" s="175" t="s">
        <v>202</v>
      </c>
      <c r="J596" s="6">
        <f>IF(ISERROR(VLOOKUP(A596,'8080 Op to Hex'!$A:$A,1,0)),0,1)</f>
        <v>0</v>
      </c>
      <c r="K596" s="6" cm="1">
        <f t="array" ref="K596">HlpGetInstructionSize(A596,B596,C596)</f>
        <v>1</v>
      </c>
      <c r="L596" s="6">
        <f t="shared" si="9"/>
        <v>1</v>
      </c>
    </row>
    <row r="597" spans="1:12">
      <c r="A597" s="175" t="s">
        <v>2140</v>
      </c>
      <c r="B597" s="175" t="s">
        <v>265</v>
      </c>
      <c r="C597" s="175"/>
      <c r="D597" s="177" t="s">
        <v>2152</v>
      </c>
      <c r="E597" s="179">
        <v>2</v>
      </c>
      <c r="F597" s="175" t="s">
        <v>2153</v>
      </c>
      <c r="G597" s="175" t="s">
        <v>2143</v>
      </c>
      <c r="H597" s="181" t="s">
        <v>776</v>
      </c>
      <c r="I597" s="175" t="s">
        <v>892</v>
      </c>
      <c r="J597" s="6">
        <f>IF(ISERROR(VLOOKUP(A597,'8080 Op to Hex'!$A:$A,1,0)),0,1)</f>
        <v>0</v>
      </c>
      <c r="K597" s="6" cm="1">
        <f t="array" ref="K597">HlpGetInstructionSize(A597,B597,C597)</f>
        <v>1</v>
      </c>
      <c r="L597" s="6">
        <f t="shared" si="9"/>
        <v>1</v>
      </c>
    </row>
    <row r="598" spans="1:12">
      <c r="A598" s="175" t="s">
        <v>2140</v>
      </c>
      <c r="B598" s="175" t="s">
        <v>303</v>
      </c>
      <c r="C598" s="175"/>
      <c r="D598" s="177" t="s">
        <v>2154</v>
      </c>
      <c r="E598" s="179">
        <v>2</v>
      </c>
      <c r="F598" s="175" t="s">
        <v>2155</v>
      </c>
      <c r="G598" s="175" t="s">
        <v>2143</v>
      </c>
      <c r="H598" s="181" t="s">
        <v>776</v>
      </c>
      <c r="I598" s="175" t="s">
        <v>893</v>
      </c>
      <c r="J598" s="6">
        <f>IF(ISERROR(VLOOKUP(A598,'8080 Op to Hex'!$A:$A,1,0)),0,1)</f>
        <v>0</v>
      </c>
      <c r="K598" s="6" cm="1">
        <f t="array" ref="K598">HlpGetInstructionSize(A598,B598,C598)</f>
        <v>1</v>
      </c>
      <c r="L598" s="6">
        <f t="shared" si="9"/>
        <v>1</v>
      </c>
    </row>
    <row r="599" spans="1:12">
      <c r="A599" s="175" t="s">
        <v>2140</v>
      </c>
      <c r="B599" s="175" t="s">
        <v>327</v>
      </c>
      <c r="C599" s="175"/>
      <c r="D599" s="177" t="s">
        <v>2156</v>
      </c>
      <c r="E599" s="179">
        <v>2</v>
      </c>
      <c r="F599" s="175" t="s">
        <v>2157</v>
      </c>
      <c r="G599" s="175" t="s">
        <v>2143</v>
      </c>
      <c r="H599" s="181" t="s">
        <v>776</v>
      </c>
      <c r="I599" s="175" t="s">
        <v>894</v>
      </c>
      <c r="J599" s="6">
        <f>IF(ISERROR(VLOOKUP(A599,'8080 Op to Hex'!$A:$A,1,0)),0,1)</f>
        <v>0</v>
      </c>
      <c r="K599" s="6" cm="1">
        <f t="array" ref="K599">HlpGetInstructionSize(A599,B599,C599)</f>
        <v>1</v>
      </c>
      <c r="L599" s="6">
        <f t="shared" si="9"/>
        <v>1</v>
      </c>
    </row>
    <row r="600" spans="1:12">
      <c r="A600" s="175" t="s">
        <v>2158</v>
      </c>
      <c r="B600" s="175" t="s">
        <v>1238</v>
      </c>
      <c r="C600" s="175"/>
      <c r="D600" s="177" t="s">
        <v>2159</v>
      </c>
      <c r="E600" s="179">
        <v>2</v>
      </c>
      <c r="F600" s="175" t="s">
        <v>2160</v>
      </c>
      <c r="G600" s="175" t="s">
        <v>2143</v>
      </c>
      <c r="H600" s="181" t="s">
        <v>776</v>
      </c>
      <c r="I600" s="175" t="s">
        <v>550</v>
      </c>
      <c r="J600" s="6">
        <f>IF(ISERROR(VLOOKUP(A600,'8080 Op to Hex'!$A:$A,1,0)),0,1)</f>
        <v>0</v>
      </c>
      <c r="K600" s="6" cm="1">
        <f t="array" ref="K600">HlpGetInstructionSize(A600,B600,C600)</f>
        <v>1</v>
      </c>
      <c r="L600" s="6">
        <f t="shared" si="9"/>
        <v>1</v>
      </c>
    </row>
    <row r="601" spans="1:12">
      <c r="A601" s="175" t="s">
        <v>2158</v>
      </c>
      <c r="B601" s="175" t="s">
        <v>146</v>
      </c>
      <c r="C601" s="175"/>
      <c r="D601" s="177" t="s">
        <v>2161</v>
      </c>
      <c r="E601" s="179">
        <v>2</v>
      </c>
      <c r="F601" s="175" t="s">
        <v>2162</v>
      </c>
      <c r="G601" s="175" t="s">
        <v>2143</v>
      </c>
      <c r="H601" s="181" t="s">
        <v>776</v>
      </c>
      <c r="I601" s="175" t="s">
        <v>552</v>
      </c>
      <c r="J601" s="6">
        <f>IF(ISERROR(VLOOKUP(A601,'8080 Op to Hex'!$A:$A,1,0)),0,1)</f>
        <v>0</v>
      </c>
      <c r="K601" s="6" cm="1">
        <f t="array" ref="K601">HlpGetInstructionSize(A601,B601,C601)</f>
        <v>1</v>
      </c>
      <c r="L601" s="6">
        <f t="shared" si="9"/>
        <v>1</v>
      </c>
    </row>
    <row r="602" spans="1:12">
      <c r="A602" s="175" t="s">
        <v>2158</v>
      </c>
      <c r="B602" s="175" t="s">
        <v>144</v>
      </c>
      <c r="C602" s="175"/>
      <c r="D602" s="177" t="s">
        <v>2163</v>
      </c>
      <c r="E602" s="179">
        <v>2</v>
      </c>
      <c r="F602" s="175" t="s">
        <v>2164</v>
      </c>
      <c r="G602" s="175" t="s">
        <v>2143</v>
      </c>
      <c r="H602" s="181" t="s">
        <v>776</v>
      </c>
      <c r="I602" s="175" t="s">
        <v>897</v>
      </c>
      <c r="J602" s="6">
        <f>IF(ISERROR(VLOOKUP(A602,'8080 Op to Hex'!$A:$A,1,0)),0,1)</f>
        <v>0</v>
      </c>
      <c r="K602" s="6" cm="1">
        <f t="array" ref="K602">HlpGetInstructionSize(A602,B602,C602)</f>
        <v>1</v>
      </c>
      <c r="L602" s="6">
        <f>IF(E602&lt;&gt;K602,1,0)</f>
        <v>1</v>
      </c>
    </row>
    <row r="603" spans="1:12">
      <c r="A603" s="175" t="s">
        <v>2158</v>
      </c>
      <c r="B603" s="175" t="s">
        <v>182</v>
      </c>
      <c r="C603" s="175"/>
      <c r="D603" s="177" t="s">
        <v>2165</v>
      </c>
      <c r="E603" s="179">
        <v>2</v>
      </c>
      <c r="F603" s="175" t="s">
        <v>2166</v>
      </c>
      <c r="G603" s="175" t="s">
        <v>2143</v>
      </c>
      <c r="H603" s="181" t="s">
        <v>776</v>
      </c>
      <c r="I603" s="175" t="s">
        <v>898</v>
      </c>
      <c r="J603" s="6">
        <f>IF(ISERROR(VLOOKUP(A603,'8080 Op to Hex'!$A:$A,1,0)),0,1)</f>
        <v>0</v>
      </c>
      <c r="K603" s="6" cm="1">
        <f t="array" ref="K603">HlpGetInstructionSize(A603,B603,C603)</f>
        <v>1</v>
      </c>
      <c r="L603" s="6">
        <f t="shared" si="9"/>
        <v>1</v>
      </c>
    </row>
    <row r="604" spans="1:12">
      <c r="A604" s="175" t="s">
        <v>2158</v>
      </c>
      <c r="B604" s="175" t="s">
        <v>183</v>
      </c>
      <c r="C604" s="175"/>
      <c r="D604" s="177" t="s">
        <v>2167</v>
      </c>
      <c r="E604" s="179">
        <v>2</v>
      </c>
      <c r="F604" s="175" t="s">
        <v>2168</v>
      </c>
      <c r="G604" s="175" t="s">
        <v>2143</v>
      </c>
      <c r="H604" s="181" t="s">
        <v>776</v>
      </c>
      <c r="I604" s="175" t="s">
        <v>372</v>
      </c>
      <c r="J604" s="6">
        <f>IF(ISERROR(VLOOKUP(A604,'8080 Op to Hex'!$A:$A,1,0)),0,1)</f>
        <v>0</v>
      </c>
      <c r="K604" s="6" cm="1">
        <f t="array" ref="K604">HlpGetInstructionSize(A604,B604,C604)</f>
        <v>1</v>
      </c>
      <c r="L604" s="6">
        <f t="shared" si="9"/>
        <v>1</v>
      </c>
    </row>
    <row r="605" spans="1:12">
      <c r="A605" s="175" t="s">
        <v>2158</v>
      </c>
      <c r="B605" s="175" t="s">
        <v>265</v>
      </c>
      <c r="C605" s="175"/>
      <c r="D605" s="177" t="s">
        <v>2169</v>
      </c>
      <c r="E605" s="179">
        <v>2</v>
      </c>
      <c r="F605" s="175" t="s">
        <v>2170</v>
      </c>
      <c r="G605" s="175" t="s">
        <v>2143</v>
      </c>
      <c r="H605" s="181" t="s">
        <v>776</v>
      </c>
      <c r="I605" s="175" t="s">
        <v>544</v>
      </c>
      <c r="J605" s="6">
        <f>IF(ISERROR(VLOOKUP(A605,'8080 Op to Hex'!$A:$A,1,0)),0,1)</f>
        <v>0</v>
      </c>
      <c r="K605" s="6" cm="1">
        <f t="array" ref="K605">HlpGetInstructionSize(A605,B605,C605)</f>
        <v>1</v>
      </c>
      <c r="L605" s="6">
        <f t="shared" si="9"/>
        <v>1</v>
      </c>
    </row>
    <row r="606" spans="1:12">
      <c r="A606" s="175" t="s">
        <v>2158</v>
      </c>
      <c r="B606" s="175" t="s">
        <v>303</v>
      </c>
      <c r="C606" s="175"/>
      <c r="D606" s="177" t="s">
        <v>2171</v>
      </c>
      <c r="E606" s="179">
        <v>2</v>
      </c>
      <c r="F606" s="175" t="s">
        <v>2172</v>
      </c>
      <c r="G606" s="175" t="s">
        <v>2143</v>
      </c>
      <c r="H606" s="181" t="s">
        <v>776</v>
      </c>
      <c r="I606" s="175" t="s">
        <v>546</v>
      </c>
      <c r="J606" s="6">
        <f>IF(ISERROR(VLOOKUP(A606,'8080 Op to Hex'!$A:$A,1,0)),0,1)</f>
        <v>0</v>
      </c>
      <c r="K606" s="6" cm="1">
        <f t="array" ref="K606">HlpGetInstructionSize(A606,B606,C606)</f>
        <v>1</v>
      </c>
      <c r="L606" s="6">
        <f t="shared" si="9"/>
        <v>1</v>
      </c>
    </row>
    <row r="607" spans="1:12">
      <c r="A607" s="175" t="s">
        <v>2158</v>
      </c>
      <c r="B607" s="175" t="s">
        <v>327</v>
      </c>
      <c r="C607" s="175"/>
      <c r="D607" s="177" t="s">
        <v>2173</v>
      </c>
      <c r="E607" s="179">
        <v>2</v>
      </c>
      <c r="F607" s="175" t="s">
        <v>2174</v>
      </c>
      <c r="G607" s="175" t="s">
        <v>2143</v>
      </c>
      <c r="H607" s="181" t="s">
        <v>776</v>
      </c>
      <c r="I607" s="175" t="s">
        <v>548</v>
      </c>
      <c r="J607" s="6">
        <f>IF(ISERROR(VLOOKUP(A607,'8080 Op to Hex'!$A:$A,1,0)),0,1)</f>
        <v>0</v>
      </c>
      <c r="K607" s="6" cm="1">
        <f t="array" ref="K607">HlpGetInstructionSize(A607,B607,C607)</f>
        <v>1</v>
      </c>
      <c r="L607" s="6">
        <f t="shared" si="9"/>
        <v>1</v>
      </c>
    </row>
    <row r="608" spans="1:12">
      <c r="A608" s="175" t="s">
        <v>1144</v>
      </c>
      <c r="B608" s="175" t="s">
        <v>1238</v>
      </c>
      <c r="C608" s="175"/>
      <c r="D608" s="177" t="s">
        <v>2175</v>
      </c>
      <c r="E608" s="179">
        <v>2</v>
      </c>
      <c r="F608" s="175" t="s">
        <v>2176</v>
      </c>
      <c r="G608" s="175" t="s">
        <v>2143</v>
      </c>
      <c r="H608" s="181" t="s">
        <v>776</v>
      </c>
      <c r="I608" s="175" t="s">
        <v>568</v>
      </c>
      <c r="J608" s="6">
        <f>IF(ISERROR(VLOOKUP(A608,'8080 Op to Hex'!$A:$A,1,0)),0,1)</f>
        <v>0</v>
      </c>
      <c r="K608" s="6" cm="1">
        <f t="array" ref="K608">HlpGetInstructionSize(A608,B608,C608)</f>
        <v>1</v>
      </c>
      <c r="L608" s="6">
        <f t="shared" si="9"/>
        <v>1</v>
      </c>
    </row>
    <row r="609" spans="1:12">
      <c r="A609" s="175" t="s">
        <v>1144</v>
      </c>
      <c r="B609" s="175" t="s">
        <v>146</v>
      </c>
      <c r="C609" s="175"/>
      <c r="D609" s="177" t="s">
        <v>2177</v>
      </c>
      <c r="E609" s="179">
        <v>2</v>
      </c>
      <c r="F609" s="175" t="s">
        <v>2178</v>
      </c>
      <c r="G609" s="175" t="s">
        <v>2143</v>
      </c>
      <c r="H609" s="181" t="s">
        <v>776</v>
      </c>
      <c r="I609" s="175" t="s">
        <v>397</v>
      </c>
      <c r="J609" s="6">
        <f>IF(ISERROR(VLOOKUP(A609,'8080 Op to Hex'!$A:$A,1,0)),0,1)</f>
        <v>0</v>
      </c>
      <c r="K609" s="6" cm="1">
        <f t="array" ref="K609">HlpGetInstructionSize(A609,B609,C609)</f>
        <v>1</v>
      </c>
      <c r="L609" s="6">
        <f t="shared" si="9"/>
        <v>1</v>
      </c>
    </row>
    <row r="610" spans="1:12">
      <c r="A610" s="175" t="s">
        <v>1144</v>
      </c>
      <c r="B610" s="175" t="s">
        <v>144</v>
      </c>
      <c r="C610" s="175"/>
      <c r="D610" s="177" t="s">
        <v>2179</v>
      </c>
      <c r="E610" s="179">
        <v>2</v>
      </c>
      <c r="F610" s="175" t="s">
        <v>2180</v>
      </c>
      <c r="G610" s="175" t="s">
        <v>2143</v>
      </c>
      <c r="H610" s="181" t="s">
        <v>776</v>
      </c>
      <c r="I610" s="175" t="s">
        <v>905</v>
      </c>
      <c r="J610" s="6">
        <f>IF(ISERROR(VLOOKUP(A610,'8080 Op to Hex'!$A:$A,1,0)),0,1)</f>
        <v>0</v>
      </c>
      <c r="K610" s="6" cm="1">
        <f t="array" ref="K610">HlpGetInstructionSize(A610,B610,C610)</f>
        <v>1</v>
      </c>
      <c r="L610" s="6">
        <f t="shared" si="9"/>
        <v>1</v>
      </c>
    </row>
    <row r="611" spans="1:12">
      <c r="A611" s="175" t="s">
        <v>1144</v>
      </c>
      <c r="B611" s="175" t="s">
        <v>182</v>
      </c>
      <c r="C611" s="175"/>
      <c r="D611" s="177" t="s">
        <v>2181</v>
      </c>
      <c r="E611" s="179">
        <v>2</v>
      </c>
      <c r="F611" s="175" t="s">
        <v>2182</v>
      </c>
      <c r="G611" s="175" t="s">
        <v>2143</v>
      </c>
      <c r="H611" s="181" t="s">
        <v>776</v>
      </c>
      <c r="I611" s="175" t="s">
        <v>906</v>
      </c>
      <c r="J611" s="6">
        <f>IF(ISERROR(VLOOKUP(A611,'8080 Op to Hex'!$A:$A,1,0)),0,1)</f>
        <v>0</v>
      </c>
      <c r="K611" s="6" cm="1">
        <f t="array" ref="K611">HlpGetInstructionSize(A611,B611,C611)</f>
        <v>1</v>
      </c>
      <c r="L611" s="6">
        <f t="shared" si="9"/>
        <v>1</v>
      </c>
    </row>
    <row r="612" spans="1:12">
      <c r="A612" s="175" t="s">
        <v>1144</v>
      </c>
      <c r="B612" s="175" t="s">
        <v>183</v>
      </c>
      <c r="C612" s="175"/>
      <c r="D612" s="177" t="s">
        <v>2183</v>
      </c>
      <c r="E612" s="179">
        <v>2</v>
      </c>
      <c r="F612" s="175" t="s">
        <v>2184</v>
      </c>
      <c r="G612" s="175" t="s">
        <v>2143</v>
      </c>
      <c r="H612" s="181" t="s">
        <v>776</v>
      </c>
      <c r="I612" s="175" t="s">
        <v>373</v>
      </c>
      <c r="J612" s="6">
        <f>IF(ISERROR(VLOOKUP(A612,'8080 Op to Hex'!$A:$A,1,0)),0,1)</f>
        <v>0</v>
      </c>
      <c r="K612" s="6" cm="1">
        <f t="array" ref="K612">HlpGetInstructionSize(A612,B612,C612)</f>
        <v>1</v>
      </c>
      <c r="L612" s="6">
        <f t="shared" si="9"/>
        <v>1</v>
      </c>
    </row>
    <row r="613" spans="1:12">
      <c r="A613" s="175" t="s">
        <v>1144</v>
      </c>
      <c r="B613" s="175" t="s">
        <v>265</v>
      </c>
      <c r="C613" s="175"/>
      <c r="D613" s="177" t="s">
        <v>2185</v>
      </c>
      <c r="E613" s="179">
        <v>2</v>
      </c>
      <c r="F613" s="175" t="s">
        <v>2186</v>
      </c>
      <c r="G613" s="175" t="s">
        <v>2143</v>
      </c>
      <c r="H613" s="181" t="s">
        <v>776</v>
      </c>
      <c r="I613" s="175" t="s">
        <v>563</v>
      </c>
      <c r="J613" s="6">
        <f>IF(ISERROR(VLOOKUP(A613,'8080 Op to Hex'!$A:$A,1,0)),0,1)</f>
        <v>0</v>
      </c>
      <c r="K613" s="6" cm="1">
        <f t="array" ref="K613">HlpGetInstructionSize(A613,B613,C613)</f>
        <v>1</v>
      </c>
      <c r="L613" s="6">
        <f t="shared" si="9"/>
        <v>1</v>
      </c>
    </row>
    <row r="614" spans="1:12">
      <c r="A614" s="175" t="s">
        <v>1144</v>
      </c>
      <c r="B614" s="175" t="s">
        <v>303</v>
      </c>
      <c r="C614" s="175"/>
      <c r="D614" s="177" t="s">
        <v>2187</v>
      </c>
      <c r="E614" s="179">
        <v>2</v>
      </c>
      <c r="F614" s="175" t="s">
        <v>2188</v>
      </c>
      <c r="G614" s="175" t="s">
        <v>2143</v>
      </c>
      <c r="H614" s="181" t="s">
        <v>776</v>
      </c>
      <c r="I614" s="175" t="s">
        <v>325</v>
      </c>
      <c r="J614" s="6">
        <f>IF(ISERROR(VLOOKUP(A614,'8080 Op to Hex'!$A:$A,1,0)),0,1)</f>
        <v>0</v>
      </c>
      <c r="K614" s="6" cm="1">
        <f t="array" ref="K614">HlpGetInstructionSize(A614,B614,C614)</f>
        <v>1</v>
      </c>
      <c r="L614" s="6">
        <f t="shared" si="9"/>
        <v>1</v>
      </c>
    </row>
    <row r="615" spans="1:12">
      <c r="A615" s="175" t="s">
        <v>1144</v>
      </c>
      <c r="B615" s="175" t="s">
        <v>327</v>
      </c>
      <c r="C615" s="175"/>
      <c r="D615" s="177" t="s">
        <v>2189</v>
      </c>
      <c r="E615" s="179">
        <v>2</v>
      </c>
      <c r="F615" s="175" t="s">
        <v>2190</v>
      </c>
      <c r="G615" s="175" t="s">
        <v>2143</v>
      </c>
      <c r="H615" s="181" t="s">
        <v>776</v>
      </c>
      <c r="I615" s="175" t="s">
        <v>566</v>
      </c>
      <c r="J615" s="6">
        <f>IF(ISERROR(VLOOKUP(A615,'8080 Op to Hex'!$A:$A,1,0)),0,1)</f>
        <v>0</v>
      </c>
      <c r="K615" s="6" cm="1">
        <f t="array" ref="K615">HlpGetInstructionSize(A615,B615,C615)</f>
        <v>1</v>
      </c>
      <c r="L615" s="6">
        <f t="shared" si="9"/>
        <v>1</v>
      </c>
    </row>
    <row r="616" spans="1:12">
      <c r="A616" s="175" t="s">
        <v>430</v>
      </c>
      <c r="B616" s="175" t="s">
        <v>146</v>
      </c>
      <c r="C616" s="175" t="s">
        <v>1238</v>
      </c>
      <c r="D616" s="177" t="s">
        <v>958</v>
      </c>
      <c r="E616" s="179">
        <v>1</v>
      </c>
      <c r="F616" s="175" t="s">
        <v>1266</v>
      </c>
      <c r="G616" s="175" t="s">
        <v>1211</v>
      </c>
      <c r="H616" s="181"/>
      <c r="I616" s="175" t="s">
        <v>958</v>
      </c>
      <c r="J616" s="6">
        <f>IF(ISERROR(VLOOKUP(A616,'8080 Op to Hex'!$A:$A,1,0)),0,1)</f>
        <v>1</v>
      </c>
      <c r="K616" s="6" cm="1">
        <f t="array" ref="K616">HlpGetInstructionSize(A616,B616,C616)</f>
        <v>1</v>
      </c>
      <c r="L616" s="6">
        <f t="shared" si="9"/>
        <v>0</v>
      </c>
    </row>
    <row r="617" spans="1:12">
      <c r="A617" s="175" t="s">
        <v>430</v>
      </c>
      <c r="B617" s="175" t="s">
        <v>146</v>
      </c>
      <c r="C617" s="175" t="s">
        <v>1377</v>
      </c>
      <c r="D617" s="177" t="s">
        <v>1434</v>
      </c>
      <c r="E617" s="179">
        <v>4</v>
      </c>
      <c r="F617" s="175" t="s">
        <v>1435</v>
      </c>
      <c r="G617" s="175" t="s">
        <v>126</v>
      </c>
      <c r="H617" s="181" t="s">
        <v>810</v>
      </c>
      <c r="I617" s="175" t="s">
        <v>958</v>
      </c>
      <c r="J617" s="6">
        <f>IF(ISERROR(VLOOKUP(A617,'8080 Op to Hex'!$A:$A,1,0)),0,1)</f>
        <v>1</v>
      </c>
      <c r="K617" s="6" cm="1">
        <f t="array" ref="K617">HlpGetInstructionSize(A617,B617,C617)</f>
        <v>1</v>
      </c>
      <c r="L617" s="6">
        <f>IF(E617&lt;&gt;K617,1,0)</f>
        <v>1</v>
      </c>
    </row>
    <row r="618" spans="1:12">
      <c r="A618" s="175" t="s">
        <v>430</v>
      </c>
      <c r="B618" s="175" t="s">
        <v>146</v>
      </c>
      <c r="C618" s="175" t="s">
        <v>1380</v>
      </c>
      <c r="D618" s="177" t="s">
        <v>1436</v>
      </c>
      <c r="E618" s="179">
        <v>4</v>
      </c>
      <c r="F618" s="175" t="s">
        <v>1437</v>
      </c>
      <c r="G618" s="175" t="s">
        <v>126</v>
      </c>
      <c r="H618" s="181" t="s">
        <v>1025</v>
      </c>
      <c r="I618" s="175" t="s">
        <v>958</v>
      </c>
      <c r="J618" s="6">
        <f>IF(ISERROR(VLOOKUP(A618,'8080 Op to Hex'!$A:$A,1,0)),0,1)</f>
        <v>1</v>
      </c>
      <c r="K618" s="6" cm="1">
        <f t="array" ref="K618">HlpGetInstructionSize(A618,B618,C618)</f>
        <v>1</v>
      </c>
      <c r="L618" s="6">
        <f t="shared" si="9"/>
        <v>1</v>
      </c>
    </row>
    <row r="619" spans="1:12">
      <c r="A619" s="175" t="s">
        <v>430</v>
      </c>
      <c r="B619" s="175" t="s">
        <v>146</v>
      </c>
      <c r="C619" s="175" t="s">
        <v>146</v>
      </c>
      <c r="D619" s="177" t="s">
        <v>959</v>
      </c>
      <c r="E619" s="179">
        <v>1</v>
      </c>
      <c r="F619" s="175" t="s">
        <v>686</v>
      </c>
      <c r="G619" s="175" t="s">
        <v>1127</v>
      </c>
      <c r="H619" s="181"/>
      <c r="I619" s="175" t="s">
        <v>959</v>
      </c>
      <c r="J619" s="6">
        <f>IF(ISERROR(VLOOKUP(A619,'8080 Op to Hex'!$A:$A,1,0)),0,1)</f>
        <v>1</v>
      </c>
      <c r="K619" s="6" cm="1">
        <f t="array" ref="K619">HlpGetInstructionSize(A619,B619,C619)</f>
        <v>1</v>
      </c>
      <c r="L619" s="6">
        <f t="shared" si="9"/>
        <v>0</v>
      </c>
    </row>
    <row r="620" spans="1:12">
      <c r="A620" s="175" t="s">
        <v>430</v>
      </c>
      <c r="B620" s="175" t="s">
        <v>146</v>
      </c>
      <c r="C620" s="175" t="s">
        <v>144</v>
      </c>
      <c r="D620" s="177" t="s">
        <v>952</v>
      </c>
      <c r="E620" s="179">
        <v>1</v>
      </c>
      <c r="F620" s="175" t="s">
        <v>679</v>
      </c>
      <c r="G620" s="175" t="s">
        <v>1127</v>
      </c>
      <c r="H620" s="181"/>
      <c r="I620" s="175" t="s">
        <v>952</v>
      </c>
      <c r="J620" s="6">
        <f>IF(ISERROR(VLOOKUP(A620,'8080 Op to Hex'!$A:$A,1,0)),0,1)</f>
        <v>1</v>
      </c>
      <c r="K620" s="6" cm="1">
        <f t="array" ref="K620">HlpGetInstructionSize(A620,B620,C620)</f>
        <v>1</v>
      </c>
      <c r="L620" s="6">
        <f t="shared" si="9"/>
        <v>0</v>
      </c>
    </row>
    <row r="621" spans="1:12">
      <c r="A621" s="175" t="s">
        <v>430</v>
      </c>
      <c r="B621" s="175" t="s">
        <v>146</v>
      </c>
      <c r="C621" s="175" t="s">
        <v>182</v>
      </c>
      <c r="D621" s="177" t="s">
        <v>953</v>
      </c>
      <c r="E621" s="179">
        <v>1</v>
      </c>
      <c r="F621" s="175" t="s">
        <v>680</v>
      </c>
      <c r="G621" s="175" t="s">
        <v>1127</v>
      </c>
      <c r="H621" s="181"/>
      <c r="I621" s="175" t="s">
        <v>953</v>
      </c>
      <c r="J621" s="6">
        <f>IF(ISERROR(VLOOKUP(A621,'8080 Op to Hex'!$A:$A,1,0)),0,1)</f>
        <v>1</v>
      </c>
      <c r="K621" s="6" cm="1">
        <f t="array" ref="K621">HlpGetInstructionSize(A621,B621,C621)</f>
        <v>1</v>
      </c>
      <c r="L621" s="6">
        <f t="shared" si="9"/>
        <v>0</v>
      </c>
    </row>
    <row r="622" spans="1:12">
      <c r="A622" s="175" t="s">
        <v>430</v>
      </c>
      <c r="B622" s="175" t="s">
        <v>146</v>
      </c>
      <c r="C622" s="175" t="s">
        <v>183</v>
      </c>
      <c r="D622" s="177" t="s">
        <v>954</v>
      </c>
      <c r="E622" s="179">
        <v>1</v>
      </c>
      <c r="F622" s="175" t="s">
        <v>681</v>
      </c>
      <c r="G622" s="175" t="s">
        <v>1127</v>
      </c>
      <c r="H622" s="181"/>
      <c r="I622" s="175" t="s">
        <v>954</v>
      </c>
      <c r="J622" s="6">
        <f>IF(ISERROR(VLOOKUP(A622,'8080 Op to Hex'!$A:$A,1,0)),0,1)</f>
        <v>1</v>
      </c>
      <c r="K622" s="6" cm="1">
        <f t="array" ref="K622">HlpGetInstructionSize(A622,B622,C622)</f>
        <v>1</v>
      </c>
      <c r="L622" s="6">
        <f t="shared" si="9"/>
        <v>0</v>
      </c>
    </row>
    <row r="623" spans="1:12">
      <c r="A623" s="175" t="s">
        <v>430</v>
      </c>
      <c r="B623" s="175" t="s">
        <v>146</v>
      </c>
      <c r="C623" s="175" t="s">
        <v>265</v>
      </c>
      <c r="D623" s="177" t="s">
        <v>955</v>
      </c>
      <c r="E623" s="179">
        <v>1</v>
      </c>
      <c r="F623" s="175" t="s">
        <v>682</v>
      </c>
      <c r="G623" s="175" t="s">
        <v>1127</v>
      </c>
      <c r="H623" s="181"/>
      <c r="I623" s="175" t="s">
        <v>955</v>
      </c>
      <c r="J623" s="6">
        <f>IF(ISERROR(VLOOKUP(A623,'8080 Op to Hex'!$A:$A,1,0)),0,1)</f>
        <v>1</v>
      </c>
      <c r="K623" s="6" cm="1">
        <f t="array" ref="K623">HlpGetInstructionSize(A623,B623,C623)</f>
        <v>1</v>
      </c>
      <c r="L623" s="6">
        <f t="shared" si="9"/>
        <v>0</v>
      </c>
    </row>
    <row r="624" spans="1:12">
      <c r="A624" s="175" t="s">
        <v>430</v>
      </c>
      <c r="B624" s="175" t="s">
        <v>146</v>
      </c>
      <c r="C624" s="175" t="s">
        <v>303</v>
      </c>
      <c r="D624" s="177" t="s">
        <v>956</v>
      </c>
      <c r="E624" s="179">
        <v>1</v>
      </c>
      <c r="F624" s="175" t="s">
        <v>683</v>
      </c>
      <c r="G624" s="175" t="s">
        <v>1127</v>
      </c>
      <c r="H624" s="181"/>
      <c r="I624" s="175" t="s">
        <v>956</v>
      </c>
      <c r="J624" s="6">
        <f>IF(ISERROR(VLOOKUP(A624,'8080 Op to Hex'!$A:$A,1,0)),0,1)</f>
        <v>1</v>
      </c>
      <c r="K624" s="6" cm="1">
        <f t="array" ref="K624">HlpGetInstructionSize(A624,B624,C624)</f>
        <v>1</v>
      </c>
      <c r="L624" s="6">
        <f t="shared" si="9"/>
        <v>0</v>
      </c>
    </row>
    <row r="625" spans="1:12">
      <c r="A625" s="175" t="s">
        <v>430</v>
      </c>
      <c r="B625" s="175" t="s">
        <v>146</v>
      </c>
      <c r="C625" s="175" t="s">
        <v>327</v>
      </c>
      <c r="D625" s="177" t="s">
        <v>957</v>
      </c>
      <c r="E625" s="179">
        <v>1</v>
      </c>
      <c r="F625" s="175" t="s">
        <v>684</v>
      </c>
      <c r="G625" s="175" t="s">
        <v>1127</v>
      </c>
      <c r="H625" s="181"/>
      <c r="I625" s="175" t="s">
        <v>957</v>
      </c>
      <c r="J625" s="6">
        <f>IF(ISERROR(VLOOKUP(A625,'8080 Op to Hex'!$A:$A,1,0)),0,1)</f>
        <v>1</v>
      </c>
      <c r="K625" s="6" cm="1">
        <f t="array" ref="K625">HlpGetInstructionSize(A625,B625,C625)</f>
        <v>1</v>
      </c>
      <c r="L625" s="6">
        <f t="shared" si="9"/>
        <v>0</v>
      </c>
    </row>
    <row r="626" spans="1:12">
      <c r="A626" s="175" t="s">
        <v>430</v>
      </c>
      <c r="B626" s="175" t="s">
        <v>146</v>
      </c>
      <c r="C626" s="175" t="s">
        <v>1452</v>
      </c>
      <c r="D626" s="177" t="s">
        <v>797</v>
      </c>
      <c r="E626" s="179">
        <v>2</v>
      </c>
      <c r="F626" s="175" t="s">
        <v>798</v>
      </c>
      <c r="G626" s="175" t="s">
        <v>1127</v>
      </c>
      <c r="H626" s="181"/>
      <c r="I626" s="175" t="s">
        <v>797</v>
      </c>
      <c r="J626" s="6">
        <f>IF(ISERROR(VLOOKUP(A626,'8080 Op to Hex'!$A:$A,1,0)),0,1)</f>
        <v>1</v>
      </c>
      <c r="K626" s="6" cm="1">
        <f t="array" ref="K626">HlpGetInstructionSize(A626,B626,C626)</f>
        <v>1</v>
      </c>
      <c r="L626" s="6">
        <f t="shared" si="9"/>
        <v>1</v>
      </c>
    </row>
    <row r="627" spans="1:12">
      <c r="A627" s="175" t="s">
        <v>1285</v>
      </c>
      <c r="B627" s="175" t="s">
        <v>146</v>
      </c>
      <c r="C627" s="175" t="s">
        <v>1238</v>
      </c>
      <c r="D627" s="177" t="s">
        <v>726</v>
      </c>
      <c r="E627" s="179">
        <v>1</v>
      </c>
      <c r="F627" s="175" t="s">
        <v>1292</v>
      </c>
      <c r="G627" s="175" t="s">
        <v>172</v>
      </c>
      <c r="H627" s="181"/>
      <c r="I627" s="175" t="s">
        <v>726</v>
      </c>
      <c r="J627" s="6">
        <f>IF(ISERROR(VLOOKUP(A627,'8080 Op to Hex'!$A:$A,1,0)),0,1)</f>
        <v>0</v>
      </c>
      <c r="K627" s="6" cm="1">
        <f t="array" ref="K627">HlpGetInstructionSize(A627,B627,C627)</f>
        <v>1</v>
      </c>
      <c r="L627" s="6">
        <f t="shared" si="9"/>
        <v>0</v>
      </c>
    </row>
    <row r="628" spans="1:12">
      <c r="A628" s="175" t="s">
        <v>1285</v>
      </c>
      <c r="B628" s="175" t="s">
        <v>146</v>
      </c>
      <c r="C628" s="175" t="s">
        <v>1377</v>
      </c>
      <c r="D628" s="177" t="s">
        <v>1430</v>
      </c>
      <c r="E628" s="179">
        <v>4</v>
      </c>
      <c r="F628" s="175" t="s">
        <v>1431</v>
      </c>
      <c r="G628" s="175" t="s">
        <v>126</v>
      </c>
      <c r="H628" s="181" t="s">
        <v>810</v>
      </c>
      <c r="I628" s="175" t="s">
        <v>726</v>
      </c>
      <c r="J628" s="6">
        <f>IF(ISERROR(VLOOKUP(A628,'8080 Op to Hex'!$A:$A,1,0)),0,1)</f>
        <v>0</v>
      </c>
      <c r="K628" s="6" cm="1">
        <f t="array" ref="K628">HlpGetInstructionSize(A628,B628,C628)</f>
        <v>1</v>
      </c>
      <c r="L628" s="6">
        <f>IF(E628&lt;&gt;K628,1,0)</f>
        <v>1</v>
      </c>
    </row>
    <row r="629" spans="1:12">
      <c r="A629" s="175" t="s">
        <v>1285</v>
      </c>
      <c r="B629" s="175" t="s">
        <v>146</v>
      </c>
      <c r="C629" s="175" t="s">
        <v>1380</v>
      </c>
      <c r="D629" s="177" t="s">
        <v>1432</v>
      </c>
      <c r="E629" s="179">
        <v>4</v>
      </c>
      <c r="F629" s="175" t="s">
        <v>1433</v>
      </c>
      <c r="G629" s="175" t="s">
        <v>126</v>
      </c>
      <c r="H629" s="181" t="s">
        <v>1025</v>
      </c>
      <c r="I629" s="175" t="s">
        <v>726</v>
      </c>
      <c r="J629" s="6">
        <f>IF(ISERROR(VLOOKUP(A629,'8080 Op to Hex'!$A:$A,1,0)),0,1)</f>
        <v>0</v>
      </c>
      <c r="K629" s="6" cm="1">
        <f t="array" ref="K629">HlpGetInstructionSize(A629,B629,C629)</f>
        <v>1</v>
      </c>
      <c r="L629" s="6">
        <f>IF(E629&lt;&gt;K629,1,0)</f>
        <v>1</v>
      </c>
    </row>
    <row r="630" spans="1:12">
      <c r="A630" s="175" t="s">
        <v>1285</v>
      </c>
      <c r="B630" s="175" t="s">
        <v>146</v>
      </c>
      <c r="C630" s="175" t="s">
        <v>146</v>
      </c>
      <c r="D630" s="177" t="s">
        <v>728</v>
      </c>
      <c r="E630" s="179">
        <v>1</v>
      </c>
      <c r="F630" s="175" t="s">
        <v>1293</v>
      </c>
      <c r="G630" s="175" t="s">
        <v>172</v>
      </c>
      <c r="H630" s="181"/>
      <c r="I630" s="175" t="s">
        <v>728</v>
      </c>
      <c r="J630" s="6">
        <f>IF(ISERROR(VLOOKUP(A630,'8080 Op to Hex'!$A:$A,1,0)),0,1)</f>
        <v>0</v>
      </c>
      <c r="K630" s="6" cm="1">
        <f t="array" ref="K630">HlpGetInstructionSize(A630,B630,C630)</f>
        <v>1</v>
      </c>
      <c r="L630" s="6">
        <f t="shared" si="9"/>
        <v>0</v>
      </c>
    </row>
    <row r="631" spans="1:12">
      <c r="A631" s="175" t="s">
        <v>1285</v>
      </c>
      <c r="B631" s="175" t="s">
        <v>146</v>
      </c>
      <c r="C631" s="175" t="s">
        <v>144</v>
      </c>
      <c r="D631" s="177" t="s">
        <v>717</v>
      </c>
      <c r="E631" s="179">
        <v>1</v>
      </c>
      <c r="F631" s="175" t="s">
        <v>1286</v>
      </c>
      <c r="G631" s="175" t="s">
        <v>172</v>
      </c>
      <c r="H631" s="181"/>
      <c r="I631" s="175" t="s">
        <v>717</v>
      </c>
      <c r="J631" s="6">
        <f>IF(ISERROR(VLOOKUP(A631,'8080 Op to Hex'!$A:$A,1,0)),0,1)</f>
        <v>0</v>
      </c>
      <c r="K631" s="6" cm="1">
        <f t="array" ref="K631">HlpGetInstructionSize(A631,B631,C631)</f>
        <v>1</v>
      </c>
      <c r="L631" s="6">
        <f t="shared" si="9"/>
        <v>0</v>
      </c>
    </row>
    <row r="632" spans="1:12">
      <c r="A632" s="175" t="s">
        <v>1285</v>
      </c>
      <c r="B632" s="175" t="s">
        <v>146</v>
      </c>
      <c r="C632" s="175" t="s">
        <v>182</v>
      </c>
      <c r="D632" s="177" t="s">
        <v>719</v>
      </c>
      <c r="E632" s="179">
        <v>1</v>
      </c>
      <c r="F632" s="175" t="s">
        <v>1287</v>
      </c>
      <c r="G632" s="175" t="s">
        <v>172</v>
      </c>
      <c r="H632" s="181"/>
      <c r="I632" s="175" t="s">
        <v>719</v>
      </c>
      <c r="J632" s="6">
        <f>IF(ISERROR(VLOOKUP(A632,'8080 Op to Hex'!$A:$A,1,0)),0,1)</f>
        <v>0</v>
      </c>
      <c r="K632" s="6" cm="1">
        <f t="array" ref="K632">HlpGetInstructionSize(A632,B632,C632)</f>
        <v>1</v>
      </c>
      <c r="L632" s="6">
        <f t="shared" si="9"/>
        <v>0</v>
      </c>
    </row>
    <row r="633" spans="1:12">
      <c r="A633" s="175" t="s">
        <v>1285</v>
      </c>
      <c r="B633" s="175" t="s">
        <v>146</v>
      </c>
      <c r="C633" s="175" t="s">
        <v>183</v>
      </c>
      <c r="D633" s="177" t="s">
        <v>180</v>
      </c>
      <c r="E633" s="179">
        <v>1</v>
      </c>
      <c r="F633" s="175" t="s">
        <v>1288</v>
      </c>
      <c r="G633" s="175" t="s">
        <v>172</v>
      </c>
      <c r="H633" s="181"/>
      <c r="I633" s="175" t="s">
        <v>180</v>
      </c>
      <c r="J633" s="6">
        <f>IF(ISERROR(VLOOKUP(A633,'8080 Op to Hex'!$A:$A,1,0)),0,1)</f>
        <v>0</v>
      </c>
      <c r="K633" s="6" cm="1">
        <f t="array" ref="K633">HlpGetInstructionSize(A633,B633,C633)</f>
        <v>1</v>
      </c>
      <c r="L633" s="6">
        <f t="shared" si="9"/>
        <v>0</v>
      </c>
    </row>
    <row r="634" spans="1:12">
      <c r="A634" s="175" t="s">
        <v>1285</v>
      </c>
      <c r="B634" s="175" t="s">
        <v>146</v>
      </c>
      <c r="C634" s="175" t="s">
        <v>265</v>
      </c>
      <c r="D634" s="177" t="s">
        <v>326</v>
      </c>
      <c r="E634" s="179">
        <v>1</v>
      </c>
      <c r="F634" s="175" t="s">
        <v>1289</v>
      </c>
      <c r="G634" s="175" t="s">
        <v>172</v>
      </c>
      <c r="H634" s="181"/>
      <c r="I634" s="175" t="s">
        <v>326</v>
      </c>
      <c r="J634" s="6">
        <f>IF(ISERROR(VLOOKUP(A634,'8080 Op to Hex'!$A:$A,1,0)),0,1)</f>
        <v>0</v>
      </c>
      <c r="K634" s="6" cm="1">
        <f t="array" ref="K634">HlpGetInstructionSize(A634,B634,C634)</f>
        <v>1</v>
      </c>
      <c r="L634" s="6">
        <f t="shared" si="9"/>
        <v>0</v>
      </c>
    </row>
    <row r="635" spans="1:12">
      <c r="A635" s="175" t="s">
        <v>1285</v>
      </c>
      <c r="B635" s="175" t="s">
        <v>146</v>
      </c>
      <c r="C635" s="175" t="s">
        <v>303</v>
      </c>
      <c r="D635" s="177" t="s">
        <v>122</v>
      </c>
      <c r="E635" s="179">
        <v>1</v>
      </c>
      <c r="F635" s="175" t="s">
        <v>1290</v>
      </c>
      <c r="G635" s="175" t="s">
        <v>172</v>
      </c>
      <c r="H635" s="181"/>
      <c r="I635" s="175" t="s">
        <v>122</v>
      </c>
      <c r="J635" s="6">
        <f>IF(ISERROR(VLOOKUP(A635,'8080 Op to Hex'!$A:$A,1,0)),0,1)</f>
        <v>0</v>
      </c>
      <c r="K635" s="6" cm="1">
        <f t="array" ref="K635">HlpGetInstructionSize(A635,B635,C635)</f>
        <v>1</v>
      </c>
      <c r="L635" s="6">
        <f t="shared" si="9"/>
        <v>0</v>
      </c>
    </row>
    <row r="636" spans="1:12">
      <c r="A636" s="175" t="s">
        <v>1285</v>
      </c>
      <c r="B636" s="175" t="s">
        <v>146</v>
      </c>
      <c r="C636" s="175" t="s">
        <v>327</v>
      </c>
      <c r="D636" s="177" t="s">
        <v>724</v>
      </c>
      <c r="E636" s="179">
        <v>1</v>
      </c>
      <c r="F636" s="175" t="s">
        <v>1291</v>
      </c>
      <c r="G636" s="175" t="s">
        <v>172</v>
      </c>
      <c r="H636" s="181"/>
      <c r="I636" s="175" t="s">
        <v>724</v>
      </c>
      <c r="J636" s="6">
        <f>IF(ISERROR(VLOOKUP(A636,'8080 Op to Hex'!$A:$A,1,0)),0,1)</f>
        <v>0</v>
      </c>
      <c r="K636" s="6" cm="1">
        <f t="array" ref="K636">HlpGetInstructionSize(A636,B636,C636)</f>
        <v>1</v>
      </c>
      <c r="L636" s="6">
        <f t="shared" si="9"/>
        <v>0</v>
      </c>
    </row>
    <row r="637" spans="1:12">
      <c r="A637" s="175" t="s">
        <v>1285</v>
      </c>
      <c r="B637" s="175" t="s">
        <v>146</v>
      </c>
      <c r="C637" s="175" t="s">
        <v>1452</v>
      </c>
      <c r="D637" s="177" t="s">
        <v>200</v>
      </c>
      <c r="E637" s="179">
        <v>2</v>
      </c>
      <c r="F637" s="175" t="s">
        <v>1328</v>
      </c>
      <c r="G637" s="175" t="s">
        <v>172</v>
      </c>
      <c r="H637" s="181"/>
      <c r="I637" s="175" t="s">
        <v>200</v>
      </c>
      <c r="J637" s="6">
        <f>IF(ISERROR(VLOOKUP(A637,'8080 Op to Hex'!$A:$A,1,0)),0,1)</f>
        <v>0</v>
      </c>
      <c r="K637" s="6" cm="1">
        <f t="array" ref="K637">HlpGetInstructionSize(A637,B637,C637)</f>
        <v>1</v>
      </c>
      <c r="L637" s="6">
        <f t="shared" si="9"/>
        <v>1</v>
      </c>
    </row>
  </sheetData>
  <autoFilter ref="A1:L637" xr:uid="{E2289B23-42AD-4040-AC8A-B2FEA5D8583E}"/>
  <conditionalFormatting sqref="L2:L637">
    <cfRule type="cellIs" dxfId="1" priority="2" operator="notEqual">
      <formula>0</formula>
    </cfRule>
  </conditionalFormatting>
  <conditionalFormatting sqref="J2:J637">
    <cfRule type="cellIs" dxfId="0" priority="1" operator="equal">
      <formula>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72623-1F34-4899-BEB8-C7ACFAED7892}">
  <sheetPr codeName="Sheet11"/>
  <dimension ref="A1:H152"/>
  <sheetViews>
    <sheetView workbookViewId="0">
      <pane ySplit="1" topLeftCell="A81" activePane="bottomLeft" state="frozen"/>
      <selection activeCell="F4" sqref="F4"/>
      <selection pane="bottomLeft" activeCell="I134" sqref="I134"/>
    </sheetView>
  </sheetViews>
  <sheetFormatPr defaultRowHeight="15"/>
  <cols>
    <col min="1" max="1" width="11" customWidth="1"/>
    <col min="2" max="2" width="7" customWidth="1"/>
    <col min="3" max="3" width="32" customWidth="1"/>
    <col min="4" max="4" width="12" customWidth="1"/>
    <col min="5" max="5" width="10" customWidth="1"/>
    <col min="6" max="7" width="7" customWidth="1"/>
    <col min="8" max="8" width="16" customWidth="1"/>
  </cols>
  <sheetData>
    <row r="1" spans="1:8" ht="18" customHeight="1">
      <c r="A1" s="192" t="s">
        <v>2</v>
      </c>
      <c r="B1" s="192" t="s">
        <v>132</v>
      </c>
      <c r="C1" s="192" t="s">
        <v>3</v>
      </c>
      <c r="D1" s="192" t="s">
        <v>2211</v>
      </c>
      <c r="E1" s="192" t="s">
        <v>2212</v>
      </c>
      <c r="F1" s="192" t="s">
        <v>496</v>
      </c>
      <c r="G1" s="192" t="s">
        <v>497</v>
      </c>
      <c r="H1" s="192" t="s">
        <v>2213</v>
      </c>
    </row>
    <row r="2" spans="1:8">
      <c r="A2" s="193" t="s">
        <v>426</v>
      </c>
      <c r="B2" s="193" t="s">
        <v>934</v>
      </c>
      <c r="C2" s="194" t="s">
        <v>2214</v>
      </c>
      <c r="D2" s="195" t="s">
        <v>1452</v>
      </c>
      <c r="E2" s="195"/>
      <c r="F2" s="195">
        <v>2</v>
      </c>
      <c r="G2" s="195">
        <v>2</v>
      </c>
      <c r="H2" s="194" t="s">
        <v>1217</v>
      </c>
    </row>
    <row r="3" spans="1:8">
      <c r="A3" s="193" t="s">
        <v>426</v>
      </c>
      <c r="B3" s="193" t="s">
        <v>930</v>
      </c>
      <c r="C3" s="194" t="s">
        <v>2214</v>
      </c>
      <c r="D3" s="195" t="s">
        <v>2215</v>
      </c>
      <c r="E3" s="195"/>
      <c r="F3" s="195">
        <v>2</v>
      </c>
      <c r="G3" s="195">
        <v>3</v>
      </c>
      <c r="H3" s="194" t="s">
        <v>2216</v>
      </c>
    </row>
    <row r="4" spans="1:8">
      <c r="A4" s="193" t="s">
        <v>426</v>
      </c>
      <c r="B4" s="193" t="s">
        <v>940</v>
      </c>
      <c r="C4" s="194" t="s">
        <v>2214</v>
      </c>
      <c r="D4" s="195" t="s">
        <v>2217</v>
      </c>
      <c r="E4" s="195"/>
      <c r="F4" s="195">
        <v>2</v>
      </c>
      <c r="G4" s="195">
        <v>4</v>
      </c>
      <c r="H4" s="194" t="s">
        <v>2218</v>
      </c>
    </row>
    <row r="5" spans="1:8">
      <c r="A5" s="193" t="s">
        <v>426</v>
      </c>
      <c r="B5" s="193" t="s">
        <v>631</v>
      </c>
      <c r="C5" s="194" t="s">
        <v>2214</v>
      </c>
      <c r="D5" s="195" t="s">
        <v>2219</v>
      </c>
      <c r="E5" s="195"/>
      <c r="F5" s="195">
        <v>3</v>
      </c>
      <c r="G5" s="195">
        <v>4</v>
      </c>
      <c r="H5" s="194" t="s">
        <v>2220</v>
      </c>
    </row>
    <row r="6" spans="1:8">
      <c r="A6" s="193" t="s">
        <v>426</v>
      </c>
      <c r="B6" s="193" t="s">
        <v>653</v>
      </c>
      <c r="C6" s="194" t="s">
        <v>2214</v>
      </c>
      <c r="D6" s="195" t="s">
        <v>2221</v>
      </c>
      <c r="E6" s="195"/>
      <c r="F6" s="195">
        <v>3</v>
      </c>
      <c r="G6" s="195">
        <v>4</v>
      </c>
      <c r="H6" s="194" t="s">
        <v>2222</v>
      </c>
    </row>
    <row r="7" spans="1:8">
      <c r="A7" s="193" t="s">
        <v>426</v>
      </c>
      <c r="B7" s="193" t="s">
        <v>944</v>
      </c>
      <c r="C7" s="194" t="s">
        <v>2214</v>
      </c>
      <c r="D7" s="195" t="s">
        <v>2223</v>
      </c>
      <c r="E7" s="195"/>
      <c r="F7" s="195">
        <v>3</v>
      </c>
      <c r="G7" s="195">
        <v>4</v>
      </c>
      <c r="H7" s="194" t="s">
        <v>2224</v>
      </c>
    </row>
    <row r="8" spans="1:8">
      <c r="A8" s="193" t="s">
        <v>426</v>
      </c>
      <c r="B8" s="193" t="s">
        <v>926</v>
      </c>
      <c r="C8" s="194" t="s">
        <v>2214</v>
      </c>
      <c r="D8" s="195" t="s">
        <v>2225</v>
      </c>
      <c r="E8" s="195"/>
      <c r="F8" s="195">
        <v>2</v>
      </c>
      <c r="G8" s="195">
        <v>6</v>
      </c>
      <c r="H8" s="194" t="s">
        <v>2226</v>
      </c>
    </row>
    <row r="9" spans="1:8">
      <c r="A9" s="193" t="s">
        <v>426</v>
      </c>
      <c r="B9" s="193" t="s">
        <v>936</v>
      </c>
      <c r="C9" s="194" t="s">
        <v>2214</v>
      </c>
      <c r="D9" s="195" t="s">
        <v>2227</v>
      </c>
      <c r="E9" s="195"/>
      <c r="F9" s="195">
        <v>2</v>
      </c>
      <c r="G9" s="195">
        <v>5</v>
      </c>
      <c r="H9" s="194" t="s">
        <v>2228</v>
      </c>
    </row>
    <row r="10" spans="1:8">
      <c r="A10" s="196" t="s">
        <v>1276</v>
      </c>
      <c r="B10" s="196" t="s">
        <v>898</v>
      </c>
      <c r="C10" s="197" t="s">
        <v>2229</v>
      </c>
      <c r="D10" s="198" t="s">
        <v>1452</v>
      </c>
      <c r="E10" s="198"/>
      <c r="F10" s="198">
        <v>2</v>
      </c>
      <c r="G10" s="198">
        <v>2</v>
      </c>
      <c r="H10" s="197" t="s">
        <v>1217</v>
      </c>
    </row>
    <row r="11" spans="1:8">
      <c r="A11" s="196" t="s">
        <v>1276</v>
      </c>
      <c r="B11" s="196" t="s">
        <v>894</v>
      </c>
      <c r="C11" s="197" t="s">
        <v>2229</v>
      </c>
      <c r="D11" s="198" t="s">
        <v>2215</v>
      </c>
      <c r="E11" s="198"/>
      <c r="F11" s="198">
        <v>2</v>
      </c>
      <c r="G11" s="198">
        <v>3</v>
      </c>
      <c r="H11" s="197" t="s">
        <v>2216</v>
      </c>
    </row>
    <row r="12" spans="1:8">
      <c r="A12" s="196" t="s">
        <v>1276</v>
      </c>
      <c r="B12" s="196" t="s">
        <v>902</v>
      </c>
      <c r="C12" s="197" t="s">
        <v>2229</v>
      </c>
      <c r="D12" s="198" t="s">
        <v>2217</v>
      </c>
      <c r="E12" s="198"/>
      <c r="F12" s="198">
        <v>2</v>
      </c>
      <c r="G12" s="198">
        <v>4</v>
      </c>
      <c r="H12" s="197" t="s">
        <v>2218</v>
      </c>
    </row>
    <row r="13" spans="1:8">
      <c r="A13" s="196" t="s">
        <v>1276</v>
      </c>
      <c r="B13" s="196" t="s">
        <v>548</v>
      </c>
      <c r="C13" s="197" t="s">
        <v>2229</v>
      </c>
      <c r="D13" s="198" t="s">
        <v>2219</v>
      </c>
      <c r="E13" s="198"/>
      <c r="F13" s="198">
        <v>3</v>
      </c>
      <c r="G13" s="198">
        <v>4</v>
      </c>
      <c r="H13" s="197" t="s">
        <v>2220</v>
      </c>
    </row>
    <row r="14" spans="1:8">
      <c r="A14" s="196" t="s">
        <v>1276</v>
      </c>
      <c r="B14" s="196" t="s">
        <v>566</v>
      </c>
      <c r="C14" s="197" t="s">
        <v>2229</v>
      </c>
      <c r="D14" s="198" t="s">
        <v>2221</v>
      </c>
      <c r="E14" s="198"/>
      <c r="F14" s="198">
        <v>3</v>
      </c>
      <c r="G14" s="198">
        <v>4</v>
      </c>
      <c r="H14" s="197" t="s">
        <v>2222</v>
      </c>
    </row>
    <row r="15" spans="1:8">
      <c r="A15" s="196" t="s">
        <v>1276</v>
      </c>
      <c r="B15" s="196" t="s">
        <v>906</v>
      </c>
      <c r="C15" s="197" t="s">
        <v>2229</v>
      </c>
      <c r="D15" s="198" t="s">
        <v>2223</v>
      </c>
      <c r="E15" s="198"/>
      <c r="F15" s="198">
        <v>3</v>
      </c>
      <c r="G15" s="198">
        <v>4</v>
      </c>
      <c r="H15" s="197" t="s">
        <v>2224</v>
      </c>
    </row>
    <row r="16" spans="1:8">
      <c r="A16" s="196" t="s">
        <v>1276</v>
      </c>
      <c r="B16" s="196" t="s">
        <v>891</v>
      </c>
      <c r="C16" s="197" t="s">
        <v>2229</v>
      </c>
      <c r="D16" s="198" t="s">
        <v>2225</v>
      </c>
      <c r="E16" s="198"/>
      <c r="F16" s="198">
        <v>2</v>
      </c>
      <c r="G16" s="198">
        <v>6</v>
      </c>
      <c r="H16" s="197" t="s">
        <v>2226</v>
      </c>
    </row>
    <row r="17" spans="1:8">
      <c r="A17" s="196" t="s">
        <v>1276</v>
      </c>
      <c r="B17" s="196" t="s">
        <v>900</v>
      </c>
      <c r="C17" s="197" t="s">
        <v>2229</v>
      </c>
      <c r="D17" s="198" t="s">
        <v>2227</v>
      </c>
      <c r="E17" s="198"/>
      <c r="F17" s="198">
        <v>2</v>
      </c>
      <c r="G17" s="198">
        <v>5</v>
      </c>
      <c r="H17" s="197" t="s">
        <v>2228</v>
      </c>
    </row>
    <row r="18" spans="1:8">
      <c r="A18" s="199" t="s">
        <v>2230</v>
      </c>
      <c r="B18" s="199" t="s">
        <v>335</v>
      </c>
      <c r="C18" s="200" t="s">
        <v>2231</v>
      </c>
      <c r="D18" s="201" t="s">
        <v>2232</v>
      </c>
      <c r="E18" s="201"/>
      <c r="F18" s="201">
        <v>1</v>
      </c>
      <c r="G18" s="201">
        <v>2</v>
      </c>
      <c r="H18" s="200" t="s">
        <v>2233</v>
      </c>
    </row>
    <row r="19" spans="1:8">
      <c r="A19" s="199" t="s">
        <v>2230</v>
      </c>
      <c r="B19" s="199" t="s">
        <v>881</v>
      </c>
      <c r="C19" s="200" t="s">
        <v>2231</v>
      </c>
      <c r="D19" s="201" t="s">
        <v>2215</v>
      </c>
      <c r="E19" s="201"/>
      <c r="F19" s="201">
        <v>2</v>
      </c>
      <c r="G19" s="201">
        <v>5</v>
      </c>
      <c r="H19" s="200" t="s">
        <v>2216</v>
      </c>
    </row>
    <row r="20" spans="1:8">
      <c r="A20" s="199" t="s">
        <v>2230</v>
      </c>
      <c r="B20" s="199" t="s">
        <v>887</v>
      </c>
      <c r="C20" s="200" t="s">
        <v>2231</v>
      </c>
      <c r="D20" s="201" t="s">
        <v>2217</v>
      </c>
      <c r="E20" s="201"/>
      <c r="F20" s="201">
        <v>2</v>
      </c>
      <c r="G20" s="201">
        <v>6</v>
      </c>
      <c r="H20" s="200" t="s">
        <v>2218</v>
      </c>
    </row>
    <row r="21" spans="1:8">
      <c r="A21" s="199" t="s">
        <v>2230</v>
      </c>
      <c r="B21" s="199" t="s">
        <v>444</v>
      </c>
      <c r="C21" s="200" t="s">
        <v>2231</v>
      </c>
      <c r="D21" s="201" t="s">
        <v>2219</v>
      </c>
      <c r="E21" s="201"/>
      <c r="F21" s="201">
        <v>3</v>
      </c>
      <c r="G21" s="201">
        <v>6</v>
      </c>
      <c r="H21" s="200" t="s">
        <v>2220</v>
      </c>
    </row>
    <row r="22" spans="1:8">
      <c r="A22" s="199" t="s">
        <v>2230</v>
      </c>
      <c r="B22" s="199" t="s">
        <v>531</v>
      </c>
      <c r="C22" s="200" t="s">
        <v>2231</v>
      </c>
      <c r="D22" s="201" t="s">
        <v>2221</v>
      </c>
      <c r="E22" s="201"/>
      <c r="F22" s="201">
        <v>3</v>
      </c>
      <c r="G22" s="201">
        <v>7</v>
      </c>
      <c r="H22" s="200" t="s">
        <v>2222</v>
      </c>
    </row>
    <row r="23" spans="1:8">
      <c r="A23" s="202" t="s">
        <v>2234</v>
      </c>
      <c r="B23" s="202" t="s">
        <v>952</v>
      </c>
      <c r="C23" s="203" t="s">
        <v>2235</v>
      </c>
      <c r="D23" s="204" t="s">
        <v>2219</v>
      </c>
      <c r="E23" s="204"/>
      <c r="F23" s="204">
        <v>2</v>
      </c>
      <c r="G23" s="204">
        <v>2</v>
      </c>
      <c r="H23" s="203" t="s">
        <v>2236</v>
      </c>
    </row>
    <row r="24" spans="1:8">
      <c r="A24" s="202" t="s">
        <v>2237</v>
      </c>
      <c r="B24" s="202" t="s">
        <v>495</v>
      </c>
      <c r="C24" s="203" t="s">
        <v>2238</v>
      </c>
      <c r="D24" s="204" t="s">
        <v>2219</v>
      </c>
      <c r="E24" s="204"/>
      <c r="F24" s="204">
        <v>2</v>
      </c>
      <c r="G24" s="204">
        <v>2</v>
      </c>
      <c r="H24" s="203" t="s">
        <v>2236</v>
      </c>
    </row>
    <row r="25" spans="1:8">
      <c r="A25" s="202" t="s">
        <v>2239</v>
      </c>
      <c r="B25" s="202" t="s">
        <v>264</v>
      </c>
      <c r="C25" s="203" t="s">
        <v>2240</v>
      </c>
      <c r="D25" s="204" t="s">
        <v>2219</v>
      </c>
      <c r="E25" s="204"/>
      <c r="F25" s="204">
        <v>2</v>
      </c>
      <c r="G25" s="204">
        <v>2</v>
      </c>
      <c r="H25" s="203" t="s">
        <v>2236</v>
      </c>
    </row>
    <row r="26" spans="1:8">
      <c r="A26" s="202" t="s">
        <v>2241</v>
      </c>
      <c r="B26" s="202" t="s">
        <v>899</v>
      </c>
      <c r="C26" s="203" t="s">
        <v>2242</v>
      </c>
      <c r="D26" s="204" t="s">
        <v>2219</v>
      </c>
      <c r="E26" s="204"/>
      <c r="F26" s="204">
        <v>2</v>
      </c>
      <c r="G26" s="204">
        <v>2</v>
      </c>
      <c r="H26" s="203" t="s">
        <v>2236</v>
      </c>
    </row>
    <row r="27" spans="1:8">
      <c r="A27" s="202" t="s">
        <v>2243</v>
      </c>
      <c r="B27" s="202" t="s">
        <v>784</v>
      </c>
      <c r="C27" s="203" t="s">
        <v>2244</v>
      </c>
      <c r="D27" s="204" t="s">
        <v>2219</v>
      </c>
      <c r="E27" s="204"/>
      <c r="F27" s="204">
        <v>2</v>
      </c>
      <c r="G27" s="204">
        <v>2</v>
      </c>
      <c r="H27" s="203" t="s">
        <v>2236</v>
      </c>
    </row>
    <row r="28" spans="1:8">
      <c r="A28" s="202" t="s">
        <v>2245</v>
      </c>
      <c r="B28" s="202" t="s">
        <v>231</v>
      </c>
      <c r="C28" s="203" t="s">
        <v>2246</v>
      </c>
      <c r="D28" s="204" t="s">
        <v>2219</v>
      </c>
      <c r="E28" s="204"/>
      <c r="F28" s="204">
        <v>2</v>
      </c>
      <c r="G28" s="204">
        <v>2</v>
      </c>
      <c r="H28" s="203" t="s">
        <v>2236</v>
      </c>
    </row>
    <row r="29" spans="1:8">
      <c r="A29" s="202" t="s">
        <v>2247</v>
      </c>
      <c r="B29" s="202" t="s">
        <v>916</v>
      </c>
      <c r="C29" s="203" t="s">
        <v>2248</v>
      </c>
      <c r="D29" s="204" t="s">
        <v>2219</v>
      </c>
      <c r="E29" s="204"/>
      <c r="F29" s="204">
        <v>2</v>
      </c>
      <c r="G29" s="204">
        <v>2</v>
      </c>
      <c r="H29" s="203" t="s">
        <v>2236</v>
      </c>
    </row>
    <row r="30" spans="1:8">
      <c r="A30" s="202" t="s">
        <v>2249</v>
      </c>
      <c r="B30" s="202" t="s">
        <v>935</v>
      </c>
      <c r="C30" s="203" t="s">
        <v>2250</v>
      </c>
      <c r="D30" s="204" t="s">
        <v>2219</v>
      </c>
      <c r="E30" s="204"/>
      <c r="F30" s="204">
        <v>2</v>
      </c>
      <c r="G30" s="204">
        <v>2</v>
      </c>
      <c r="H30" s="203" t="s">
        <v>2236</v>
      </c>
    </row>
    <row r="31" spans="1:8">
      <c r="A31" s="196" t="s">
        <v>1143</v>
      </c>
      <c r="B31" s="196" t="s">
        <v>893</v>
      </c>
      <c r="C31" s="197" t="s">
        <v>2251</v>
      </c>
      <c r="D31" s="198" t="s">
        <v>2215</v>
      </c>
      <c r="E31" s="198"/>
      <c r="F31" s="198">
        <v>2</v>
      </c>
      <c r="G31" s="198">
        <v>3</v>
      </c>
      <c r="H31" s="197" t="s">
        <v>2216</v>
      </c>
    </row>
    <row r="32" spans="1:8">
      <c r="A32" s="196" t="s">
        <v>1143</v>
      </c>
      <c r="B32" s="196" t="s">
        <v>546</v>
      </c>
      <c r="C32" s="197" t="s">
        <v>2251</v>
      </c>
      <c r="D32" s="198" t="s">
        <v>2219</v>
      </c>
      <c r="E32" s="198"/>
      <c r="F32" s="198">
        <v>3</v>
      </c>
      <c r="G32" s="198">
        <v>4</v>
      </c>
      <c r="H32" s="197" t="s">
        <v>2220</v>
      </c>
    </row>
    <row r="33" spans="1:8">
      <c r="A33" s="205" t="s">
        <v>2252</v>
      </c>
      <c r="B33" s="205" t="s">
        <v>215</v>
      </c>
      <c r="C33" s="206" t="s">
        <v>2253</v>
      </c>
      <c r="D33" s="207" t="s">
        <v>2254</v>
      </c>
      <c r="E33" s="207"/>
      <c r="F33" s="207">
        <v>1</v>
      </c>
      <c r="G33" s="207">
        <v>7</v>
      </c>
      <c r="H33" s="206" t="s">
        <v>2255</v>
      </c>
    </row>
    <row r="34" spans="1:8">
      <c r="A34" s="208" t="s">
        <v>2256</v>
      </c>
      <c r="B34" s="208" t="s">
        <v>474</v>
      </c>
      <c r="C34" s="209" t="s">
        <v>2257</v>
      </c>
      <c r="D34" s="210" t="s">
        <v>2254</v>
      </c>
      <c r="E34" s="210"/>
      <c r="F34" s="210">
        <v>1</v>
      </c>
      <c r="G34" s="210">
        <v>2</v>
      </c>
      <c r="H34" s="209" t="s">
        <v>2255</v>
      </c>
    </row>
    <row r="35" spans="1:8">
      <c r="A35" s="208" t="s">
        <v>2258</v>
      </c>
      <c r="B35" s="208" t="s">
        <v>801</v>
      </c>
      <c r="C35" s="209" t="s">
        <v>2259</v>
      </c>
      <c r="D35" s="210" t="s">
        <v>2254</v>
      </c>
      <c r="E35" s="210"/>
      <c r="F35" s="210">
        <v>1</v>
      </c>
      <c r="G35" s="210">
        <v>2</v>
      </c>
      <c r="H35" s="209" t="s">
        <v>2255</v>
      </c>
    </row>
    <row r="36" spans="1:8">
      <c r="A36" s="208" t="s">
        <v>2260</v>
      </c>
      <c r="B36" s="208" t="s">
        <v>923</v>
      </c>
      <c r="C36" s="209" t="s">
        <v>2261</v>
      </c>
      <c r="D36" s="210" t="s">
        <v>2254</v>
      </c>
      <c r="E36" s="210"/>
      <c r="F36" s="210">
        <v>1</v>
      </c>
      <c r="G36" s="210">
        <v>2</v>
      </c>
      <c r="H36" s="209" t="s">
        <v>2255</v>
      </c>
    </row>
    <row r="37" spans="1:8">
      <c r="A37" s="208" t="s">
        <v>2262</v>
      </c>
      <c r="B37" s="208" t="s">
        <v>738</v>
      </c>
      <c r="C37" s="209" t="s">
        <v>2263</v>
      </c>
      <c r="D37" s="210" t="s">
        <v>2254</v>
      </c>
      <c r="E37" s="210"/>
      <c r="F37" s="210">
        <v>1</v>
      </c>
      <c r="G37" s="210">
        <v>2</v>
      </c>
      <c r="H37" s="209" t="s">
        <v>2255</v>
      </c>
    </row>
    <row r="38" spans="1:8">
      <c r="A38" s="193" t="s">
        <v>865</v>
      </c>
      <c r="B38" s="193" t="s">
        <v>772</v>
      </c>
      <c r="C38" s="194" t="s">
        <v>2264</v>
      </c>
      <c r="D38" s="195" t="s">
        <v>1452</v>
      </c>
      <c r="E38" s="195"/>
      <c r="F38" s="195">
        <v>2</v>
      </c>
      <c r="G38" s="195">
        <v>2</v>
      </c>
      <c r="H38" s="194" t="s">
        <v>1217</v>
      </c>
    </row>
    <row r="39" spans="1:8">
      <c r="A39" s="193" t="s">
        <v>865</v>
      </c>
      <c r="B39" s="193" t="s">
        <v>764</v>
      </c>
      <c r="C39" s="194" t="s">
        <v>2264</v>
      </c>
      <c r="D39" s="195" t="s">
        <v>2215</v>
      </c>
      <c r="E39" s="195"/>
      <c r="F39" s="195">
        <v>2</v>
      </c>
      <c r="G39" s="195">
        <v>3</v>
      </c>
      <c r="H39" s="194" t="s">
        <v>2216</v>
      </c>
    </row>
    <row r="40" spans="1:8">
      <c r="A40" s="193" t="s">
        <v>865</v>
      </c>
      <c r="B40" s="193" t="s">
        <v>795</v>
      </c>
      <c r="C40" s="194" t="s">
        <v>2264</v>
      </c>
      <c r="D40" s="195" t="s">
        <v>2217</v>
      </c>
      <c r="E40" s="195"/>
      <c r="F40" s="195">
        <v>2</v>
      </c>
      <c r="G40" s="195">
        <v>4</v>
      </c>
      <c r="H40" s="194" t="s">
        <v>2218</v>
      </c>
    </row>
    <row r="41" spans="1:8">
      <c r="A41" s="193" t="s">
        <v>865</v>
      </c>
      <c r="B41" s="193" t="s">
        <v>478</v>
      </c>
      <c r="C41" s="194" t="s">
        <v>2264</v>
      </c>
      <c r="D41" s="195" t="s">
        <v>2219</v>
      </c>
      <c r="E41" s="195"/>
      <c r="F41" s="195">
        <v>3</v>
      </c>
      <c r="G41" s="195">
        <v>4</v>
      </c>
      <c r="H41" s="194" t="s">
        <v>2220</v>
      </c>
    </row>
    <row r="42" spans="1:8">
      <c r="A42" s="193" t="s">
        <v>865</v>
      </c>
      <c r="B42" s="193" t="s">
        <v>810</v>
      </c>
      <c r="C42" s="194" t="s">
        <v>2264</v>
      </c>
      <c r="D42" s="195" t="s">
        <v>2221</v>
      </c>
      <c r="E42" s="195"/>
      <c r="F42" s="195">
        <v>3</v>
      </c>
      <c r="G42" s="195">
        <v>4</v>
      </c>
      <c r="H42" s="194" t="s">
        <v>2222</v>
      </c>
    </row>
    <row r="43" spans="1:8">
      <c r="A43" s="193" t="s">
        <v>865</v>
      </c>
      <c r="B43" s="193" t="s">
        <v>804</v>
      </c>
      <c r="C43" s="194" t="s">
        <v>2264</v>
      </c>
      <c r="D43" s="195" t="s">
        <v>2223</v>
      </c>
      <c r="E43" s="195"/>
      <c r="F43" s="195">
        <v>3</v>
      </c>
      <c r="G43" s="195">
        <v>4</v>
      </c>
      <c r="H43" s="194" t="s">
        <v>2224</v>
      </c>
    </row>
    <row r="44" spans="1:8">
      <c r="A44" s="193" t="s">
        <v>865</v>
      </c>
      <c r="B44" s="193" t="s">
        <v>756</v>
      </c>
      <c r="C44" s="194" t="s">
        <v>2264</v>
      </c>
      <c r="D44" s="195" t="s">
        <v>2225</v>
      </c>
      <c r="E44" s="195"/>
      <c r="F44" s="195">
        <v>2</v>
      </c>
      <c r="G44" s="195">
        <v>6</v>
      </c>
      <c r="H44" s="194" t="s">
        <v>2226</v>
      </c>
    </row>
    <row r="45" spans="1:8">
      <c r="A45" s="193" t="s">
        <v>865</v>
      </c>
      <c r="B45" s="193" t="s">
        <v>787</v>
      </c>
      <c r="C45" s="194" t="s">
        <v>2264</v>
      </c>
      <c r="D45" s="195" t="s">
        <v>2227</v>
      </c>
      <c r="E45" s="195"/>
      <c r="F45" s="195">
        <v>2</v>
      </c>
      <c r="G45" s="195">
        <v>5</v>
      </c>
      <c r="H45" s="194" t="s">
        <v>2228</v>
      </c>
    </row>
    <row r="46" spans="1:8">
      <c r="A46" s="193" t="s">
        <v>2265</v>
      </c>
      <c r="B46" s="193" t="s">
        <v>815</v>
      </c>
      <c r="C46" s="194" t="s">
        <v>2266</v>
      </c>
      <c r="D46" s="195" t="s">
        <v>1452</v>
      </c>
      <c r="E46" s="195"/>
      <c r="F46" s="195">
        <v>2</v>
      </c>
      <c r="G46" s="195">
        <v>2</v>
      </c>
      <c r="H46" s="194" t="s">
        <v>1217</v>
      </c>
    </row>
    <row r="47" spans="1:8">
      <c r="A47" s="193" t="s">
        <v>2265</v>
      </c>
      <c r="B47" s="193" t="s">
        <v>823</v>
      </c>
      <c r="C47" s="194" t="s">
        <v>2266</v>
      </c>
      <c r="D47" s="195" t="s">
        <v>2215</v>
      </c>
      <c r="E47" s="195"/>
      <c r="F47" s="195">
        <v>2</v>
      </c>
      <c r="G47" s="195">
        <v>3</v>
      </c>
      <c r="H47" s="194" t="s">
        <v>2216</v>
      </c>
    </row>
    <row r="48" spans="1:8">
      <c r="A48" s="193" t="s">
        <v>2265</v>
      </c>
      <c r="B48" s="193" t="s">
        <v>840</v>
      </c>
      <c r="C48" s="194" t="s">
        <v>2266</v>
      </c>
      <c r="D48" s="195" t="s">
        <v>2219</v>
      </c>
      <c r="E48" s="195"/>
      <c r="F48" s="195">
        <v>3</v>
      </c>
      <c r="G48" s="195">
        <v>4</v>
      </c>
      <c r="H48" s="194" t="s">
        <v>2220</v>
      </c>
    </row>
    <row r="49" spans="1:8">
      <c r="A49" s="193" t="s">
        <v>2267</v>
      </c>
      <c r="B49" s="193" t="s">
        <v>753</v>
      </c>
      <c r="C49" s="194" t="s">
        <v>2268</v>
      </c>
      <c r="D49" s="195" t="s">
        <v>1452</v>
      </c>
      <c r="E49" s="195"/>
      <c r="F49" s="195">
        <v>2</v>
      </c>
      <c r="G49" s="195">
        <v>2</v>
      </c>
      <c r="H49" s="194" t="s">
        <v>1217</v>
      </c>
    </row>
    <row r="50" spans="1:8">
      <c r="A50" s="193" t="s">
        <v>2267</v>
      </c>
      <c r="B50" s="193" t="s">
        <v>762</v>
      </c>
      <c r="C50" s="194" t="s">
        <v>2268</v>
      </c>
      <c r="D50" s="195" t="s">
        <v>2215</v>
      </c>
      <c r="E50" s="195"/>
      <c r="F50" s="195">
        <v>2</v>
      </c>
      <c r="G50" s="195">
        <v>3</v>
      </c>
      <c r="H50" s="194" t="s">
        <v>2216</v>
      </c>
    </row>
    <row r="51" spans="1:8">
      <c r="A51" s="193" t="s">
        <v>2267</v>
      </c>
      <c r="B51" s="193" t="s">
        <v>777</v>
      </c>
      <c r="C51" s="194" t="s">
        <v>2268</v>
      </c>
      <c r="D51" s="195" t="s">
        <v>2219</v>
      </c>
      <c r="E51" s="195"/>
      <c r="F51" s="195">
        <v>3</v>
      </c>
      <c r="G51" s="195">
        <v>4</v>
      </c>
      <c r="H51" s="194" t="s">
        <v>2220</v>
      </c>
    </row>
    <row r="52" spans="1:8">
      <c r="A52" s="199" t="s">
        <v>1215</v>
      </c>
      <c r="B52" s="199" t="s">
        <v>766</v>
      </c>
      <c r="C52" s="200" t="s">
        <v>2269</v>
      </c>
      <c r="D52" s="201" t="s">
        <v>2215</v>
      </c>
      <c r="E52" s="201"/>
      <c r="F52" s="201">
        <v>2</v>
      </c>
      <c r="G52" s="201">
        <v>5</v>
      </c>
      <c r="H52" s="200" t="s">
        <v>2216</v>
      </c>
    </row>
    <row r="53" spans="1:8">
      <c r="A53" s="199" t="s">
        <v>1215</v>
      </c>
      <c r="B53" s="199" t="s">
        <v>797</v>
      </c>
      <c r="C53" s="200" t="s">
        <v>2269</v>
      </c>
      <c r="D53" s="201" t="s">
        <v>2217</v>
      </c>
      <c r="E53" s="201"/>
      <c r="F53" s="201">
        <v>2</v>
      </c>
      <c r="G53" s="201">
        <v>6</v>
      </c>
      <c r="H53" s="200" t="s">
        <v>2218</v>
      </c>
    </row>
    <row r="54" spans="1:8">
      <c r="A54" s="199" t="s">
        <v>1215</v>
      </c>
      <c r="B54" s="199" t="s">
        <v>780</v>
      </c>
      <c r="C54" s="200" t="s">
        <v>2269</v>
      </c>
      <c r="D54" s="201" t="s">
        <v>2219</v>
      </c>
      <c r="E54" s="201"/>
      <c r="F54" s="201">
        <v>3</v>
      </c>
      <c r="G54" s="201">
        <v>6</v>
      </c>
      <c r="H54" s="200" t="s">
        <v>2220</v>
      </c>
    </row>
    <row r="55" spans="1:8">
      <c r="A55" s="199" t="s">
        <v>1215</v>
      </c>
      <c r="B55" s="199" t="s">
        <v>811</v>
      </c>
      <c r="C55" s="200" t="s">
        <v>2269</v>
      </c>
      <c r="D55" s="201" t="s">
        <v>2221</v>
      </c>
      <c r="E55" s="201"/>
      <c r="F55" s="201">
        <v>3</v>
      </c>
      <c r="G55" s="201">
        <v>7</v>
      </c>
      <c r="H55" s="200" t="s">
        <v>2222</v>
      </c>
    </row>
    <row r="56" spans="1:8">
      <c r="A56" s="199" t="s">
        <v>2270</v>
      </c>
      <c r="B56" s="199" t="s">
        <v>774</v>
      </c>
      <c r="C56" s="200" t="s">
        <v>2271</v>
      </c>
      <c r="D56" s="201" t="s">
        <v>2254</v>
      </c>
      <c r="E56" s="201"/>
      <c r="F56" s="201">
        <v>1</v>
      </c>
      <c r="G56" s="201">
        <v>2</v>
      </c>
      <c r="H56" s="200" t="s">
        <v>2255</v>
      </c>
    </row>
    <row r="57" spans="1:8">
      <c r="A57" s="199" t="s">
        <v>2272</v>
      </c>
      <c r="B57" s="199" t="s">
        <v>950</v>
      </c>
      <c r="C57" s="200" t="s">
        <v>2273</v>
      </c>
      <c r="D57" s="201" t="s">
        <v>2254</v>
      </c>
      <c r="E57" s="201"/>
      <c r="F57" s="201">
        <v>1</v>
      </c>
      <c r="G57" s="201">
        <v>2</v>
      </c>
      <c r="H57" s="200" t="s">
        <v>2255</v>
      </c>
    </row>
    <row r="58" spans="1:8">
      <c r="A58" s="196" t="s">
        <v>2274</v>
      </c>
      <c r="B58" s="196" t="s">
        <v>915</v>
      </c>
      <c r="C58" s="197" t="s">
        <v>2275</v>
      </c>
      <c r="D58" s="198" t="s">
        <v>1452</v>
      </c>
      <c r="E58" s="198"/>
      <c r="F58" s="198">
        <v>2</v>
      </c>
      <c r="G58" s="198">
        <v>2</v>
      </c>
      <c r="H58" s="197" t="s">
        <v>1217</v>
      </c>
    </row>
    <row r="59" spans="1:8">
      <c r="A59" s="196" t="s">
        <v>2274</v>
      </c>
      <c r="B59" s="196" t="s">
        <v>911</v>
      </c>
      <c r="C59" s="197" t="s">
        <v>2275</v>
      </c>
      <c r="D59" s="198" t="s">
        <v>2215</v>
      </c>
      <c r="E59" s="198"/>
      <c r="F59" s="198">
        <v>2</v>
      </c>
      <c r="G59" s="198">
        <v>3</v>
      </c>
      <c r="H59" s="197" t="s">
        <v>2216</v>
      </c>
    </row>
    <row r="60" spans="1:8">
      <c r="A60" s="196" t="s">
        <v>2274</v>
      </c>
      <c r="B60" s="196" t="s">
        <v>185</v>
      </c>
      <c r="C60" s="197" t="s">
        <v>2275</v>
      </c>
      <c r="D60" s="198" t="s">
        <v>2217</v>
      </c>
      <c r="E60" s="198"/>
      <c r="F60" s="198">
        <v>2</v>
      </c>
      <c r="G60" s="198">
        <v>4</v>
      </c>
      <c r="H60" s="197" t="s">
        <v>2218</v>
      </c>
    </row>
    <row r="61" spans="1:8">
      <c r="A61" s="196" t="s">
        <v>2274</v>
      </c>
      <c r="B61" s="196" t="s">
        <v>588</v>
      </c>
      <c r="C61" s="197" t="s">
        <v>2275</v>
      </c>
      <c r="D61" s="198" t="s">
        <v>2219</v>
      </c>
      <c r="E61" s="198"/>
      <c r="F61" s="198">
        <v>3</v>
      </c>
      <c r="G61" s="198">
        <v>4</v>
      </c>
      <c r="H61" s="197" t="s">
        <v>2220</v>
      </c>
    </row>
    <row r="62" spans="1:8">
      <c r="A62" s="196" t="s">
        <v>2274</v>
      </c>
      <c r="B62" s="196" t="s">
        <v>609</v>
      </c>
      <c r="C62" s="197" t="s">
        <v>2275</v>
      </c>
      <c r="D62" s="198" t="s">
        <v>2221</v>
      </c>
      <c r="E62" s="198"/>
      <c r="F62" s="198">
        <v>3</v>
      </c>
      <c r="G62" s="198">
        <v>4</v>
      </c>
      <c r="H62" s="197" t="s">
        <v>2222</v>
      </c>
    </row>
    <row r="63" spans="1:8">
      <c r="A63" s="196" t="s">
        <v>2274</v>
      </c>
      <c r="B63" s="196" t="s">
        <v>924</v>
      </c>
      <c r="C63" s="197" t="s">
        <v>2275</v>
      </c>
      <c r="D63" s="198" t="s">
        <v>2223</v>
      </c>
      <c r="E63" s="198"/>
      <c r="F63" s="198">
        <v>3</v>
      </c>
      <c r="G63" s="198">
        <v>4</v>
      </c>
      <c r="H63" s="197" t="s">
        <v>2224</v>
      </c>
    </row>
    <row r="64" spans="1:8">
      <c r="A64" s="196" t="s">
        <v>2274</v>
      </c>
      <c r="B64" s="196" t="s">
        <v>908</v>
      </c>
      <c r="C64" s="197" t="s">
        <v>2275</v>
      </c>
      <c r="D64" s="198" t="s">
        <v>2225</v>
      </c>
      <c r="E64" s="198"/>
      <c r="F64" s="198">
        <v>2</v>
      </c>
      <c r="G64" s="198">
        <v>6</v>
      </c>
      <c r="H64" s="197" t="s">
        <v>2226</v>
      </c>
    </row>
    <row r="65" spans="1:8">
      <c r="A65" s="196" t="s">
        <v>2274</v>
      </c>
      <c r="B65" s="196" t="s">
        <v>917</v>
      </c>
      <c r="C65" s="197" t="s">
        <v>2275</v>
      </c>
      <c r="D65" s="198" t="s">
        <v>2227</v>
      </c>
      <c r="E65" s="198"/>
      <c r="F65" s="198">
        <v>2</v>
      </c>
      <c r="G65" s="198">
        <v>5</v>
      </c>
      <c r="H65" s="197" t="s">
        <v>2228</v>
      </c>
    </row>
    <row r="66" spans="1:8">
      <c r="A66" s="199" t="s">
        <v>1212</v>
      </c>
      <c r="B66" s="199" t="s">
        <v>827</v>
      </c>
      <c r="C66" s="200" t="s">
        <v>2276</v>
      </c>
      <c r="D66" s="201" t="s">
        <v>2215</v>
      </c>
      <c r="E66" s="201"/>
      <c r="F66" s="201">
        <v>2</v>
      </c>
      <c r="G66" s="201">
        <v>5</v>
      </c>
      <c r="H66" s="200" t="s">
        <v>2216</v>
      </c>
    </row>
    <row r="67" spans="1:8">
      <c r="A67" s="199" t="s">
        <v>1212</v>
      </c>
      <c r="B67" s="199" t="s">
        <v>976</v>
      </c>
      <c r="C67" s="200" t="s">
        <v>2276</v>
      </c>
      <c r="D67" s="201" t="s">
        <v>2217</v>
      </c>
      <c r="E67" s="201"/>
      <c r="F67" s="201">
        <v>2</v>
      </c>
      <c r="G67" s="201">
        <v>6</v>
      </c>
      <c r="H67" s="200" t="s">
        <v>2218</v>
      </c>
    </row>
    <row r="68" spans="1:8">
      <c r="A68" s="199" t="s">
        <v>1212</v>
      </c>
      <c r="B68" s="199" t="s">
        <v>200</v>
      </c>
      <c r="C68" s="200" t="s">
        <v>2276</v>
      </c>
      <c r="D68" s="201" t="s">
        <v>2219</v>
      </c>
      <c r="E68" s="201"/>
      <c r="F68" s="201">
        <v>3</v>
      </c>
      <c r="G68" s="201">
        <v>6</v>
      </c>
      <c r="H68" s="200" t="s">
        <v>2220</v>
      </c>
    </row>
    <row r="69" spans="1:8">
      <c r="A69" s="199" t="s">
        <v>1212</v>
      </c>
      <c r="B69" s="199" t="s">
        <v>425</v>
      </c>
      <c r="C69" s="200" t="s">
        <v>2276</v>
      </c>
      <c r="D69" s="201" t="s">
        <v>2221</v>
      </c>
      <c r="E69" s="201"/>
      <c r="F69" s="201">
        <v>3</v>
      </c>
      <c r="G69" s="201">
        <v>7</v>
      </c>
      <c r="H69" s="200" t="s">
        <v>2222</v>
      </c>
    </row>
    <row r="70" spans="1:8">
      <c r="A70" s="199" t="s">
        <v>461</v>
      </c>
      <c r="B70" s="199" t="s">
        <v>831</v>
      </c>
      <c r="C70" s="200" t="s">
        <v>2277</v>
      </c>
      <c r="D70" s="201" t="s">
        <v>2254</v>
      </c>
      <c r="E70" s="201"/>
      <c r="F70" s="201">
        <v>1</v>
      </c>
      <c r="G70" s="201">
        <v>2</v>
      </c>
      <c r="H70" s="200" t="s">
        <v>2255</v>
      </c>
    </row>
    <row r="71" spans="1:8">
      <c r="A71" s="199" t="s">
        <v>2278</v>
      </c>
      <c r="B71" s="199" t="s">
        <v>770</v>
      </c>
      <c r="C71" s="200" t="s">
        <v>2279</v>
      </c>
      <c r="D71" s="201" t="s">
        <v>2254</v>
      </c>
      <c r="E71" s="201"/>
      <c r="F71" s="201">
        <v>1</v>
      </c>
      <c r="G71" s="201">
        <v>2</v>
      </c>
      <c r="H71" s="200" t="s">
        <v>2255</v>
      </c>
    </row>
    <row r="72" spans="1:8">
      <c r="A72" s="211" t="s">
        <v>347</v>
      </c>
      <c r="B72" s="211" t="s">
        <v>586</v>
      </c>
      <c r="C72" s="212" t="s">
        <v>1227</v>
      </c>
      <c r="D72" s="213" t="s">
        <v>2219</v>
      </c>
      <c r="E72" s="213"/>
      <c r="F72" s="213">
        <v>3</v>
      </c>
      <c r="G72" s="213">
        <v>3</v>
      </c>
      <c r="H72" s="212" t="s">
        <v>2220</v>
      </c>
    </row>
    <row r="73" spans="1:8">
      <c r="A73" s="211" t="s">
        <v>347</v>
      </c>
      <c r="B73" s="211" t="s">
        <v>629</v>
      </c>
      <c r="C73" s="212" t="s">
        <v>2280</v>
      </c>
      <c r="D73" s="213" t="s">
        <v>1637</v>
      </c>
      <c r="E73" s="213"/>
      <c r="F73" s="213">
        <v>3</v>
      </c>
      <c r="G73" s="213">
        <v>5</v>
      </c>
      <c r="H73" s="212" t="s">
        <v>1211</v>
      </c>
    </row>
    <row r="74" spans="1:8">
      <c r="A74" s="211" t="s">
        <v>2281</v>
      </c>
      <c r="B74" s="211" t="s">
        <v>890</v>
      </c>
      <c r="C74" s="212" t="s">
        <v>2282</v>
      </c>
      <c r="D74" s="213" t="s">
        <v>2219</v>
      </c>
      <c r="E74" s="213"/>
      <c r="F74" s="213">
        <v>3</v>
      </c>
      <c r="G74" s="213">
        <v>6</v>
      </c>
      <c r="H74" s="212" t="s">
        <v>2220</v>
      </c>
    </row>
    <row r="75" spans="1:8">
      <c r="A75" s="202" t="s">
        <v>864</v>
      </c>
      <c r="B75" s="202" t="s">
        <v>719</v>
      </c>
      <c r="C75" s="203" t="s">
        <v>2283</v>
      </c>
      <c r="D75" s="204" t="s">
        <v>1452</v>
      </c>
      <c r="E75" s="204"/>
      <c r="F75" s="204">
        <v>2</v>
      </c>
      <c r="G75" s="204">
        <v>2</v>
      </c>
      <c r="H75" s="203" t="s">
        <v>1217</v>
      </c>
    </row>
    <row r="76" spans="1:8">
      <c r="A76" s="202" t="s">
        <v>864</v>
      </c>
      <c r="B76" s="202" t="s">
        <v>711</v>
      </c>
      <c r="C76" s="203" t="s">
        <v>2283</v>
      </c>
      <c r="D76" s="204" t="s">
        <v>2215</v>
      </c>
      <c r="E76" s="204"/>
      <c r="F76" s="204">
        <v>2</v>
      </c>
      <c r="G76" s="204">
        <v>3</v>
      </c>
      <c r="H76" s="203" t="s">
        <v>2216</v>
      </c>
    </row>
    <row r="77" spans="1:8">
      <c r="A77" s="202" t="s">
        <v>864</v>
      </c>
      <c r="B77" s="202" t="s">
        <v>489</v>
      </c>
      <c r="C77" s="203" t="s">
        <v>2283</v>
      </c>
      <c r="D77" s="204" t="s">
        <v>2217</v>
      </c>
      <c r="E77" s="204"/>
      <c r="F77" s="204">
        <v>2</v>
      </c>
      <c r="G77" s="204">
        <v>4</v>
      </c>
      <c r="H77" s="203" t="s">
        <v>2218</v>
      </c>
    </row>
    <row r="78" spans="1:8">
      <c r="A78" s="202" t="s">
        <v>864</v>
      </c>
      <c r="B78" s="202" t="s">
        <v>724</v>
      </c>
      <c r="C78" s="203" t="s">
        <v>2283</v>
      </c>
      <c r="D78" s="204" t="s">
        <v>2219</v>
      </c>
      <c r="E78" s="204"/>
      <c r="F78" s="204">
        <v>3</v>
      </c>
      <c r="G78" s="204">
        <v>4</v>
      </c>
      <c r="H78" s="203" t="s">
        <v>2220</v>
      </c>
    </row>
    <row r="79" spans="1:8">
      <c r="A79" s="202" t="s">
        <v>864</v>
      </c>
      <c r="B79" s="202" t="s">
        <v>747</v>
      </c>
      <c r="C79" s="203" t="s">
        <v>2283</v>
      </c>
      <c r="D79" s="204" t="s">
        <v>2221</v>
      </c>
      <c r="E79" s="204"/>
      <c r="F79" s="204">
        <v>3</v>
      </c>
      <c r="G79" s="204">
        <v>4</v>
      </c>
      <c r="H79" s="203" t="s">
        <v>2222</v>
      </c>
    </row>
    <row r="80" spans="1:8">
      <c r="A80" s="202" t="s">
        <v>864</v>
      </c>
      <c r="B80" s="202" t="s">
        <v>740</v>
      </c>
      <c r="C80" s="203" t="s">
        <v>2283</v>
      </c>
      <c r="D80" s="204" t="s">
        <v>2223</v>
      </c>
      <c r="E80" s="204"/>
      <c r="F80" s="204">
        <v>3</v>
      </c>
      <c r="G80" s="204">
        <v>4</v>
      </c>
      <c r="H80" s="203" t="s">
        <v>2224</v>
      </c>
    </row>
    <row r="81" spans="1:8">
      <c r="A81" s="202" t="s">
        <v>864</v>
      </c>
      <c r="B81" s="202" t="s">
        <v>703</v>
      </c>
      <c r="C81" s="203" t="s">
        <v>2283</v>
      </c>
      <c r="D81" s="204" t="s">
        <v>2225</v>
      </c>
      <c r="E81" s="204"/>
      <c r="F81" s="204">
        <v>2</v>
      </c>
      <c r="G81" s="204">
        <v>6</v>
      </c>
      <c r="H81" s="203" t="s">
        <v>2226</v>
      </c>
    </row>
    <row r="82" spans="1:8">
      <c r="A82" s="202" t="s">
        <v>864</v>
      </c>
      <c r="B82" s="202" t="s">
        <v>493</v>
      </c>
      <c r="C82" s="203" t="s">
        <v>2283</v>
      </c>
      <c r="D82" s="204" t="s">
        <v>2227</v>
      </c>
      <c r="E82" s="204"/>
      <c r="F82" s="204">
        <v>2</v>
      </c>
      <c r="G82" s="204">
        <v>5</v>
      </c>
      <c r="H82" s="203" t="s">
        <v>2228</v>
      </c>
    </row>
    <row r="83" spans="1:8">
      <c r="A83" s="202" t="s">
        <v>2284</v>
      </c>
      <c r="B83" s="202" t="s">
        <v>705</v>
      </c>
      <c r="C83" s="203" t="s">
        <v>2285</v>
      </c>
      <c r="D83" s="204" t="s">
        <v>1452</v>
      </c>
      <c r="E83" s="204"/>
      <c r="F83" s="204">
        <v>2</v>
      </c>
      <c r="G83" s="204">
        <v>2</v>
      </c>
      <c r="H83" s="203" t="s">
        <v>1217</v>
      </c>
    </row>
    <row r="84" spans="1:8">
      <c r="A84" s="202" t="s">
        <v>2284</v>
      </c>
      <c r="B84" s="202" t="s">
        <v>713</v>
      </c>
      <c r="C84" s="203" t="s">
        <v>2285</v>
      </c>
      <c r="D84" s="204" t="s">
        <v>2215</v>
      </c>
      <c r="E84" s="204"/>
      <c r="F84" s="204">
        <v>2</v>
      </c>
      <c r="G84" s="204">
        <v>3</v>
      </c>
      <c r="H84" s="203" t="s">
        <v>2216</v>
      </c>
    </row>
    <row r="85" spans="1:8">
      <c r="A85" s="202" t="s">
        <v>2284</v>
      </c>
      <c r="B85" s="202" t="s">
        <v>488</v>
      </c>
      <c r="C85" s="203" t="s">
        <v>2285</v>
      </c>
      <c r="D85" s="204" t="s">
        <v>2286</v>
      </c>
      <c r="E85" s="204"/>
      <c r="F85" s="204">
        <v>2</v>
      </c>
      <c r="G85" s="204">
        <v>4</v>
      </c>
      <c r="H85" s="203" t="s">
        <v>2287</v>
      </c>
    </row>
    <row r="86" spans="1:8">
      <c r="A86" s="202" t="s">
        <v>2284</v>
      </c>
      <c r="B86" s="202" t="s">
        <v>726</v>
      </c>
      <c r="C86" s="203" t="s">
        <v>2285</v>
      </c>
      <c r="D86" s="204" t="s">
        <v>2219</v>
      </c>
      <c r="E86" s="204"/>
      <c r="F86" s="204">
        <v>3</v>
      </c>
      <c r="G86" s="204">
        <v>4</v>
      </c>
      <c r="H86" s="203" t="s">
        <v>2220</v>
      </c>
    </row>
    <row r="87" spans="1:8">
      <c r="A87" s="202" t="s">
        <v>2284</v>
      </c>
      <c r="B87" s="202" t="s">
        <v>749</v>
      </c>
      <c r="C87" s="203" t="s">
        <v>2285</v>
      </c>
      <c r="D87" s="204" t="s">
        <v>2223</v>
      </c>
      <c r="E87" s="204"/>
      <c r="F87" s="204">
        <v>3</v>
      </c>
      <c r="G87" s="204">
        <v>4</v>
      </c>
      <c r="H87" s="203" t="s">
        <v>2224</v>
      </c>
    </row>
    <row r="88" spans="1:8">
      <c r="A88" s="202" t="s">
        <v>2288</v>
      </c>
      <c r="B88" s="202" t="s">
        <v>701</v>
      </c>
      <c r="C88" s="203" t="s">
        <v>2289</v>
      </c>
      <c r="D88" s="204" t="s">
        <v>1452</v>
      </c>
      <c r="E88" s="204"/>
      <c r="F88" s="204">
        <v>2</v>
      </c>
      <c r="G88" s="204">
        <v>2</v>
      </c>
      <c r="H88" s="203" t="s">
        <v>1217</v>
      </c>
    </row>
    <row r="89" spans="1:8">
      <c r="A89" s="202" t="s">
        <v>2288</v>
      </c>
      <c r="B89" s="202" t="s">
        <v>709</v>
      </c>
      <c r="C89" s="203" t="s">
        <v>2289</v>
      </c>
      <c r="D89" s="204" t="s">
        <v>2215</v>
      </c>
      <c r="E89" s="204"/>
      <c r="F89" s="204">
        <v>2</v>
      </c>
      <c r="G89" s="204">
        <v>3</v>
      </c>
      <c r="H89" s="203" t="s">
        <v>2216</v>
      </c>
    </row>
    <row r="90" spans="1:8">
      <c r="A90" s="202" t="s">
        <v>2288</v>
      </c>
      <c r="B90" s="202" t="s">
        <v>490</v>
      </c>
      <c r="C90" s="203" t="s">
        <v>2289</v>
      </c>
      <c r="D90" s="204" t="s">
        <v>2217</v>
      </c>
      <c r="E90" s="204"/>
      <c r="F90" s="204">
        <v>2</v>
      </c>
      <c r="G90" s="204">
        <v>4</v>
      </c>
      <c r="H90" s="203" t="s">
        <v>2218</v>
      </c>
    </row>
    <row r="91" spans="1:8">
      <c r="A91" s="202" t="s">
        <v>2288</v>
      </c>
      <c r="B91" s="202" t="s">
        <v>122</v>
      </c>
      <c r="C91" s="203" t="s">
        <v>2289</v>
      </c>
      <c r="D91" s="204" t="s">
        <v>2219</v>
      </c>
      <c r="E91" s="204"/>
      <c r="F91" s="204">
        <v>3</v>
      </c>
      <c r="G91" s="204">
        <v>4</v>
      </c>
      <c r="H91" s="203" t="s">
        <v>2220</v>
      </c>
    </row>
    <row r="92" spans="1:8">
      <c r="A92" s="202" t="s">
        <v>2288</v>
      </c>
      <c r="B92" s="202" t="s">
        <v>336</v>
      </c>
      <c r="C92" s="203" t="s">
        <v>2289</v>
      </c>
      <c r="D92" s="204" t="s">
        <v>2221</v>
      </c>
      <c r="E92" s="204"/>
      <c r="F92" s="204">
        <v>3</v>
      </c>
      <c r="G92" s="204">
        <v>4</v>
      </c>
      <c r="H92" s="203" t="s">
        <v>2222</v>
      </c>
    </row>
    <row r="93" spans="1:8">
      <c r="A93" s="199" t="s">
        <v>2290</v>
      </c>
      <c r="B93" s="199" t="s">
        <v>582</v>
      </c>
      <c r="C93" s="200" t="s">
        <v>2291</v>
      </c>
      <c r="D93" s="201" t="s">
        <v>2232</v>
      </c>
      <c r="E93" s="201"/>
      <c r="F93" s="201">
        <v>1</v>
      </c>
      <c r="G93" s="201">
        <v>2</v>
      </c>
      <c r="H93" s="200" t="s">
        <v>2233</v>
      </c>
    </row>
    <row r="94" spans="1:8">
      <c r="A94" s="199" t="s">
        <v>2290</v>
      </c>
      <c r="B94" s="199" t="s">
        <v>912</v>
      </c>
      <c r="C94" s="200" t="s">
        <v>2291</v>
      </c>
      <c r="D94" s="201" t="s">
        <v>2215</v>
      </c>
      <c r="E94" s="201"/>
      <c r="F94" s="201">
        <v>2</v>
      </c>
      <c r="G94" s="201">
        <v>5</v>
      </c>
      <c r="H94" s="200" t="s">
        <v>2216</v>
      </c>
    </row>
    <row r="95" spans="1:8">
      <c r="A95" s="199" t="s">
        <v>2290</v>
      </c>
      <c r="B95" s="199" t="s">
        <v>921</v>
      </c>
      <c r="C95" s="200" t="s">
        <v>2291</v>
      </c>
      <c r="D95" s="201" t="s">
        <v>2217</v>
      </c>
      <c r="E95" s="201"/>
      <c r="F95" s="201">
        <v>2</v>
      </c>
      <c r="G95" s="201">
        <v>6</v>
      </c>
      <c r="H95" s="200" t="s">
        <v>2218</v>
      </c>
    </row>
    <row r="96" spans="1:8">
      <c r="A96" s="199" t="s">
        <v>2290</v>
      </c>
      <c r="B96" s="199" t="s">
        <v>590</v>
      </c>
      <c r="C96" s="200" t="s">
        <v>2291</v>
      </c>
      <c r="D96" s="201" t="s">
        <v>2219</v>
      </c>
      <c r="E96" s="201"/>
      <c r="F96" s="201">
        <v>3</v>
      </c>
      <c r="G96" s="201">
        <v>6</v>
      </c>
      <c r="H96" s="200" t="s">
        <v>2220</v>
      </c>
    </row>
    <row r="97" spans="1:8">
      <c r="A97" s="199" t="s">
        <v>2290</v>
      </c>
      <c r="B97" s="199" t="s">
        <v>611</v>
      </c>
      <c r="C97" s="200" t="s">
        <v>2291</v>
      </c>
      <c r="D97" s="201" t="s">
        <v>2221</v>
      </c>
      <c r="E97" s="201"/>
      <c r="F97" s="201">
        <v>3</v>
      </c>
      <c r="G97" s="201">
        <v>7</v>
      </c>
      <c r="H97" s="200" t="s">
        <v>2222</v>
      </c>
    </row>
    <row r="98" spans="1:8">
      <c r="A98" s="214" t="s">
        <v>110</v>
      </c>
      <c r="B98" s="214" t="s">
        <v>836</v>
      </c>
      <c r="C98" s="215" t="s">
        <v>2292</v>
      </c>
      <c r="D98" s="216" t="s">
        <v>2254</v>
      </c>
      <c r="E98" s="216"/>
      <c r="F98" s="216">
        <v>1</v>
      </c>
      <c r="G98" s="216">
        <v>2</v>
      </c>
      <c r="H98" s="215" t="s">
        <v>2255</v>
      </c>
    </row>
    <row r="99" spans="1:8">
      <c r="A99" s="196" t="s">
        <v>262</v>
      </c>
      <c r="B99" s="196" t="s">
        <v>457</v>
      </c>
      <c r="C99" s="197" t="s">
        <v>2293</v>
      </c>
      <c r="D99" s="198" t="s">
        <v>1452</v>
      </c>
      <c r="E99" s="198"/>
      <c r="F99" s="198">
        <v>2</v>
      </c>
      <c r="G99" s="198">
        <v>2</v>
      </c>
      <c r="H99" s="197" t="s">
        <v>1217</v>
      </c>
    </row>
    <row r="100" spans="1:8">
      <c r="A100" s="196" t="s">
        <v>262</v>
      </c>
      <c r="B100" s="196" t="s">
        <v>880</v>
      </c>
      <c r="C100" s="197" t="s">
        <v>2293</v>
      </c>
      <c r="D100" s="198" t="s">
        <v>2215</v>
      </c>
      <c r="E100" s="198"/>
      <c r="F100" s="198">
        <v>2</v>
      </c>
      <c r="G100" s="198">
        <v>3</v>
      </c>
      <c r="H100" s="197" t="s">
        <v>2216</v>
      </c>
    </row>
    <row r="101" spans="1:8">
      <c r="A101" s="196" t="s">
        <v>262</v>
      </c>
      <c r="B101" s="196" t="s">
        <v>886</v>
      </c>
      <c r="C101" s="197" t="s">
        <v>2293</v>
      </c>
      <c r="D101" s="198" t="s">
        <v>2217</v>
      </c>
      <c r="E101" s="198"/>
      <c r="F101" s="198">
        <v>2</v>
      </c>
      <c r="G101" s="198">
        <v>4</v>
      </c>
      <c r="H101" s="197" t="s">
        <v>2218</v>
      </c>
    </row>
    <row r="102" spans="1:8">
      <c r="A102" s="196" t="s">
        <v>262</v>
      </c>
      <c r="B102" s="196" t="s">
        <v>511</v>
      </c>
      <c r="C102" s="197" t="s">
        <v>2293</v>
      </c>
      <c r="D102" s="198" t="s">
        <v>2219</v>
      </c>
      <c r="E102" s="198"/>
      <c r="F102" s="198">
        <v>3</v>
      </c>
      <c r="G102" s="198">
        <v>4</v>
      </c>
      <c r="H102" s="197" t="s">
        <v>2220</v>
      </c>
    </row>
    <row r="103" spans="1:8">
      <c r="A103" s="196" t="s">
        <v>262</v>
      </c>
      <c r="B103" s="196" t="s">
        <v>529</v>
      </c>
      <c r="C103" s="197" t="s">
        <v>2293</v>
      </c>
      <c r="D103" s="198" t="s">
        <v>2221</v>
      </c>
      <c r="E103" s="198"/>
      <c r="F103" s="198">
        <v>3</v>
      </c>
      <c r="G103" s="198">
        <v>4</v>
      </c>
      <c r="H103" s="197" t="s">
        <v>2222</v>
      </c>
    </row>
    <row r="104" spans="1:8">
      <c r="A104" s="196" t="s">
        <v>262</v>
      </c>
      <c r="B104" s="196" t="s">
        <v>889</v>
      </c>
      <c r="C104" s="197" t="s">
        <v>2293</v>
      </c>
      <c r="D104" s="198" t="s">
        <v>2223</v>
      </c>
      <c r="E104" s="198"/>
      <c r="F104" s="198">
        <v>3</v>
      </c>
      <c r="G104" s="198">
        <v>4</v>
      </c>
      <c r="H104" s="197" t="s">
        <v>2224</v>
      </c>
    </row>
    <row r="105" spans="1:8">
      <c r="A105" s="196" t="s">
        <v>262</v>
      </c>
      <c r="B105" s="196" t="s">
        <v>295</v>
      </c>
      <c r="C105" s="197" t="s">
        <v>2293</v>
      </c>
      <c r="D105" s="198" t="s">
        <v>2225</v>
      </c>
      <c r="E105" s="198"/>
      <c r="F105" s="198">
        <v>2</v>
      </c>
      <c r="G105" s="198">
        <v>6</v>
      </c>
      <c r="H105" s="197" t="s">
        <v>2226</v>
      </c>
    </row>
    <row r="106" spans="1:8">
      <c r="A106" s="196" t="s">
        <v>262</v>
      </c>
      <c r="B106" s="196" t="s">
        <v>201</v>
      </c>
      <c r="C106" s="197" t="s">
        <v>2293</v>
      </c>
      <c r="D106" s="198" t="s">
        <v>2227</v>
      </c>
      <c r="E106" s="198"/>
      <c r="F106" s="198">
        <v>2</v>
      </c>
      <c r="G106" s="198">
        <v>5</v>
      </c>
      <c r="H106" s="197" t="s">
        <v>2228</v>
      </c>
    </row>
    <row r="107" spans="1:8">
      <c r="A107" s="208" t="s">
        <v>2294</v>
      </c>
      <c r="B107" s="208" t="s">
        <v>914</v>
      </c>
      <c r="C107" s="209" t="s">
        <v>2295</v>
      </c>
      <c r="D107" s="210" t="s">
        <v>2254</v>
      </c>
      <c r="E107" s="210"/>
      <c r="F107" s="210">
        <v>1</v>
      </c>
      <c r="G107" s="210">
        <v>3</v>
      </c>
      <c r="H107" s="209" t="s">
        <v>2255</v>
      </c>
    </row>
    <row r="108" spans="1:8">
      <c r="A108" s="208" t="s">
        <v>2296</v>
      </c>
      <c r="B108" s="208" t="s">
        <v>883</v>
      </c>
      <c r="C108" s="209" t="s">
        <v>2297</v>
      </c>
      <c r="D108" s="210" t="s">
        <v>2254</v>
      </c>
      <c r="E108" s="210"/>
      <c r="F108" s="210">
        <v>1</v>
      </c>
      <c r="G108" s="210">
        <v>3</v>
      </c>
      <c r="H108" s="209" t="s">
        <v>2255</v>
      </c>
    </row>
    <row r="109" spans="1:8">
      <c r="A109" s="208" t="s">
        <v>2298</v>
      </c>
      <c r="B109" s="208" t="s">
        <v>933</v>
      </c>
      <c r="C109" s="209" t="s">
        <v>2299</v>
      </c>
      <c r="D109" s="210" t="s">
        <v>2254</v>
      </c>
      <c r="E109" s="210"/>
      <c r="F109" s="210">
        <v>1</v>
      </c>
      <c r="G109" s="210">
        <v>4</v>
      </c>
      <c r="H109" s="209" t="s">
        <v>2255</v>
      </c>
    </row>
    <row r="110" spans="1:8">
      <c r="A110" s="208" t="s">
        <v>2300</v>
      </c>
      <c r="B110" s="208" t="s">
        <v>897</v>
      </c>
      <c r="C110" s="209" t="s">
        <v>2301</v>
      </c>
      <c r="D110" s="210" t="s">
        <v>2254</v>
      </c>
      <c r="E110" s="210"/>
      <c r="F110" s="210">
        <v>1</v>
      </c>
      <c r="G110" s="210">
        <v>4</v>
      </c>
      <c r="H110" s="209" t="s">
        <v>2255</v>
      </c>
    </row>
    <row r="111" spans="1:8">
      <c r="A111" s="199" t="s">
        <v>2302</v>
      </c>
      <c r="B111" s="199" t="s">
        <v>372</v>
      </c>
      <c r="C111" s="200" t="s">
        <v>2303</v>
      </c>
      <c r="D111" s="201" t="s">
        <v>2232</v>
      </c>
      <c r="E111" s="201"/>
      <c r="F111" s="201">
        <v>1</v>
      </c>
      <c r="G111" s="201">
        <v>2</v>
      </c>
      <c r="H111" s="200" t="s">
        <v>2233</v>
      </c>
    </row>
    <row r="112" spans="1:8">
      <c r="A112" s="199" t="s">
        <v>2302</v>
      </c>
      <c r="B112" s="199" t="s">
        <v>895</v>
      </c>
      <c r="C112" s="200" t="s">
        <v>2303</v>
      </c>
      <c r="D112" s="201" t="s">
        <v>2215</v>
      </c>
      <c r="E112" s="201"/>
      <c r="F112" s="201">
        <v>2</v>
      </c>
      <c r="G112" s="201">
        <v>5</v>
      </c>
      <c r="H112" s="200" t="s">
        <v>2216</v>
      </c>
    </row>
    <row r="113" spans="1:8">
      <c r="A113" s="199" t="s">
        <v>2302</v>
      </c>
      <c r="B113" s="199" t="s">
        <v>903</v>
      </c>
      <c r="C113" s="200" t="s">
        <v>2303</v>
      </c>
      <c r="D113" s="201" t="s">
        <v>2217</v>
      </c>
      <c r="E113" s="201"/>
      <c r="F113" s="201">
        <v>2</v>
      </c>
      <c r="G113" s="201">
        <v>6</v>
      </c>
      <c r="H113" s="200" t="s">
        <v>2218</v>
      </c>
    </row>
    <row r="114" spans="1:8">
      <c r="A114" s="199" t="s">
        <v>2302</v>
      </c>
      <c r="B114" s="199" t="s">
        <v>550</v>
      </c>
      <c r="C114" s="200" t="s">
        <v>2303</v>
      </c>
      <c r="D114" s="201" t="s">
        <v>2219</v>
      </c>
      <c r="E114" s="201"/>
      <c r="F114" s="201">
        <v>3</v>
      </c>
      <c r="G114" s="201">
        <v>6</v>
      </c>
      <c r="H114" s="200" t="s">
        <v>2220</v>
      </c>
    </row>
    <row r="115" spans="1:8">
      <c r="A115" s="199" t="s">
        <v>2302</v>
      </c>
      <c r="B115" s="199" t="s">
        <v>568</v>
      </c>
      <c r="C115" s="200" t="s">
        <v>2303</v>
      </c>
      <c r="D115" s="201" t="s">
        <v>2221</v>
      </c>
      <c r="E115" s="201"/>
      <c r="F115" s="201">
        <v>3</v>
      </c>
      <c r="G115" s="201">
        <v>7</v>
      </c>
      <c r="H115" s="200" t="s">
        <v>2222</v>
      </c>
    </row>
    <row r="116" spans="1:8">
      <c r="A116" s="199" t="s">
        <v>2304</v>
      </c>
      <c r="B116" s="199" t="s">
        <v>625</v>
      </c>
      <c r="C116" s="200" t="s">
        <v>2305</v>
      </c>
      <c r="D116" s="201" t="s">
        <v>2232</v>
      </c>
      <c r="E116" s="201"/>
      <c r="F116" s="201">
        <v>1</v>
      </c>
      <c r="G116" s="201">
        <v>2</v>
      </c>
      <c r="H116" s="200" t="s">
        <v>2233</v>
      </c>
    </row>
    <row r="117" spans="1:8">
      <c r="A117" s="199" t="s">
        <v>2304</v>
      </c>
      <c r="B117" s="199" t="s">
        <v>931</v>
      </c>
      <c r="C117" s="200" t="s">
        <v>2305</v>
      </c>
      <c r="D117" s="201" t="s">
        <v>2215</v>
      </c>
      <c r="E117" s="201"/>
      <c r="F117" s="201">
        <v>2</v>
      </c>
      <c r="G117" s="201">
        <v>5</v>
      </c>
      <c r="H117" s="200" t="s">
        <v>2216</v>
      </c>
    </row>
    <row r="118" spans="1:8">
      <c r="A118" s="199" t="s">
        <v>2304</v>
      </c>
      <c r="B118" s="199" t="s">
        <v>941</v>
      </c>
      <c r="C118" s="200" t="s">
        <v>2305</v>
      </c>
      <c r="D118" s="201" t="s">
        <v>2217</v>
      </c>
      <c r="E118" s="201"/>
      <c r="F118" s="201">
        <v>2</v>
      </c>
      <c r="G118" s="201">
        <v>6</v>
      </c>
      <c r="H118" s="200" t="s">
        <v>2218</v>
      </c>
    </row>
    <row r="119" spans="1:8">
      <c r="A119" s="199" t="s">
        <v>2304</v>
      </c>
      <c r="B119" s="199" t="s">
        <v>633</v>
      </c>
      <c r="C119" s="200" t="s">
        <v>2305</v>
      </c>
      <c r="D119" s="201" t="s">
        <v>2219</v>
      </c>
      <c r="E119" s="201"/>
      <c r="F119" s="201">
        <v>3</v>
      </c>
      <c r="G119" s="201">
        <v>6</v>
      </c>
      <c r="H119" s="200" t="s">
        <v>2220</v>
      </c>
    </row>
    <row r="120" spans="1:8">
      <c r="A120" s="199" t="s">
        <v>2304</v>
      </c>
      <c r="B120" s="199" t="s">
        <v>333</v>
      </c>
      <c r="C120" s="200" t="s">
        <v>2305</v>
      </c>
      <c r="D120" s="201" t="s">
        <v>2221</v>
      </c>
      <c r="E120" s="201"/>
      <c r="F120" s="201">
        <v>3</v>
      </c>
      <c r="G120" s="201">
        <v>7</v>
      </c>
      <c r="H120" s="200" t="s">
        <v>2222</v>
      </c>
    </row>
    <row r="121" spans="1:8">
      <c r="A121" s="211" t="s">
        <v>2306</v>
      </c>
      <c r="B121" s="211" t="s">
        <v>907</v>
      </c>
      <c r="C121" s="212" t="s">
        <v>2307</v>
      </c>
      <c r="D121" s="213" t="s">
        <v>2254</v>
      </c>
      <c r="E121" s="213"/>
      <c r="F121" s="213">
        <v>1</v>
      </c>
      <c r="G121" s="213">
        <v>6</v>
      </c>
      <c r="H121" s="212" t="s">
        <v>2255</v>
      </c>
    </row>
    <row r="122" spans="1:8">
      <c r="A122" s="211" t="s">
        <v>2308</v>
      </c>
      <c r="B122" s="211" t="s">
        <v>925</v>
      </c>
      <c r="C122" s="212" t="s">
        <v>2309</v>
      </c>
      <c r="D122" s="213" t="s">
        <v>2254</v>
      </c>
      <c r="E122" s="213"/>
      <c r="F122" s="213">
        <v>1</v>
      </c>
      <c r="G122" s="213">
        <v>6</v>
      </c>
      <c r="H122" s="212" t="s">
        <v>2255</v>
      </c>
    </row>
    <row r="123" spans="1:8">
      <c r="A123" s="193" t="s">
        <v>1267</v>
      </c>
      <c r="B123" s="193" t="s">
        <v>834</v>
      </c>
      <c r="C123" s="194" t="s">
        <v>2310</v>
      </c>
      <c r="D123" s="195" t="s">
        <v>1452</v>
      </c>
      <c r="E123" s="195"/>
      <c r="F123" s="195">
        <v>2</v>
      </c>
      <c r="G123" s="195">
        <v>2</v>
      </c>
      <c r="H123" s="194" t="s">
        <v>1217</v>
      </c>
    </row>
    <row r="124" spans="1:8">
      <c r="A124" s="193" t="s">
        <v>1267</v>
      </c>
      <c r="B124" s="193" t="s">
        <v>825</v>
      </c>
      <c r="C124" s="194" t="s">
        <v>2310</v>
      </c>
      <c r="D124" s="195" t="s">
        <v>2215</v>
      </c>
      <c r="E124" s="195"/>
      <c r="F124" s="195">
        <v>2</v>
      </c>
      <c r="G124" s="195">
        <v>3</v>
      </c>
      <c r="H124" s="194" t="s">
        <v>2216</v>
      </c>
    </row>
    <row r="125" spans="1:8">
      <c r="A125" s="193" t="s">
        <v>1267</v>
      </c>
      <c r="B125" s="193" t="s">
        <v>857</v>
      </c>
      <c r="C125" s="194" t="s">
        <v>2310</v>
      </c>
      <c r="D125" s="195" t="s">
        <v>2217</v>
      </c>
      <c r="E125" s="195"/>
      <c r="F125" s="195">
        <v>2</v>
      </c>
      <c r="G125" s="195">
        <v>4</v>
      </c>
      <c r="H125" s="194" t="s">
        <v>2218</v>
      </c>
    </row>
    <row r="126" spans="1:8">
      <c r="A126" s="193" t="s">
        <v>1267</v>
      </c>
      <c r="B126" s="193" t="s">
        <v>842</v>
      </c>
      <c r="C126" s="194" t="s">
        <v>2310</v>
      </c>
      <c r="D126" s="195" t="s">
        <v>2219</v>
      </c>
      <c r="E126" s="195"/>
      <c r="F126" s="195">
        <v>3</v>
      </c>
      <c r="G126" s="195">
        <v>4</v>
      </c>
      <c r="H126" s="194" t="s">
        <v>2220</v>
      </c>
    </row>
    <row r="127" spans="1:8">
      <c r="A127" s="193" t="s">
        <v>1267</v>
      </c>
      <c r="B127" s="193" t="s">
        <v>1025</v>
      </c>
      <c r="C127" s="194" t="s">
        <v>2310</v>
      </c>
      <c r="D127" s="195" t="s">
        <v>2221</v>
      </c>
      <c r="E127" s="195"/>
      <c r="F127" s="195">
        <v>3</v>
      </c>
      <c r="G127" s="195">
        <v>4</v>
      </c>
      <c r="H127" s="194" t="s">
        <v>2222</v>
      </c>
    </row>
    <row r="128" spans="1:8">
      <c r="A128" s="193" t="s">
        <v>1267</v>
      </c>
      <c r="B128" s="193" t="s">
        <v>978</v>
      </c>
      <c r="C128" s="194" t="s">
        <v>2310</v>
      </c>
      <c r="D128" s="195" t="s">
        <v>2223</v>
      </c>
      <c r="E128" s="195"/>
      <c r="F128" s="195">
        <v>3</v>
      </c>
      <c r="G128" s="195">
        <v>4</v>
      </c>
      <c r="H128" s="194" t="s">
        <v>2224</v>
      </c>
    </row>
    <row r="129" spans="1:8">
      <c r="A129" s="193" t="s">
        <v>1267</v>
      </c>
      <c r="B129" s="193" t="s">
        <v>818</v>
      </c>
      <c r="C129" s="194" t="s">
        <v>2310</v>
      </c>
      <c r="D129" s="195" t="s">
        <v>2225</v>
      </c>
      <c r="E129" s="195"/>
      <c r="F129" s="195">
        <v>2</v>
      </c>
      <c r="G129" s="195">
        <v>6</v>
      </c>
      <c r="H129" s="194" t="s">
        <v>2226</v>
      </c>
    </row>
    <row r="130" spans="1:8">
      <c r="A130" s="193" t="s">
        <v>1267</v>
      </c>
      <c r="B130" s="193" t="s">
        <v>848</v>
      </c>
      <c r="C130" s="194" t="s">
        <v>2310</v>
      </c>
      <c r="D130" s="195" t="s">
        <v>2227</v>
      </c>
      <c r="E130" s="195"/>
      <c r="F130" s="195">
        <v>2</v>
      </c>
      <c r="G130" s="195">
        <v>5</v>
      </c>
      <c r="H130" s="194" t="s">
        <v>2228</v>
      </c>
    </row>
    <row r="131" spans="1:8">
      <c r="A131" s="208" t="s">
        <v>2311</v>
      </c>
      <c r="B131" s="208" t="s">
        <v>905</v>
      </c>
      <c r="C131" s="209" t="s">
        <v>2312</v>
      </c>
      <c r="D131" s="210" t="s">
        <v>2254</v>
      </c>
      <c r="E131" s="210"/>
      <c r="F131" s="210">
        <v>1</v>
      </c>
      <c r="G131" s="210">
        <v>2</v>
      </c>
      <c r="H131" s="209" t="s">
        <v>2255</v>
      </c>
    </row>
    <row r="132" spans="1:8">
      <c r="A132" s="208" t="s">
        <v>2313</v>
      </c>
      <c r="B132" s="208" t="s">
        <v>1116</v>
      </c>
      <c r="C132" s="209" t="s">
        <v>2314</v>
      </c>
      <c r="D132" s="210" t="s">
        <v>2254</v>
      </c>
      <c r="E132" s="210"/>
      <c r="F132" s="210">
        <v>1</v>
      </c>
      <c r="G132" s="210">
        <v>2</v>
      </c>
      <c r="H132" s="209" t="s">
        <v>2255</v>
      </c>
    </row>
    <row r="133" spans="1:8">
      <c r="A133" s="208" t="s">
        <v>2315</v>
      </c>
      <c r="B133" s="208" t="s">
        <v>943</v>
      </c>
      <c r="C133" s="209" t="s">
        <v>2316</v>
      </c>
      <c r="D133" s="210" t="s">
        <v>2254</v>
      </c>
      <c r="E133" s="210"/>
      <c r="F133" s="210">
        <v>1</v>
      </c>
      <c r="G133" s="210">
        <v>2</v>
      </c>
      <c r="H133" s="209" t="s">
        <v>2255</v>
      </c>
    </row>
    <row r="134" spans="1:8">
      <c r="A134" s="202" t="s">
        <v>863</v>
      </c>
      <c r="B134" s="202" t="s">
        <v>947</v>
      </c>
      <c r="C134" s="203" t="s">
        <v>2317</v>
      </c>
      <c r="D134" s="204" t="s">
        <v>2215</v>
      </c>
      <c r="E134" s="204"/>
      <c r="F134" s="204">
        <v>2</v>
      </c>
      <c r="G134" s="204">
        <v>3</v>
      </c>
      <c r="H134" s="203" t="s">
        <v>2216</v>
      </c>
    </row>
    <row r="135" spans="1:8">
      <c r="A135" s="202" t="s">
        <v>863</v>
      </c>
      <c r="B135" s="202" t="s">
        <v>957</v>
      </c>
      <c r="C135" s="203" t="s">
        <v>2317</v>
      </c>
      <c r="D135" s="204" t="s">
        <v>2217</v>
      </c>
      <c r="E135" s="204"/>
      <c r="F135" s="204">
        <v>2</v>
      </c>
      <c r="G135" s="204">
        <v>4</v>
      </c>
      <c r="H135" s="203" t="s">
        <v>2218</v>
      </c>
    </row>
    <row r="136" spans="1:8">
      <c r="A136" s="202" t="s">
        <v>863</v>
      </c>
      <c r="B136" s="202" t="s">
        <v>673</v>
      </c>
      <c r="C136" s="203" t="s">
        <v>2317</v>
      </c>
      <c r="D136" s="204" t="s">
        <v>2219</v>
      </c>
      <c r="E136" s="204"/>
      <c r="F136" s="204">
        <v>3</v>
      </c>
      <c r="G136" s="204">
        <v>4</v>
      </c>
      <c r="H136" s="203" t="s">
        <v>2220</v>
      </c>
    </row>
    <row r="137" spans="1:8">
      <c r="A137" s="202" t="s">
        <v>863</v>
      </c>
      <c r="B137" s="202" t="s">
        <v>695</v>
      </c>
      <c r="C137" s="203" t="s">
        <v>2317</v>
      </c>
      <c r="D137" s="204" t="s">
        <v>2221</v>
      </c>
      <c r="E137" s="204"/>
      <c r="F137" s="204">
        <v>3</v>
      </c>
      <c r="G137" s="204">
        <v>5</v>
      </c>
      <c r="H137" s="203" t="s">
        <v>2222</v>
      </c>
    </row>
    <row r="138" spans="1:8">
      <c r="A138" s="202" t="s">
        <v>863</v>
      </c>
      <c r="B138" s="202" t="s">
        <v>361</v>
      </c>
      <c r="C138" s="203" t="s">
        <v>2317</v>
      </c>
      <c r="D138" s="204" t="s">
        <v>2223</v>
      </c>
      <c r="E138" s="204"/>
      <c r="F138" s="204">
        <v>3</v>
      </c>
      <c r="G138" s="204">
        <v>5</v>
      </c>
      <c r="H138" s="203" t="s">
        <v>2224</v>
      </c>
    </row>
    <row r="139" spans="1:8">
      <c r="A139" s="202" t="s">
        <v>863</v>
      </c>
      <c r="B139" s="202" t="s">
        <v>449</v>
      </c>
      <c r="C139" s="203" t="s">
        <v>2317</v>
      </c>
      <c r="D139" s="204" t="s">
        <v>2225</v>
      </c>
      <c r="E139" s="204"/>
      <c r="F139" s="204">
        <v>2</v>
      </c>
      <c r="G139" s="204">
        <v>6</v>
      </c>
      <c r="H139" s="203" t="s">
        <v>2226</v>
      </c>
    </row>
    <row r="140" spans="1:8">
      <c r="A140" s="202" t="s">
        <v>863</v>
      </c>
      <c r="B140" s="202" t="s">
        <v>953</v>
      </c>
      <c r="C140" s="203" t="s">
        <v>2317</v>
      </c>
      <c r="D140" s="204" t="s">
        <v>2227</v>
      </c>
      <c r="E140" s="204"/>
      <c r="F140" s="204">
        <v>2</v>
      </c>
      <c r="G140" s="204">
        <v>6</v>
      </c>
      <c r="H140" s="203" t="s">
        <v>2228</v>
      </c>
    </row>
    <row r="141" spans="1:8">
      <c r="A141" s="202" t="s">
        <v>2318</v>
      </c>
      <c r="B141" s="202" t="s">
        <v>948</v>
      </c>
      <c r="C141" s="203" t="s">
        <v>2319</v>
      </c>
      <c r="D141" s="204" t="s">
        <v>2215</v>
      </c>
      <c r="E141" s="204"/>
      <c r="F141" s="204">
        <v>2</v>
      </c>
      <c r="G141" s="204">
        <v>3</v>
      </c>
      <c r="H141" s="203" t="s">
        <v>2216</v>
      </c>
    </row>
    <row r="142" spans="1:8">
      <c r="A142" s="202" t="s">
        <v>2318</v>
      </c>
      <c r="B142" s="202" t="s">
        <v>958</v>
      </c>
      <c r="C142" s="203" t="s">
        <v>2319</v>
      </c>
      <c r="D142" s="204" t="s">
        <v>2286</v>
      </c>
      <c r="E142" s="204"/>
      <c r="F142" s="204">
        <v>2</v>
      </c>
      <c r="G142" s="204">
        <v>4</v>
      </c>
      <c r="H142" s="203" t="s">
        <v>2287</v>
      </c>
    </row>
    <row r="143" spans="1:8">
      <c r="A143" s="202" t="s">
        <v>2318</v>
      </c>
      <c r="B143" s="202" t="s">
        <v>675</v>
      </c>
      <c r="C143" s="203" t="s">
        <v>2319</v>
      </c>
      <c r="D143" s="204" t="s">
        <v>2219</v>
      </c>
      <c r="E143" s="204"/>
      <c r="F143" s="204">
        <v>3</v>
      </c>
      <c r="G143" s="204">
        <v>4</v>
      </c>
      <c r="H143" s="203" t="s">
        <v>2220</v>
      </c>
    </row>
    <row r="144" spans="1:8">
      <c r="A144" s="202" t="s">
        <v>2320</v>
      </c>
      <c r="B144" s="202" t="s">
        <v>946</v>
      </c>
      <c r="C144" s="203" t="s">
        <v>2321</v>
      </c>
      <c r="D144" s="204" t="s">
        <v>2215</v>
      </c>
      <c r="E144" s="204"/>
      <c r="F144" s="204">
        <v>2</v>
      </c>
      <c r="G144" s="204">
        <v>3</v>
      </c>
      <c r="H144" s="203" t="s">
        <v>2216</v>
      </c>
    </row>
    <row r="145" spans="1:8">
      <c r="A145" s="202" t="s">
        <v>2320</v>
      </c>
      <c r="B145" s="202" t="s">
        <v>956</v>
      </c>
      <c r="C145" s="203" t="s">
        <v>2321</v>
      </c>
      <c r="D145" s="204" t="s">
        <v>2217</v>
      </c>
      <c r="E145" s="204"/>
      <c r="F145" s="204">
        <v>2</v>
      </c>
      <c r="G145" s="204">
        <v>4</v>
      </c>
      <c r="H145" s="203" t="s">
        <v>2218</v>
      </c>
    </row>
    <row r="146" spans="1:8">
      <c r="A146" s="202" t="s">
        <v>2320</v>
      </c>
      <c r="B146" s="202" t="s">
        <v>671</v>
      </c>
      <c r="C146" s="203" t="s">
        <v>2321</v>
      </c>
      <c r="D146" s="204" t="s">
        <v>2219</v>
      </c>
      <c r="E146" s="204"/>
      <c r="F146" s="204">
        <v>3</v>
      </c>
      <c r="G146" s="204">
        <v>4</v>
      </c>
      <c r="H146" s="203" t="s">
        <v>2220</v>
      </c>
    </row>
    <row r="147" spans="1:8">
      <c r="A147" s="196" t="s">
        <v>2322</v>
      </c>
      <c r="B147" s="196" t="s">
        <v>180</v>
      </c>
      <c r="C147" s="197" t="s">
        <v>2323</v>
      </c>
      <c r="D147" s="198" t="s">
        <v>2254</v>
      </c>
      <c r="E147" s="198"/>
      <c r="F147" s="198">
        <v>1</v>
      </c>
      <c r="G147" s="198">
        <v>2</v>
      </c>
      <c r="H147" s="197" t="s">
        <v>2255</v>
      </c>
    </row>
    <row r="148" spans="1:8">
      <c r="A148" s="196" t="s">
        <v>2324</v>
      </c>
      <c r="B148" s="196" t="s">
        <v>717</v>
      </c>
      <c r="C148" s="197" t="s">
        <v>2325</v>
      </c>
      <c r="D148" s="198" t="s">
        <v>2254</v>
      </c>
      <c r="E148" s="198"/>
      <c r="F148" s="198">
        <v>1</v>
      </c>
      <c r="G148" s="198">
        <v>2</v>
      </c>
      <c r="H148" s="197" t="s">
        <v>2255</v>
      </c>
    </row>
    <row r="149" spans="1:8">
      <c r="A149" s="196" t="s">
        <v>2326</v>
      </c>
      <c r="B149" s="196" t="s">
        <v>742</v>
      </c>
      <c r="C149" s="197" t="s">
        <v>2327</v>
      </c>
      <c r="D149" s="198" t="s">
        <v>2254</v>
      </c>
      <c r="E149" s="198"/>
      <c r="F149" s="198">
        <v>1</v>
      </c>
      <c r="G149" s="198">
        <v>2</v>
      </c>
      <c r="H149" s="197" t="s">
        <v>2255</v>
      </c>
    </row>
    <row r="150" spans="1:8">
      <c r="A150" s="196" t="s">
        <v>2328</v>
      </c>
      <c r="B150" s="196" t="s">
        <v>667</v>
      </c>
      <c r="C150" s="197" t="s">
        <v>2329</v>
      </c>
      <c r="D150" s="198" t="s">
        <v>2254</v>
      </c>
      <c r="E150" s="198"/>
      <c r="F150" s="198">
        <v>1</v>
      </c>
      <c r="G150" s="198">
        <v>2</v>
      </c>
      <c r="H150" s="197" t="s">
        <v>2255</v>
      </c>
    </row>
    <row r="151" spans="1:8">
      <c r="A151" s="196" t="s">
        <v>2330</v>
      </c>
      <c r="B151" s="196" t="s">
        <v>689</v>
      </c>
      <c r="C151" s="197" t="s">
        <v>2331</v>
      </c>
      <c r="D151" s="198" t="s">
        <v>2254</v>
      </c>
      <c r="E151" s="198"/>
      <c r="F151" s="198">
        <v>1</v>
      </c>
      <c r="G151" s="198">
        <v>2</v>
      </c>
      <c r="H151" s="197" t="s">
        <v>2255</v>
      </c>
    </row>
    <row r="152" spans="1:8" ht="15" customHeight="1">
      <c r="A152" s="196" t="s">
        <v>2332</v>
      </c>
      <c r="B152" s="196" t="s">
        <v>960</v>
      </c>
      <c r="C152" s="197" t="s">
        <v>2333</v>
      </c>
      <c r="D152" s="198" t="s">
        <v>2254</v>
      </c>
      <c r="E152" s="198"/>
      <c r="F152" s="198">
        <v>1</v>
      </c>
      <c r="G152" s="198">
        <v>2</v>
      </c>
      <c r="H152" s="197" t="s">
        <v>2255</v>
      </c>
    </row>
  </sheetData>
  <autoFilter ref="A1:H152" xr:uid="{00000000-0009-0000-0000-000000000000}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4016-EF1A-4DD8-9CFE-88415599A47F}">
  <sheetPr codeName="Sheet12"/>
  <dimension ref="A1:F152"/>
  <sheetViews>
    <sheetView workbookViewId="0">
      <pane ySplit="1" topLeftCell="A117" activePane="bottomLeft" state="frozen"/>
      <selection activeCell="F4" sqref="F4"/>
      <selection pane="bottomLeft" activeCell="F4" sqref="F4"/>
    </sheetView>
  </sheetViews>
  <sheetFormatPr defaultRowHeight="15"/>
  <cols>
    <col min="1" max="1" width="7" customWidth="1"/>
    <col min="2" max="2" width="11" customWidth="1"/>
    <col min="3" max="3" width="16" customWidth="1"/>
    <col min="4" max="5" width="7" customWidth="1"/>
    <col min="6" max="6" width="32" customWidth="1"/>
  </cols>
  <sheetData>
    <row r="1" spans="1:6">
      <c r="A1" s="192" t="s">
        <v>132</v>
      </c>
      <c r="B1" s="192" t="s">
        <v>2</v>
      </c>
      <c r="C1" s="192" t="s">
        <v>2213</v>
      </c>
      <c r="D1" s="192" t="s">
        <v>496</v>
      </c>
      <c r="E1" s="192" t="s">
        <v>497</v>
      </c>
      <c r="F1" s="192" t="s">
        <v>3</v>
      </c>
    </row>
    <row r="2" spans="1:6">
      <c r="A2" s="205" t="s">
        <v>215</v>
      </c>
      <c r="B2" s="205" t="s">
        <v>2252</v>
      </c>
      <c r="C2" s="207" t="s">
        <v>2255</v>
      </c>
      <c r="D2" s="207">
        <v>1</v>
      </c>
      <c r="E2" s="207">
        <v>7</v>
      </c>
      <c r="F2" s="206" t="s">
        <v>2253</v>
      </c>
    </row>
    <row r="3" spans="1:6">
      <c r="A3" s="196" t="s">
        <v>295</v>
      </c>
      <c r="B3" s="196" t="s">
        <v>262</v>
      </c>
      <c r="C3" s="198" t="s">
        <v>2226</v>
      </c>
      <c r="D3" s="198">
        <v>2</v>
      </c>
      <c r="E3" s="198">
        <v>6</v>
      </c>
      <c r="F3" s="197" t="s">
        <v>2293</v>
      </c>
    </row>
    <row r="4" spans="1:6">
      <c r="A4" s="196" t="s">
        <v>880</v>
      </c>
      <c r="B4" s="196" t="s">
        <v>262</v>
      </c>
      <c r="C4" s="198" t="s">
        <v>2216</v>
      </c>
      <c r="D4" s="198">
        <v>2</v>
      </c>
      <c r="E4" s="198">
        <v>3</v>
      </c>
      <c r="F4" s="197" t="s">
        <v>2293</v>
      </c>
    </row>
    <row r="5" spans="1:6">
      <c r="A5" s="199" t="s">
        <v>881</v>
      </c>
      <c r="B5" s="199" t="s">
        <v>2230</v>
      </c>
      <c r="C5" s="201" t="s">
        <v>2216</v>
      </c>
      <c r="D5" s="201">
        <v>2</v>
      </c>
      <c r="E5" s="201">
        <v>5</v>
      </c>
      <c r="F5" s="200" t="s">
        <v>2231</v>
      </c>
    </row>
    <row r="6" spans="1:6">
      <c r="A6" s="208" t="s">
        <v>883</v>
      </c>
      <c r="B6" s="208" t="s">
        <v>2296</v>
      </c>
      <c r="C6" s="210" t="s">
        <v>2255</v>
      </c>
      <c r="D6" s="210">
        <v>1</v>
      </c>
      <c r="E6" s="210">
        <v>3</v>
      </c>
      <c r="F6" s="209" t="s">
        <v>2297</v>
      </c>
    </row>
    <row r="7" spans="1:6">
      <c r="A7" s="196" t="s">
        <v>457</v>
      </c>
      <c r="B7" s="196" t="s">
        <v>262</v>
      </c>
      <c r="C7" s="198" t="s">
        <v>1217</v>
      </c>
      <c r="D7" s="198">
        <v>2</v>
      </c>
      <c r="E7" s="198">
        <v>2</v>
      </c>
      <c r="F7" s="197" t="s">
        <v>2293</v>
      </c>
    </row>
    <row r="8" spans="1:6">
      <c r="A8" s="199" t="s">
        <v>335</v>
      </c>
      <c r="B8" s="199" t="s">
        <v>2230</v>
      </c>
      <c r="C8" s="201" t="s">
        <v>2233</v>
      </c>
      <c r="D8" s="201">
        <v>1</v>
      </c>
      <c r="E8" s="201">
        <v>2</v>
      </c>
      <c r="F8" s="200" t="s">
        <v>2231</v>
      </c>
    </row>
    <row r="9" spans="1:6">
      <c r="A9" s="196" t="s">
        <v>511</v>
      </c>
      <c r="B9" s="196" t="s">
        <v>262</v>
      </c>
      <c r="C9" s="198" t="s">
        <v>2220</v>
      </c>
      <c r="D9" s="198">
        <v>3</v>
      </c>
      <c r="E9" s="198">
        <v>4</v>
      </c>
      <c r="F9" s="197" t="s">
        <v>2293</v>
      </c>
    </row>
    <row r="10" spans="1:6">
      <c r="A10" s="199" t="s">
        <v>444</v>
      </c>
      <c r="B10" s="199" t="s">
        <v>2230</v>
      </c>
      <c r="C10" s="201" t="s">
        <v>2220</v>
      </c>
      <c r="D10" s="201">
        <v>3</v>
      </c>
      <c r="E10" s="201">
        <v>6</v>
      </c>
      <c r="F10" s="200" t="s">
        <v>2231</v>
      </c>
    </row>
    <row r="11" spans="1:6">
      <c r="A11" s="202" t="s">
        <v>231</v>
      </c>
      <c r="B11" s="202" t="s">
        <v>2245</v>
      </c>
      <c r="C11" s="204" t="s">
        <v>2236</v>
      </c>
      <c r="D11" s="204">
        <v>2</v>
      </c>
      <c r="E11" s="204">
        <v>2</v>
      </c>
      <c r="F11" s="203" t="s">
        <v>2246</v>
      </c>
    </row>
    <row r="12" spans="1:6">
      <c r="A12" s="196" t="s">
        <v>201</v>
      </c>
      <c r="B12" s="196" t="s">
        <v>262</v>
      </c>
      <c r="C12" s="198" t="s">
        <v>2228</v>
      </c>
      <c r="D12" s="198">
        <v>2</v>
      </c>
      <c r="E12" s="198">
        <v>5</v>
      </c>
      <c r="F12" s="197" t="s">
        <v>2293</v>
      </c>
    </row>
    <row r="13" spans="1:6">
      <c r="A13" s="196" t="s">
        <v>886</v>
      </c>
      <c r="B13" s="196" t="s">
        <v>262</v>
      </c>
      <c r="C13" s="198" t="s">
        <v>2218</v>
      </c>
      <c r="D13" s="198">
        <v>2</v>
      </c>
      <c r="E13" s="198">
        <v>4</v>
      </c>
      <c r="F13" s="197" t="s">
        <v>2293</v>
      </c>
    </row>
    <row r="14" spans="1:6">
      <c r="A14" s="199" t="s">
        <v>887</v>
      </c>
      <c r="B14" s="199" t="s">
        <v>2230</v>
      </c>
      <c r="C14" s="201" t="s">
        <v>2218</v>
      </c>
      <c r="D14" s="201">
        <v>2</v>
      </c>
      <c r="E14" s="201">
        <v>6</v>
      </c>
      <c r="F14" s="200" t="s">
        <v>2231</v>
      </c>
    </row>
    <row r="15" spans="1:6">
      <c r="A15" s="208" t="s">
        <v>474</v>
      </c>
      <c r="B15" s="208" t="s">
        <v>2256</v>
      </c>
      <c r="C15" s="210" t="s">
        <v>2255</v>
      </c>
      <c r="D15" s="210">
        <v>1</v>
      </c>
      <c r="E15" s="210">
        <v>2</v>
      </c>
      <c r="F15" s="209" t="s">
        <v>2257</v>
      </c>
    </row>
    <row r="16" spans="1:6">
      <c r="A16" s="196" t="s">
        <v>889</v>
      </c>
      <c r="B16" s="196" t="s">
        <v>262</v>
      </c>
      <c r="C16" s="198" t="s">
        <v>2224</v>
      </c>
      <c r="D16" s="198">
        <v>3</v>
      </c>
      <c r="E16" s="198">
        <v>4</v>
      </c>
      <c r="F16" s="197" t="s">
        <v>2293</v>
      </c>
    </row>
    <row r="17" spans="1:6">
      <c r="A17" s="196" t="s">
        <v>529</v>
      </c>
      <c r="B17" s="196" t="s">
        <v>262</v>
      </c>
      <c r="C17" s="198" t="s">
        <v>2222</v>
      </c>
      <c r="D17" s="198">
        <v>3</v>
      </c>
      <c r="E17" s="198">
        <v>4</v>
      </c>
      <c r="F17" s="197" t="s">
        <v>2293</v>
      </c>
    </row>
    <row r="18" spans="1:6">
      <c r="A18" s="199" t="s">
        <v>531</v>
      </c>
      <c r="B18" s="199" t="s">
        <v>2230</v>
      </c>
      <c r="C18" s="201" t="s">
        <v>2222</v>
      </c>
      <c r="D18" s="201">
        <v>3</v>
      </c>
      <c r="E18" s="201">
        <v>7</v>
      </c>
      <c r="F18" s="200" t="s">
        <v>2231</v>
      </c>
    </row>
    <row r="19" spans="1:6">
      <c r="A19" s="211" t="s">
        <v>890</v>
      </c>
      <c r="B19" s="211" t="s">
        <v>2281</v>
      </c>
      <c r="C19" s="213" t="s">
        <v>2220</v>
      </c>
      <c r="D19" s="213">
        <v>3</v>
      </c>
      <c r="E19" s="213">
        <v>6</v>
      </c>
      <c r="F19" s="212" t="s">
        <v>2282</v>
      </c>
    </row>
    <row r="20" spans="1:6">
      <c r="A20" s="196" t="s">
        <v>891</v>
      </c>
      <c r="B20" s="196" t="s">
        <v>1276</v>
      </c>
      <c r="C20" s="198" t="s">
        <v>2226</v>
      </c>
      <c r="D20" s="198">
        <v>2</v>
      </c>
      <c r="E20" s="198">
        <v>6</v>
      </c>
      <c r="F20" s="197" t="s">
        <v>2229</v>
      </c>
    </row>
    <row r="21" spans="1:6">
      <c r="A21" s="196" t="s">
        <v>893</v>
      </c>
      <c r="B21" s="196" t="s">
        <v>1143</v>
      </c>
      <c r="C21" s="198" t="s">
        <v>2216</v>
      </c>
      <c r="D21" s="198">
        <v>2</v>
      </c>
      <c r="E21" s="198">
        <v>3</v>
      </c>
      <c r="F21" s="197" t="s">
        <v>2251</v>
      </c>
    </row>
    <row r="22" spans="1:6">
      <c r="A22" s="196" t="s">
        <v>894</v>
      </c>
      <c r="B22" s="196" t="s">
        <v>1276</v>
      </c>
      <c r="C22" s="198" t="s">
        <v>2216</v>
      </c>
      <c r="D22" s="198">
        <v>2</v>
      </c>
      <c r="E22" s="198">
        <v>3</v>
      </c>
      <c r="F22" s="197" t="s">
        <v>2229</v>
      </c>
    </row>
    <row r="23" spans="1:6">
      <c r="A23" s="199" t="s">
        <v>895</v>
      </c>
      <c r="B23" s="199" t="s">
        <v>2302</v>
      </c>
      <c r="C23" s="201" t="s">
        <v>2216</v>
      </c>
      <c r="D23" s="201">
        <v>2</v>
      </c>
      <c r="E23" s="201">
        <v>5</v>
      </c>
      <c r="F23" s="200" t="s">
        <v>2303</v>
      </c>
    </row>
    <row r="24" spans="1:6">
      <c r="A24" s="208" t="s">
        <v>897</v>
      </c>
      <c r="B24" s="208" t="s">
        <v>2300</v>
      </c>
      <c r="C24" s="210" t="s">
        <v>2255</v>
      </c>
      <c r="D24" s="210">
        <v>1</v>
      </c>
      <c r="E24" s="210">
        <v>4</v>
      </c>
      <c r="F24" s="209" t="s">
        <v>2301</v>
      </c>
    </row>
    <row r="25" spans="1:6">
      <c r="A25" s="196" t="s">
        <v>898</v>
      </c>
      <c r="B25" s="196" t="s">
        <v>1276</v>
      </c>
      <c r="C25" s="198" t="s">
        <v>1217</v>
      </c>
      <c r="D25" s="198">
        <v>2</v>
      </c>
      <c r="E25" s="198">
        <v>2</v>
      </c>
      <c r="F25" s="197" t="s">
        <v>2229</v>
      </c>
    </row>
    <row r="26" spans="1:6">
      <c r="A26" s="199" t="s">
        <v>372</v>
      </c>
      <c r="B26" s="199" t="s">
        <v>2302</v>
      </c>
      <c r="C26" s="201" t="s">
        <v>2233</v>
      </c>
      <c r="D26" s="201">
        <v>1</v>
      </c>
      <c r="E26" s="201">
        <v>2</v>
      </c>
      <c r="F26" s="200" t="s">
        <v>2303</v>
      </c>
    </row>
    <row r="27" spans="1:6">
      <c r="A27" s="196" t="s">
        <v>546</v>
      </c>
      <c r="B27" s="196" t="s">
        <v>1143</v>
      </c>
      <c r="C27" s="198" t="s">
        <v>2220</v>
      </c>
      <c r="D27" s="198">
        <v>3</v>
      </c>
      <c r="E27" s="198">
        <v>4</v>
      </c>
      <c r="F27" s="197" t="s">
        <v>2251</v>
      </c>
    </row>
    <row r="28" spans="1:6">
      <c r="A28" s="196" t="s">
        <v>548</v>
      </c>
      <c r="B28" s="196" t="s">
        <v>1276</v>
      </c>
      <c r="C28" s="198" t="s">
        <v>2220</v>
      </c>
      <c r="D28" s="198">
        <v>3</v>
      </c>
      <c r="E28" s="198">
        <v>4</v>
      </c>
      <c r="F28" s="197" t="s">
        <v>2229</v>
      </c>
    </row>
    <row r="29" spans="1:6">
      <c r="A29" s="199" t="s">
        <v>550</v>
      </c>
      <c r="B29" s="199" t="s">
        <v>2302</v>
      </c>
      <c r="C29" s="201" t="s">
        <v>2220</v>
      </c>
      <c r="D29" s="201">
        <v>3</v>
      </c>
      <c r="E29" s="201">
        <v>6</v>
      </c>
      <c r="F29" s="200" t="s">
        <v>2303</v>
      </c>
    </row>
    <row r="30" spans="1:6">
      <c r="A30" s="202" t="s">
        <v>899</v>
      </c>
      <c r="B30" s="202" t="s">
        <v>2241</v>
      </c>
      <c r="C30" s="204" t="s">
        <v>2236</v>
      </c>
      <c r="D30" s="204">
        <v>2</v>
      </c>
      <c r="E30" s="204">
        <v>2</v>
      </c>
      <c r="F30" s="203" t="s">
        <v>2242</v>
      </c>
    </row>
    <row r="31" spans="1:6">
      <c r="A31" s="196" t="s">
        <v>900</v>
      </c>
      <c r="B31" s="196" t="s">
        <v>1276</v>
      </c>
      <c r="C31" s="198" t="s">
        <v>2228</v>
      </c>
      <c r="D31" s="198">
        <v>2</v>
      </c>
      <c r="E31" s="198">
        <v>5</v>
      </c>
      <c r="F31" s="197" t="s">
        <v>2229</v>
      </c>
    </row>
    <row r="32" spans="1:6">
      <c r="A32" s="196" t="s">
        <v>902</v>
      </c>
      <c r="B32" s="196" t="s">
        <v>1276</v>
      </c>
      <c r="C32" s="198" t="s">
        <v>2218</v>
      </c>
      <c r="D32" s="198">
        <v>2</v>
      </c>
      <c r="E32" s="198">
        <v>4</v>
      </c>
      <c r="F32" s="197" t="s">
        <v>2229</v>
      </c>
    </row>
    <row r="33" spans="1:6">
      <c r="A33" s="199" t="s">
        <v>903</v>
      </c>
      <c r="B33" s="199" t="s">
        <v>2302</v>
      </c>
      <c r="C33" s="201" t="s">
        <v>2218</v>
      </c>
      <c r="D33" s="201">
        <v>2</v>
      </c>
      <c r="E33" s="201">
        <v>6</v>
      </c>
      <c r="F33" s="200" t="s">
        <v>2303</v>
      </c>
    </row>
    <row r="34" spans="1:6">
      <c r="A34" s="208" t="s">
        <v>905</v>
      </c>
      <c r="B34" s="208" t="s">
        <v>2311</v>
      </c>
      <c r="C34" s="210" t="s">
        <v>2255</v>
      </c>
      <c r="D34" s="210">
        <v>1</v>
      </c>
      <c r="E34" s="210">
        <v>2</v>
      </c>
      <c r="F34" s="209" t="s">
        <v>2312</v>
      </c>
    </row>
    <row r="35" spans="1:6">
      <c r="A35" s="196" t="s">
        <v>906</v>
      </c>
      <c r="B35" s="196" t="s">
        <v>1276</v>
      </c>
      <c r="C35" s="198" t="s">
        <v>2224</v>
      </c>
      <c r="D35" s="198">
        <v>3</v>
      </c>
      <c r="E35" s="198">
        <v>4</v>
      </c>
      <c r="F35" s="197" t="s">
        <v>2229</v>
      </c>
    </row>
    <row r="36" spans="1:6">
      <c r="A36" s="196" t="s">
        <v>566</v>
      </c>
      <c r="B36" s="196" t="s">
        <v>1276</v>
      </c>
      <c r="C36" s="198" t="s">
        <v>2222</v>
      </c>
      <c r="D36" s="198">
        <v>3</v>
      </c>
      <c r="E36" s="198">
        <v>4</v>
      </c>
      <c r="F36" s="197" t="s">
        <v>2229</v>
      </c>
    </row>
    <row r="37" spans="1:6">
      <c r="A37" s="199" t="s">
        <v>568</v>
      </c>
      <c r="B37" s="199" t="s">
        <v>2302</v>
      </c>
      <c r="C37" s="201" t="s">
        <v>2222</v>
      </c>
      <c r="D37" s="201">
        <v>3</v>
      </c>
      <c r="E37" s="201">
        <v>7</v>
      </c>
      <c r="F37" s="200" t="s">
        <v>2303</v>
      </c>
    </row>
    <row r="38" spans="1:6">
      <c r="A38" s="211" t="s">
        <v>907</v>
      </c>
      <c r="B38" s="211" t="s">
        <v>2306</v>
      </c>
      <c r="C38" s="213" t="s">
        <v>2255</v>
      </c>
      <c r="D38" s="213">
        <v>1</v>
      </c>
      <c r="E38" s="213">
        <v>6</v>
      </c>
      <c r="F38" s="212" t="s">
        <v>2307</v>
      </c>
    </row>
    <row r="39" spans="1:6">
      <c r="A39" s="196" t="s">
        <v>908</v>
      </c>
      <c r="B39" s="196" t="s">
        <v>2274</v>
      </c>
      <c r="C39" s="198" t="s">
        <v>2226</v>
      </c>
      <c r="D39" s="198">
        <v>2</v>
      </c>
      <c r="E39" s="198">
        <v>6</v>
      </c>
      <c r="F39" s="197" t="s">
        <v>2275</v>
      </c>
    </row>
    <row r="40" spans="1:6">
      <c r="A40" s="196" t="s">
        <v>911</v>
      </c>
      <c r="B40" s="196" t="s">
        <v>2274</v>
      </c>
      <c r="C40" s="198" t="s">
        <v>2216</v>
      </c>
      <c r="D40" s="198">
        <v>2</v>
      </c>
      <c r="E40" s="198">
        <v>3</v>
      </c>
      <c r="F40" s="197" t="s">
        <v>2275</v>
      </c>
    </row>
    <row r="41" spans="1:6">
      <c r="A41" s="199" t="s">
        <v>912</v>
      </c>
      <c r="B41" s="199" t="s">
        <v>2290</v>
      </c>
      <c r="C41" s="201" t="s">
        <v>2216</v>
      </c>
      <c r="D41" s="201">
        <v>2</v>
      </c>
      <c r="E41" s="201">
        <v>5</v>
      </c>
      <c r="F41" s="200" t="s">
        <v>2291</v>
      </c>
    </row>
    <row r="42" spans="1:6">
      <c r="A42" s="208" t="s">
        <v>914</v>
      </c>
      <c r="B42" s="208" t="s">
        <v>2294</v>
      </c>
      <c r="C42" s="210" t="s">
        <v>2255</v>
      </c>
      <c r="D42" s="210">
        <v>1</v>
      </c>
      <c r="E42" s="210">
        <v>3</v>
      </c>
      <c r="F42" s="209" t="s">
        <v>2295</v>
      </c>
    </row>
    <row r="43" spans="1:6">
      <c r="A43" s="196" t="s">
        <v>915</v>
      </c>
      <c r="B43" s="196" t="s">
        <v>2274</v>
      </c>
      <c r="C43" s="198" t="s">
        <v>1217</v>
      </c>
      <c r="D43" s="198">
        <v>2</v>
      </c>
      <c r="E43" s="198">
        <v>2</v>
      </c>
      <c r="F43" s="197" t="s">
        <v>2275</v>
      </c>
    </row>
    <row r="44" spans="1:6">
      <c r="A44" s="199" t="s">
        <v>582</v>
      </c>
      <c r="B44" s="199" t="s">
        <v>2290</v>
      </c>
      <c r="C44" s="201" t="s">
        <v>2233</v>
      </c>
      <c r="D44" s="201">
        <v>1</v>
      </c>
      <c r="E44" s="201">
        <v>2</v>
      </c>
      <c r="F44" s="200" t="s">
        <v>2291</v>
      </c>
    </row>
    <row r="45" spans="1:6">
      <c r="A45" s="211" t="s">
        <v>586</v>
      </c>
      <c r="B45" s="211" t="s">
        <v>347</v>
      </c>
      <c r="C45" s="213" t="s">
        <v>2220</v>
      </c>
      <c r="D45" s="213">
        <v>3</v>
      </c>
      <c r="E45" s="213">
        <v>3</v>
      </c>
      <c r="F45" s="212" t="s">
        <v>1227</v>
      </c>
    </row>
    <row r="46" spans="1:6">
      <c r="A46" s="196" t="s">
        <v>588</v>
      </c>
      <c r="B46" s="196" t="s">
        <v>2274</v>
      </c>
      <c r="C46" s="198" t="s">
        <v>2220</v>
      </c>
      <c r="D46" s="198">
        <v>3</v>
      </c>
      <c r="E46" s="198">
        <v>4</v>
      </c>
      <c r="F46" s="197" t="s">
        <v>2275</v>
      </c>
    </row>
    <row r="47" spans="1:6">
      <c r="A47" s="199" t="s">
        <v>590</v>
      </c>
      <c r="B47" s="199" t="s">
        <v>2290</v>
      </c>
      <c r="C47" s="201" t="s">
        <v>2220</v>
      </c>
      <c r="D47" s="201">
        <v>3</v>
      </c>
      <c r="E47" s="201">
        <v>6</v>
      </c>
      <c r="F47" s="200" t="s">
        <v>2291</v>
      </c>
    </row>
    <row r="48" spans="1:6">
      <c r="A48" s="202" t="s">
        <v>916</v>
      </c>
      <c r="B48" s="202" t="s">
        <v>2247</v>
      </c>
      <c r="C48" s="204" t="s">
        <v>2236</v>
      </c>
      <c r="D48" s="204">
        <v>2</v>
      </c>
      <c r="E48" s="204">
        <v>2</v>
      </c>
      <c r="F48" s="203" t="s">
        <v>2248</v>
      </c>
    </row>
    <row r="49" spans="1:6">
      <c r="A49" s="196" t="s">
        <v>917</v>
      </c>
      <c r="B49" s="196" t="s">
        <v>2274</v>
      </c>
      <c r="C49" s="198" t="s">
        <v>2228</v>
      </c>
      <c r="D49" s="198">
        <v>2</v>
      </c>
      <c r="E49" s="198">
        <v>5</v>
      </c>
      <c r="F49" s="197" t="s">
        <v>2275</v>
      </c>
    </row>
    <row r="50" spans="1:6">
      <c r="A50" s="196" t="s">
        <v>185</v>
      </c>
      <c r="B50" s="196" t="s">
        <v>2274</v>
      </c>
      <c r="C50" s="198" t="s">
        <v>2218</v>
      </c>
      <c r="D50" s="198">
        <v>2</v>
      </c>
      <c r="E50" s="198">
        <v>4</v>
      </c>
      <c r="F50" s="197" t="s">
        <v>2275</v>
      </c>
    </row>
    <row r="51" spans="1:6">
      <c r="A51" s="199" t="s">
        <v>921</v>
      </c>
      <c r="B51" s="199" t="s">
        <v>2290</v>
      </c>
      <c r="C51" s="201" t="s">
        <v>2218</v>
      </c>
      <c r="D51" s="201">
        <v>2</v>
      </c>
      <c r="E51" s="201">
        <v>6</v>
      </c>
      <c r="F51" s="200" t="s">
        <v>2291</v>
      </c>
    </row>
    <row r="52" spans="1:6">
      <c r="A52" s="208" t="s">
        <v>923</v>
      </c>
      <c r="B52" s="208" t="s">
        <v>2260</v>
      </c>
      <c r="C52" s="210" t="s">
        <v>2255</v>
      </c>
      <c r="D52" s="210">
        <v>1</v>
      </c>
      <c r="E52" s="210">
        <v>2</v>
      </c>
      <c r="F52" s="209" t="s">
        <v>2261</v>
      </c>
    </row>
    <row r="53" spans="1:6">
      <c r="A53" s="196" t="s">
        <v>924</v>
      </c>
      <c r="B53" s="196" t="s">
        <v>2274</v>
      </c>
      <c r="C53" s="198" t="s">
        <v>2224</v>
      </c>
      <c r="D53" s="198">
        <v>3</v>
      </c>
      <c r="E53" s="198">
        <v>4</v>
      </c>
      <c r="F53" s="197" t="s">
        <v>2275</v>
      </c>
    </row>
    <row r="54" spans="1:6">
      <c r="A54" s="196" t="s">
        <v>609</v>
      </c>
      <c r="B54" s="196" t="s">
        <v>2274</v>
      </c>
      <c r="C54" s="198" t="s">
        <v>2222</v>
      </c>
      <c r="D54" s="198">
        <v>3</v>
      </c>
      <c r="E54" s="198">
        <v>4</v>
      </c>
      <c r="F54" s="197" t="s">
        <v>2275</v>
      </c>
    </row>
    <row r="55" spans="1:6">
      <c r="A55" s="199" t="s">
        <v>611</v>
      </c>
      <c r="B55" s="199" t="s">
        <v>2290</v>
      </c>
      <c r="C55" s="201" t="s">
        <v>2222</v>
      </c>
      <c r="D55" s="201">
        <v>3</v>
      </c>
      <c r="E55" s="201">
        <v>7</v>
      </c>
      <c r="F55" s="200" t="s">
        <v>2291</v>
      </c>
    </row>
    <row r="56" spans="1:6">
      <c r="A56" s="211" t="s">
        <v>925</v>
      </c>
      <c r="B56" s="211" t="s">
        <v>2308</v>
      </c>
      <c r="C56" s="213" t="s">
        <v>2255</v>
      </c>
      <c r="D56" s="213">
        <v>1</v>
      </c>
      <c r="E56" s="213">
        <v>6</v>
      </c>
      <c r="F56" s="212" t="s">
        <v>2309</v>
      </c>
    </row>
    <row r="57" spans="1:6">
      <c r="A57" s="193" t="s">
        <v>926</v>
      </c>
      <c r="B57" s="193" t="s">
        <v>426</v>
      </c>
      <c r="C57" s="195" t="s">
        <v>2226</v>
      </c>
      <c r="D57" s="195">
        <v>2</v>
      </c>
      <c r="E57" s="195">
        <v>6</v>
      </c>
      <c r="F57" s="194" t="s">
        <v>2214</v>
      </c>
    </row>
    <row r="58" spans="1:6">
      <c r="A58" s="193" t="s">
        <v>930</v>
      </c>
      <c r="B58" s="193" t="s">
        <v>426</v>
      </c>
      <c r="C58" s="195" t="s">
        <v>2216</v>
      </c>
      <c r="D58" s="195">
        <v>2</v>
      </c>
      <c r="E58" s="195">
        <v>3</v>
      </c>
      <c r="F58" s="194" t="s">
        <v>2214</v>
      </c>
    </row>
    <row r="59" spans="1:6">
      <c r="A59" s="199" t="s">
        <v>931</v>
      </c>
      <c r="B59" s="199" t="s">
        <v>2304</v>
      </c>
      <c r="C59" s="201" t="s">
        <v>2216</v>
      </c>
      <c r="D59" s="201">
        <v>2</v>
      </c>
      <c r="E59" s="201">
        <v>5</v>
      </c>
      <c r="F59" s="200" t="s">
        <v>2305</v>
      </c>
    </row>
    <row r="60" spans="1:6">
      <c r="A60" s="208" t="s">
        <v>933</v>
      </c>
      <c r="B60" s="208" t="s">
        <v>2298</v>
      </c>
      <c r="C60" s="210" t="s">
        <v>2255</v>
      </c>
      <c r="D60" s="210">
        <v>1</v>
      </c>
      <c r="E60" s="210">
        <v>4</v>
      </c>
      <c r="F60" s="209" t="s">
        <v>2299</v>
      </c>
    </row>
    <row r="61" spans="1:6">
      <c r="A61" s="193" t="s">
        <v>934</v>
      </c>
      <c r="B61" s="193" t="s">
        <v>426</v>
      </c>
      <c r="C61" s="195" t="s">
        <v>1217</v>
      </c>
      <c r="D61" s="195">
        <v>2</v>
      </c>
      <c r="E61" s="195">
        <v>2</v>
      </c>
      <c r="F61" s="194" t="s">
        <v>2214</v>
      </c>
    </row>
    <row r="62" spans="1:6">
      <c r="A62" s="199" t="s">
        <v>625</v>
      </c>
      <c r="B62" s="199" t="s">
        <v>2304</v>
      </c>
      <c r="C62" s="201" t="s">
        <v>2233</v>
      </c>
      <c r="D62" s="201">
        <v>1</v>
      </c>
      <c r="E62" s="201">
        <v>2</v>
      </c>
      <c r="F62" s="200" t="s">
        <v>2305</v>
      </c>
    </row>
    <row r="63" spans="1:6">
      <c r="A63" s="211" t="s">
        <v>629</v>
      </c>
      <c r="B63" s="211" t="s">
        <v>347</v>
      </c>
      <c r="C63" s="213" t="s">
        <v>1211</v>
      </c>
      <c r="D63" s="213">
        <v>3</v>
      </c>
      <c r="E63" s="213">
        <v>5</v>
      </c>
      <c r="F63" s="212" t="s">
        <v>2280</v>
      </c>
    </row>
    <row r="64" spans="1:6">
      <c r="A64" s="193" t="s">
        <v>631</v>
      </c>
      <c r="B64" s="193" t="s">
        <v>426</v>
      </c>
      <c r="C64" s="195" t="s">
        <v>2220</v>
      </c>
      <c r="D64" s="195">
        <v>3</v>
      </c>
      <c r="E64" s="195">
        <v>4</v>
      </c>
      <c r="F64" s="194" t="s">
        <v>2214</v>
      </c>
    </row>
    <row r="65" spans="1:6">
      <c r="A65" s="199" t="s">
        <v>633</v>
      </c>
      <c r="B65" s="199" t="s">
        <v>2304</v>
      </c>
      <c r="C65" s="201" t="s">
        <v>2220</v>
      </c>
      <c r="D65" s="201">
        <v>3</v>
      </c>
      <c r="E65" s="201">
        <v>6</v>
      </c>
      <c r="F65" s="200" t="s">
        <v>2305</v>
      </c>
    </row>
    <row r="66" spans="1:6">
      <c r="A66" s="202" t="s">
        <v>935</v>
      </c>
      <c r="B66" s="202" t="s">
        <v>2249</v>
      </c>
      <c r="C66" s="204" t="s">
        <v>2236</v>
      </c>
      <c r="D66" s="204">
        <v>2</v>
      </c>
      <c r="E66" s="204">
        <v>2</v>
      </c>
      <c r="F66" s="203" t="s">
        <v>2250</v>
      </c>
    </row>
    <row r="67" spans="1:6">
      <c r="A67" s="193" t="s">
        <v>936</v>
      </c>
      <c r="B67" s="193" t="s">
        <v>426</v>
      </c>
      <c r="C67" s="195" t="s">
        <v>2228</v>
      </c>
      <c r="D67" s="195">
        <v>2</v>
      </c>
      <c r="E67" s="195">
        <v>5</v>
      </c>
      <c r="F67" s="194" t="s">
        <v>2214</v>
      </c>
    </row>
    <row r="68" spans="1:6">
      <c r="A68" s="193" t="s">
        <v>940</v>
      </c>
      <c r="B68" s="193" t="s">
        <v>426</v>
      </c>
      <c r="C68" s="195" t="s">
        <v>2218</v>
      </c>
      <c r="D68" s="195">
        <v>2</v>
      </c>
      <c r="E68" s="195">
        <v>4</v>
      </c>
      <c r="F68" s="194" t="s">
        <v>2214</v>
      </c>
    </row>
    <row r="69" spans="1:6">
      <c r="A69" s="199" t="s">
        <v>941</v>
      </c>
      <c r="B69" s="199" t="s">
        <v>2304</v>
      </c>
      <c r="C69" s="201" t="s">
        <v>2218</v>
      </c>
      <c r="D69" s="201">
        <v>2</v>
      </c>
      <c r="E69" s="201">
        <v>6</v>
      </c>
      <c r="F69" s="200" t="s">
        <v>2305</v>
      </c>
    </row>
    <row r="70" spans="1:6">
      <c r="A70" s="208" t="s">
        <v>943</v>
      </c>
      <c r="B70" s="208" t="s">
        <v>2315</v>
      </c>
      <c r="C70" s="210" t="s">
        <v>2255</v>
      </c>
      <c r="D70" s="210">
        <v>1</v>
      </c>
      <c r="E70" s="210">
        <v>2</v>
      </c>
      <c r="F70" s="209" t="s">
        <v>2316</v>
      </c>
    </row>
    <row r="71" spans="1:6">
      <c r="A71" s="193" t="s">
        <v>944</v>
      </c>
      <c r="B71" s="193" t="s">
        <v>426</v>
      </c>
      <c r="C71" s="195" t="s">
        <v>2224</v>
      </c>
      <c r="D71" s="195">
        <v>3</v>
      </c>
      <c r="E71" s="195">
        <v>4</v>
      </c>
      <c r="F71" s="194" t="s">
        <v>2214</v>
      </c>
    </row>
    <row r="72" spans="1:6">
      <c r="A72" s="193" t="s">
        <v>653</v>
      </c>
      <c r="B72" s="193" t="s">
        <v>426</v>
      </c>
      <c r="C72" s="195" t="s">
        <v>2222</v>
      </c>
      <c r="D72" s="195">
        <v>3</v>
      </c>
      <c r="E72" s="195">
        <v>4</v>
      </c>
      <c r="F72" s="194" t="s">
        <v>2214</v>
      </c>
    </row>
    <row r="73" spans="1:6">
      <c r="A73" s="199" t="s">
        <v>333</v>
      </c>
      <c r="B73" s="199" t="s">
        <v>2304</v>
      </c>
      <c r="C73" s="201" t="s">
        <v>2222</v>
      </c>
      <c r="D73" s="201">
        <v>3</v>
      </c>
      <c r="E73" s="201">
        <v>7</v>
      </c>
      <c r="F73" s="200" t="s">
        <v>2305</v>
      </c>
    </row>
    <row r="74" spans="1:6">
      <c r="A74" s="202" t="s">
        <v>449</v>
      </c>
      <c r="B74" s="202" t="s">
        <v>863</v>
      </c>
      <c r="C74" s="204" t="s">
        <v>2226</v>
      </c>
      <c r="D74" s="204">
        <v>2</v>
      </c>
      <c r="E74" s="204">
        <v>6</v>
      </c>
      <c r="F74" s="203" t="s">
        <v>2317</v>
      </c>
    </row>
    <row r="75" spans="1:6">
      <c r="A75" s="202" t="s">
        <v>946</v>
      </c>
      <c r="B75" s="202" t="s">
        <v>2320</v>
      </c>
      <c r="C75" s="204" t="s">
        <v>2216</v>
      </c>
      <c r="D75" s="204">
        <v>2</v>
      </c>
      <c r="E75" s="204">
        <v>3</v>
      </c>
      <c r="F75" s="203" t="s">
        <v>2321</v>
      </c>
    </row>
    <row r="76" spans="1:6">
      <c r="A76" s="202" t="s">
        <v>947</v>
      </c>
      <c r="B76" s="202" t="s">
        <v>863</v>
      </c>
      <c r="C76" s="204" t="s">
        <v>2216</v>
      </c>
      <c r="D76" s="204">
        <v>2</v>
      </c>
      <c r="E76" s="204">
        <v>3</v>
      </c>
      <c r="F76" s="203" t="s">
        <v>2317</v>
      </c>
    </row>
    <row r="77" spans="1:6">
      <c r="A77" s="202" t="s">
        <v>948</v>
      </c>
      <c r="B77" s="202" t="s">
        <v>2318</v>
      </c>
      <c r="C77" s="204" t="s">
        <v>2216</v>
      </c>
      <c r="D77" s="204">
        <v>2</v>
      </c>
      <c r="E77" s="204">
        <v>3</v>
      </c>
      <c r="F77" s="203" t="s">
        <v>2319</v>
      </c>
    </row>
    <row r="78" spans="1:6">
      <c r="A78" s="199" t="s">
        <v>950</v>
      </c>
      <c r="B78" s="199" t="s">
        <v>2272</v>
      </c>
      <c r="C78" s="201" t="s">
        <v>2255</v>
      </c>
      <c r="D78" s="201">
        <v>1</v>
      </c>
      <c r="E78" s="201">
        <v>2</v>
      </c>
      <c r="F78" s="200" t="s">
        <v>2273</v>
      </c>
    </row>
    <row r="79" spans="1:6">
      <c r="A79" s="196" t="s">
        <v>667</v>
      </c>
      <c r="B79" s="196" t="s">
        <v>2328</v>
      </c>
      <c r="C79" s="198" t="s">
        <v>2255</v>
      </c>
      <c r="D79" s="198">
        <v>1</v>
      </c>
      <c r="E79" s="198">
        <v>2</v>
      </c>
      <c r="F79" s="197" t="s">
        <v>2329</v>
      </c>
    </row>
    <row r="80" spans="1:6">
      <c r="A80" s="202" t="s">
        <v>671</v>
      </c>
      <c r="B80" s="202" t="s">
        <v>2320</v>
      </c>
      <c r="C80" s="204" t="s">
        <v>2220</v>
      </c>
      <c r="D80" s="204">
        <v>3</v>
      </c>
      <c r="E80" s="204">
        <v>4</v>
      </c>
      <c r="F80" s="203" t="s">
        <v>2321</v>
      </c>
    </row>
    <row r="81" spans="1:6">
      <c r="A81" s="202" t="s">
        <v>673</v>
      </c>
      <c r="B81" s="202" t="s">
        <v>863</v>
      </c>
      <c r="C81" s="204" t="s">
        <v>2220</v>
      </c>
      <c r="D81" s="204">
        <v>3</v>
      </c>
      <c r="E81" s="204">
        <v>4</v>
      </c>
      <c r="F81" s="203" t="s">
        <v>2317</v>
      </c>
    </row>
    <row r="82" spans="1:6">
      <c r="A82" s="202" t="s">
        <v>675</v>
      </c>
      <c r="B82" s="202" t="s">
        <v>2318</v>
      </c>
      <c r="C82" s="204" t="s">
        <v>2220</v>
      </c>
      <c r="D82" s="204">
        <v>3</v>
      </c>
      <c r="E82" s="204">
        <v>4</v>
      </c>
      <c r="F82" s="203" t="s">
        <v>2319</v>
      </c>
    </row>
    <row r="83" spans="1:6">
      <c r="A83" s="202" t="s">
        <v>952</v>
      </c>
      <c r="B83" s="202" t="s">
        <v>2234</v>
      </c>
      <c r="C83" s="204" t="s">
        <v>2236</v>
      </c>
      <c r="D83" s="204">
        <v>2</v>
      </c>
      <c r="E83" s="204">
        <v>2</v>
      </c>
      <c r="F83" s="203" t="s">
        <v>2235</v>
      </c>
    </row>
    <row r="84" spans="1:6">
      <c r="A84" s="202" t="s">
        <v>953</v>
      </c>
      <c r="B84" s="202" t="s">
        <v>863</v>
      </c>
      <c r="C84" s="204" t="s">
        <v>2228</v>
      </c>
      <c r="D84" s="204">
        <v>2</v>
      </c>
      <c r="E84" s="204">
        <v>6</v>
      </c>
      <c r="F84" s="203" t="s">
        <v>2317</v>
      </c>
    </row>
    <row r="85" spans="1:6">
      <c r="A85" s="202" t="s">
        <v>956</v>
      </c>
      <c r="B85" s="202" t="s">
        <v>2320</v>
      </c>
      <c r="C85" s="204" t="s">
        <v>2218</v>
      </c>
      <c r="D85" s="204">
        <v>2</v>
      </c>
      <c r="E85" s="204">
        <v>4</v>
      </c>
      <c r="F85" s="203" t="s">
        <v>2321</v>
      </c>
    </row>
    <row r="86" spans="1:6">
      <c r="A86" s="202" t="s">
        <v>957</v>
      </c>
      <c r="B86" s="202" t="s">
        <v>863</v>
      </c>
      <c r="C86" s="204" t="s">
        <v>2218</v>
      </c>
      <c r="D86" s="204">
        <v>2</v>
      </c>
      <c r="E86" s="204">
        <v>4</v>
      </c>
      <c r="F86" s="203" t="s">
        <v>2317</v>
      </c>
    </row>
    <row r="87" spans="1:6">
      <c r="A87" s="202" t="s">
        <v>958</v>
      </c>
      <c r="B87" s="202" t="s">
        <v>2318</v>
      </c>
      <c r="C87" s="204" t="s">
        <v>2287</v>
      </c>
      <c r="D87" s="204">
        <v>2</v>
      </c>
      <c r="E87" s="204">
        <v>4</v>
      </c>
      <c r="F87" s="203" t="s">
        <v>2319</v>
      </c>
    </row>
    <row r="88" spans="1:6">
      <c r="A88" s="196" t="s">
        <v>960</v>
      </c>
      <c r="B88" s="196" t="s">
        <v>2332</v>
      </c>
      <c r="C88" s="198" t="s">
        <v>2255</v>
      </c>
      <c r="D88" s="198">
        <v>1</v>
      </c>
      <c r="E88" s="198">
        <v>2</v>
      </c>
      <c r="F88" s="197" t="s">
        <v>2333</v>
      </c>
    </row>
    <row r="89" spans="1:6">
      <c r="A89" s="202" t="s">
        <v>361</v>
      </c>
      <c r="B89" s="202" t="s">
        <v>863</v>
      </c>
      <c r="C89" s="204" t="s">
        <v>2224</v>
      </c>
      <c r="D89" s="204">
        <v>3</v>
      </c>
      <c r="E89" s="204">
        <v>5</v>
      </c>
      <c r="F89" s="203" t="s">
        <v>2317</v>
      </c>
    </row>
    <row r="90" spans="1:6">
      <c r="A90" s="196" t="s">
        <v>689</v>
      </c>
      <c r="B90" s="196" t="s">
        <v>2330</v>
      </c>
      <c r="C90" s="198" t="s">
        <v>2255</v>
      </c>
      <c r="D90" s="198">
        <v>1</v>
      </c>
      <c r="E90" s="198">
        <v>2</v>
      </c>
      <c r="F90" s="197" t="s">
        <v>2331</v>
      </c>
    </row>
    <row r="91" spans="1:6">
      <c r="A91" s="202" t="s">
        <v>695</v>
      </c>
      <c r="B91" s="202" t="s">
        <v>863</v>
      </c>
      <c r="C91" s="204" t="s">
        <v>2222</v>
      </c>
      <c r="D91" s="204">
        <v>3</v>
      </c>
      <c r="E91" s="204">
        <v>5</v>
      </c>
      <c r="F91" s="203" t="s">
        <v>2317</v>
      </c>
    </row>
    <row r="92" spans="1:6">
      <c r="A92" s="202" t="s">
        <v>701</v>
      </c>
      <c r="B92" s="202" t="s">
        <v>2288</v>
      </c>
      <c r="C92" s="204" t="s">
        <v>1217</v>
      </c>
      <c r="D92" s="204">
        <v>2</v>
      </c>
      <c r="E92" s="204">
        <v>2</v>
      </c>
      <c r="F92" s="203" t="s">
        <v>2289</v>
      </c>
    </row>
    <row r="93" spans="1:6">
      <c r="A93" s="202" t="s">
        <v>703</v>
      </c>
      <c r="B93" s="202" t="s">
        <v>864</v>
      </c>
      <c r="C93" s="204" t="s">
        <v>2226</v>
      </c>
      <c r="D93" s="204">
        <v>2</v>
      </c>
      <c r="E93" s="204">
        <v>6</v>
      </c>
      <c r="F93" s="203" t="s">
        <v>2283</v>
      </c>
    </row>
    <row r="94" spans="1:6">
      <c r="A94" s="202" t="s">
        <v>705</v>
      </c>
      <c r="B94" s="202" t="s">
        <v>2284</v>
      </c>
      <c r="C94" s="204" t="s">
        <v>1217</v>
      </c>
      <c r="D94" s="204">
        <v>2</v>
      </c>
      <c r="E94" s="204">
        <v>2</v>
      </c>
      <c r="F94" s="203" t="s">
        <v>2285</v>
      </c>
    </row>
    <row r="95" spans="1:6">
      <c r="A95" s="202" t="s">
        <v>709</v>
      </c>
      <c r="B95" s="202" t="s">
        <v>2288</v>
      </c>
      <c r="C95" s="204" t="s">
        <v>2216</v>
      </c>
      <c r="D95" s="204">
        <v>2</v>
      </c>
      <c r="E95" s="204">
        <v>3</v>
      </c>
      <c r="F95" s="203" t="s">
        <v>2289</v>
      </c>
    </row>
    <row r="96" spans="1:6">
      <c r="A96" s="202" t="s">
        <v>711</v>
      </c>
      <c r="B96" s="202" t="s">
        <v>864</v>
      </c>
      <c r="C96" s="204" t="s">
        <v>2216</v>
      </c>
      <c r="D96" s="204">
        <v>2</v>
      </c>
      <c r="E96" s="204">
        <v>3</v>
      </c>
      <c r="F96" s="203" t="s">
        <v>2283</v>
      </c>
    </row>
    <row r="97" spans="1:6">
      <c r="A97" s="202" t="s">
        <v>713</v>
      </c>
      <c r="B97" s="202" t="s">
        <v>2284</v>
      </c>
      <c r="C97" s="204" t="s">
        <v>2216</v>
      </c>
      <c r="D97" s="204">
        <v>2</v>
      </c>
      <c r="E97" s="204">
        <v>3</v>
      </c>
      <c r="F97" s="203" t="s">
        <v>2285</v>
      </c>
    </row>
    <row r="98" spans="1:6">
      <c r="A98" s="196" t="s">
        <v>717</v>
      </c>
      <c r="B98" s="196" t="s">
        <v>2324</v>
      </c>
      <c r="C98" s="198" t="s">
        <v>2255</v>
      </c>
      <c r="D98" s="198">
        <v>1</v>
      </c>
      <c r="E98" s="198">
        <v>2</v>
      </c>
      <c r="F98" s="197" t="s">
        <v>2325</v>
      </c>
    </row>
    <row r="99" spans="1:6">
      <c r="A99" s="202" t="s">
        <v>719</v>
      </c>
      <c r="B99" s="202" t="s">
        <v>864</v>
      </c>
      <c r="C99" s="204" t="s">
        <v>1217</v>
      </c>
      <c r="D99" s="204">
        <v>2</v>
      </c>
      <c r="E99" s="204">
        <v>2</v>
      </c>
      <c r="F99" s="203" t="s">
        <v>2283</v>
      </c>
    </row>
    <row r="100" spans="1:6">
      <c r="A100" s="196" t="s">
        <v>180</v>
      </c>
      <c r="B100" s="196" t="s">
        <v>2322</v>
      </c>
      <c r="C100" s="198" t="s">
        <v>2255</v>
      </c>
      <c r="D100" s="198">
        <v>1</v>
      </c>
      <c r="E100" s="198">
        <v>2</v>
      </c>
      <c r="F100" s="197" t="s">
        <v>2323</v>
      </c>
    </row>
    <row r="101" spans="1:6">
      <c r="A101" s="202" t="s">
        <v>122</v>
      </c>
      <c r="B101" s="202" t="s">
        <v>2288</v>
      </c>
      <c r="C101" s="204" t="s">
        <v>2220</v>
      </c>
      <c r="D101" s="204">
        <v>3</v>
      </c>
      <c r="E101" s="204">
        <v>4</v>
      </c>
      <c r="F101" s="203" t="s">
        <v>2289</v>
      </c>
    </row>
    <row r="102" spans="1:6">
      <c r="A102" s="202" t="s">
        <v>724</v>
      </c>
      <c r="B102" s="202" t="s">
        <v>864</v>
      </c>
      <c r="C102" s="204" t="s">
        <v>2220</v>
      </c>
      <c r="D102" s="204">
        <v>3</v>
      </c>
      <c r="E102" s="204">
        <v>4</v>
      </c>
      <c r="F102" s="203" t="s">
        <v>2283</v>
      </c>
    </row>
    <row r="103" spans="1:6">
      <c r="A103" s="202" t="s">
        <v>726</v>
      </c>
      <c r="B103" s="202" t="s">
        <v>2284</v>
      </c>
      <c r="C103" s="204" t="s">
        <v>2220</v>
      </c>
      <c r="D103" s="204">
        <v>3</v>
      </c>
      <c r="E103" s="204">
        <v>4</v>
      </c>
      <c r="F103" s="203" t="s">
        <v>2285</v>
      </c>
    </row>
    <row r="104" spans="1:6">
      <c r="A104" s="202" t="s">
        <v>495</v>
      </c>
      <c r="B104" s="202" t="s">
        <v>2237</v>
      </c>
      <c r="C104" s="204" t="s">
        <v>2236</v>
      </c>
      <c r="D104" s="204">
        <v>2</v>
      </c>
      <c r="E104" s="204">
        <v>2</v>
      </c>
      <c r="F104" s="203" t="s">
        <v>2238</v>
      </c>
    </row>
    <row r="105" spans="1:6">
      <c r="A105" s="202" t="s">
        <v>493</v>
      </c>
      <c r="B105" s="202" t="s">
        <v>864</v>
      </c>
      <c r="C105" s="204" t="s">
        <v>2228</v>
      </c>
      <c r="D105" s="204">
        <v>2</v>
      </c>
      <c r="E105" s="204">
        <v>5</v>
      </c>
      <c r="F105" s="203" t="s">
        <v>2283</v>
      </c>
    </row>
    <row r="106" spans="1:6">
      <c r="A106" s="202" t="s">
        <v>490</v>
      </c>
      <c r="B106" s="202" t="s">
        <v>2288</v>
      </c>
      <c r="C106" s="204" t="s">
        <v>2218</v>
      </c>
      <c r="D106" s="204">
        <v>2</v>
      </c>
      <c r="E106" s="204">
        <v>4</v>
      </c>
      <c r="F106" s="203" t="s">
        <v>2289</v>
      </c>
    </row>
    <row r="107" spans="1:6">
      <c r="A107" s="202" t="s">
        <v>489</v>
      </c>
      <c r="B107" s="202" t="s">
        <v>864</v>
      </c>
      <c r="C107" s="204" t="s">
        <v>2218</v>
      </c>
      <c r="D107" s="204">
        <v>2</v>
      </c>
      <c r="E107" s="204">
        <v>4</v>
      </c>
      <c r="F107" s="203" t="s">
        <v>2283</v>
      </c>
    </row>
    <row r="108" spans="1:6">
      <c r="A108" s="202" t="s">
        <v>488</v>
      </c>
      <c r="B108" s="202" t="s">
        <v>2284</v>
      </c>
      <c r="C108" s="204" t="s">
        <v>2287</v>
      </c>
      <c r="D108" s="204">
        <v>2</v>
      </c>
      <c r="E108" s="204">
        <v>4</v>
      </c>
      <c r="F108" s="203" t="s">
        <v>2285</v>
      </c>
    </row>
    <row r="109" spans="1:6">
      <c r="A109" s="208" t="s">
        <v>738</v>
      </c>
      <c r="B109" s="208" t="s">
        <v>2262</v>
      </c>
      <c r="C109" s="210" t="s">
        <v>2255</v>
      </c>
      <c r="D109" s="210">
        <v>1</v>
      </c>
      <c r="E109" s="210">
        <v>2</v>
      </c>
      <c r="F109" s="209" t="s">
        <v>2263</v>
      </c>
    </row>
    <row r="110" spans="1:6">
      <c r="A110" s="202" t="s">
        <v>740</v>
      </c>
      <c r="B110" s="202" t="s">
        <v>864</v>
      </c>
      <c r="C110" s="204" t="s">
        <v>2224</v>
      </c>
      <c r="D110" s="204">
        <v>3</v>
      </c>
      <c r="E110" s="204">
        <v>4</v>
      </c>
      <c r="F110" s="203" t="s">
        <v>2283</v>
      </c>
    </row>
    <row r="111" spans="1:6">
      <c r="A111" s="196" t="s">
        <v>742</v>
      </c>
      <c r="B111" s="196" t="s">
        <v>2326</v>
      </c>
      <c r="C111" s="198" t="s">
        <v>2255</v>
      </c>
      <c r="D111" s="198">
        <v>1</v>
      </c>
      <c r="E111" s="198">
        <v>2</v>
      </c>
      <c r="F111" s="197" t="s">
        <v>2327</v>
      </c>
    </row>
    <row r="112" spans="1:6">
      <c r="A112" s="202" t="s">
        <v>336</v>
      </c>
      <c r="B112" s="202" t="s">
        <v>2288</v>
      </c>
      <c r="C112" s="204" t="s">
        <v>2222</v>
      </c>
      <c r="D112" s="204">
        <v>3</v>
      </c>
      <c r="E112" s="204">
        <v>4</v>
      </c>
      <c r="F112" s="203" t="s">
        <v>2289</v>
      </c>
    </row>
    <row r="113" spans="1:6">
      <c r="A113" s="202" t="s">
        <v>747</v>
      </c>
      <c r="B113" s="202" t="s">
        <v>864</v>
      </c>
      <c r="C113" s="204" t="s">
        <v>2222</v>
      </c>
      <c r="D113" s="204">
        <v>3</v>
      </c>
      <c r="E113" s="204">
        <v>4</v>
      </c>
      <c r="F113" s="203" t="s">
        <v>2283</v>
      </c>
    </row>
    <row r="114" spans="1:6">
      <c r="A114" s="202" t="s">
        <v>749</v>
      </c>
      <c r="B114" s="202" t="s">
        <v>2284</v>
      </c>
      <c r="C114" s="204" t="s">
        <v>2224</v>
      </c>
      <c r="D114" s="204">
        <v>3</v>
      </c>
      <c r="E114" s="204">
        <v>4</v>
      </c>
      <c r="F114" s="203" t="s">
        <v>2285</v>
      </c>
    </row>
    <row r="115" spans="1:6">
      <c r="A115" s="193" t="s">
        <v>753</v>
      </c>
      <c r="B115" s="193" t="s">
        <v>2267</v>
      </c>
      <c r="C115" s="195" t="s">
        <v>1217</v>
      </c>
      <c r="D115" s="195">
        <v>2</v>
      </c>
      <c r="E115" s="195">
        <v>2</v>
      </c>
      <c r="F115" s="194" t="s">
        <v>2268</v>
      </c>
    </row>
    <row r="116" spans="1:6">
      <c r="A116" s="193" t="s">
        <v>756</v>
      </c>
      <c r="B116" s="193" t="s">
        <v>865</v>
      </c>
      <c r="C116" s="195" t="s">
        <v>2226</v>
      </c>
      <c r="D116" s="195">
        <v>2</v>
      </c>
      <c r="E116" s="195">
        <v>6</v>
      </c>
      <c r="F116" s="194" t="s">
        <v>2264</v>
      </c>
    </row>
    <row r="117" spans="1:6">
      <c r="A117" s="193" t="s">
        <v>762</v>
      </c>
      <c r="B117" s="193" t="s">
        <v>2267</v>
      </c>
      <c r="C117" s="195" t="s">
        <v>2216</v>
      </c>
      <c r="D117" s="195">
        <v>2</v>
      </c>
      <c r="E117" s="195">
        <v>3</v>
      </c>
      <c r="F117" s="194" t="s">
        <v>2268</v>
      </c>
    </row>
    <row r="118" spans="1:6">
      <c r="A118" s="193" t="s">
        <v>764</v>
      </c>
      <c r="B118" s="193" t="s">
        <v>865</v>
      </c>
      <c r="C118" s="195" t="s">
        <v>2216</v>
      </c>
      <c r="D118" s="195">
        <v>2</v>
      </c>
      <c r="E118" s="195">
        <v>3</v>
      </c>
      <c r="F118" s="194" t="s">
        <v>2264</v>
      </c>
    </row>
    <row r="119" spans="1:6">
      <c r="A119" s="199" t="s">
        <v>766</v>
      </c>
      <c r="B119" s="199" t="s">
        <v>1215</v>
      </c>
      <c r="C119" s="201" t="s">
        <v>2216</v>
      </c>
      <c r="D119" s="201">
        <v>2</v>
      </c>
      <c r="E119" s="201">
        <v>5</v>
      </c>
      <c r="F119" s="200" t="s">
        <v>2269</v>
      </c>
    </row>
    <row r="120" spans="1:6">
      <c r="A120" s="199" t="s">
        <v>770</v>
      </c>
      <c r="B120" s="199" t="s">
        <v>2278</v>
      </c>
      <c r="C120" s="201" t="s">
        <v>2255</v>
      </c>
      <c r="D120" s="201">
        <v>1</v>
      </c>
      <c r="E120" s="201">
        <v>2</v>
      </c>
      <c r="F120" s="200" t="s">
        <v>2279</v>
      </c>
    </row>
    <row r="121" spans="1:6">
      <c r="A121" s="193" t="s">
        <v>772</v>
      </c>
      <c r="B121" s="193" t="s">
        <v>865</v>
      </c>
      <c r="C121" s="195" t="s">
        <v>1217</v>
      </c>
      <c r="D121" s="195">
        <v>2</v>
      </c>
      <c r="E121" s="195">
        <v>2</v>
      </c>
      <c r="F121" s="194" t="s">
        <v>2264</v>
      </c>
    </row>
    <row r="122" spans="1:6">
      <c r="A122" s="199" t="s">
        <v>774</v>
      </c>
      <c r="B122" s="199" t="s">
        <v>2270</v>
      </c>
      <c r="C122" s="201" t="s">
        <v>2255</v>
      </c>
      <c r="D122" s="201">
        <v>1</v>
      </c>
      <c r="E122" s="201">
        <v>2</v>
      </c>
      <c r="F122" s="200" t="s">
        <v>2271</v>
      </c>
    </row>
    <row r="123" spans="1:6">
      <c r="A123" s="193" t="s">
        <v>777</v>
      </c>
      <c r="B123" s="193" t="s">
        <v>2267</v>
      </c>
      <c r="C123" s="195" t="s">
        <v>2220</v>
      </c>
      <c r="D123" s="195">
        <v>3</v>
      </c>
      <c r="E123" s="195">
        <v>4</v>
      </c>
      <c r="F123" s="194" t="s">
        <v>2268</v>
      </c>
    </row>
    <row r="124" spans="1:6">
      <c r="A124" s="193" t="s">
        <v>478</v>
      </c>
      <c r="B124" s="193" t="s">
        <v>865</v>
      </c>
      <c r="C124" s="195" t="s">
        <v>2220</v>
      </c>
      <c r="D124" s="195">
        <v>3</v>
      </c>
      <c r="E124" s="195">
        <v>4</v>
      </c>
      <c r="F124" s="194" t="s">
        <v>2264</v>
      </c>
    </row>
    <row r="125" spans="1:6">
      <c r="A125" s="199" t="s">
        <v>780</v>
      </c>
      <c r="B125" s="199" t="s">
        <v>1215</v>
      </c>
      <c r="C125" s="201" t="s">
        <v>2220</v>
      </c>
      <c r="D125" s="201">
        <v>3</v>
      </c>
      <c r="E125" s="201">
        <v>6</v>
      </c>
      <c r="F125" s="200" t="s">
        <v>2269</v>
      </c>
    </row>
    <row r="126" spans="1:6">
      <c r="A126" s="202" t="s">
        <v>784</v>
      </c>
      <c r="B126" s="202" t="s">
        <v>2243</v>
      </c>
      <c r="C126" s="204" t="s">
        <v>2236</v>
      </c>
      <c r="D126" s="204">
        <v>2</v>
      </c>
      <c r="E126" s="204">
        <v>2</v>
      </c>
      <c r="F126" s="203" t="s">
        <v>2244</v>
      </c>
    </row>
    <row r="127" spans="1:6">
      <c r="A127" s="193" t="s">
        <v>787</v>
      </c>
      <c r="B127" s="193" t="s">
        <v>865</v>
      </c>
      <c r="C127" s="195" t="s">
        <v>2228</v>
      </c>
      <c r="D127" s="195">
        <v>2</v>
      </c>
      <c r="E127" s="195">
        <v>5</v>
      </c>
      <c r="F127" s="194" t="s">
        <v>2264</v>
      </c>
    </row>
    <row r="128" spans="1:6">
      <c r="A128" s="193" t="s">
        <v>795</v>
      </c>
      <c r="B128" s="193" t="s">
        <v>865</v>
      </c>
      <c r="C128" s="195" t="s">
        <v>2218</v>
      </c>
      <c r="D128" s="195">
        <v>2</v>
      </c>
      <c r="E128" s="195">
        <v>4</v>
      </c>
      <c r="F128" s="194" t="s">
        <v>2264</v>
      </c>
    </row>
    <row r="129" spans="1:6">
      <c r="A129" s="199" t="s">
        <v>797</v>
      </c>
      <c r="B129" s="199" t="s">
        <v>1215</v>
      </c>
      <c r="C129" s="201" t="s">
        <v>2218</v>
      </c>
      <c r="D129" s="201">
        <v>2</v>
      </c>
      <c r="E129" s="201">
        <v>6</v>
      </c>
      <c r="F129" s="200" t="s">
        <v>2269</v>
      </c>
    </row>
    <row r="130" spans="1:6">
      <c r="A130" s="208" t="s">
        <v>801</v>
      </c>
      <c r="B130" s="208" t="s">
        <v>2258</v>
      </c>
      <c r="C130" s="210" t="s">
        <v>2255</v>
      </c>
      <c r="D130" s="210">
        <v>1</v>
      </c>
      <c r="E130" s="210">
        <v>2</v>
      </c>
      <c r="F130" s="209" t="s">
        <v>2259</v>
      </c>
    </row>
    <row r="131" spans="1:6">
      <c r="A131" s="193" t="s">
        <v>804</v>
      </c>
      <c r="B131" s="193" t="s">
        <v>865</v>
      </c>
      <c r="C131" s="195" t="s">
        <v>2224</v>
      </c>
      <c r="D131" s="195">
        <v>3</v>
      </c>
      <c r="E131" s="195">
        <v>4</v>
      </c>
      <c r="F131" s="194" t="s">
        <v>2264</v>
      </c>
    </row>
    <row r="132" spans="1:6">
      <c r="A132" s="193" t="s">
        <v>810</v>
      </c>
      <c r="B132" s="193" t="s">
        <v>865</v>
      </c>
      <c r="C132" s="195" t="s">
        <v>2222</v>
      </c>
      <c r="D132" s="195">
        <v>3</v>
      </c>
      <c r="E132" s="195">
        <v>4</v>
      </c>
      <c r="F132" s="194" t="s">
        <v>2264</v>
      </c>
    </row>
    <row r="133" spans="1:6">
      <c r="A133" s="199" t="s">
        <v>811</v>
      </c>
      <c r="B133" s="199" t="s">
        <v>1215</v>
      </c>
      <c r="C133" s="201" t="s">
        <v>2222</v>
      </c>
      <c r="D133" s="201">
        <v>3</v>
      </c>
      <c r="E133" s="201">
        <v>7</v>
      </c>
      <c r="F133" s="200" t="s">
        <v>2269</v>
      </c>
    </row>
    <row r="134" spans="1:6">
      <c r="A134" s="193" t="s">
        <v>815</v>
      </c>
      <c r="B134" s="193" t="s">
        <v>2265</v>
      </c>
      <c r="C134" s="195" t="s">
        <v>1217</v>
      </c>
      <c r="D134" s="195">
        <v>2</v>
      </c>
      <c r="E134" s="195">
        <v>2</v>
      </c>
      <c r="F134" s="194" t="s">
        <v>2266</v>
      </c>
    </row>
    <row r="135" spans="1:6">
      <c r="A135" s="193" t="s">
        <v>818</v>
      </c>
      <c r="B135" s="193" t="s">
        <v>1267</v>
      </c>
      <c r="C135" s="195" t="s">
        <v>2226</v>
      </c>
      <c r="D135" s="195">
        <v>2</v>
      </c>
      <c r="E135" s="195">
        <v>6</v>
      </c>
      <c r="F135" s="194" t="s">
        <v>2310</v>
      </c>
    </row>
    <row r="136" spans="1:6">
      <c r="A136" s="193" t="s">
        <v>823</v>
      </c>
      <c r="B136" s="193" t="s">
        <v>2265</v>
      </c>
      <c r="C136" s="195" t="s">
        <v>2216</v>
      </c>
      <c r="D136" s="195">
        <v>2</v>
      </c>
      <c r="E136" s="195">
        <v>3</v>
      </c>
      <c r="F136" s="194" t="s">
        <v>2266</v>
      </c>
    </row>
    <row r="137" spans="1:6">
      <c r="A137" s="193" t="s">
        <v>825</v>
      </c>
      <c r="B137" s="193" t="s">
        <v>1267</v>
      </c>
      <c r="C137" s="195" t="s">
        <v>2216</v>
      </c>
      <c r="D137" s="195">
        <v>2</v>
      </c>
      <c r="E137" s="195">
        <v>3</v>
      </c>
      <c r="F137" s="194" t="s">
        <v>2310</v>
      </c>
    </row>
    <row r="138" spans="1:6">
      <c r="A138" s="199" t="s">
        <v>827</v>
      </c>
      <c r="B138" s="199" t="s">
        <v>1212</v>
      </c>
      <c r="C138" s="201" t="s">
        <v>2216</v>
      </c>
      <c r="D138" s="201">
        <v>2</v>
      </c>
      <c r="E138" s="201">
        <v>5</v>
      </c>
      <c r="F138" s="200" t="s">
        <v>2276</v>
      </c>
    </row>
    <row r="139" spans="1:6">
      <c r="A139" s="199" t="s">
        <v>831</v>
      </c>
      <c r="B139" s="199" t="s">
        <v>461</v>
      </c>
      <c r="C139" s="201" t="s">
        <v>2255</v>
      </c>
      <c r="D139" s="201">
        <v>1</v>
      </c>
      <c r="E139" s="201">
        <v>2</v>
      </c>
      <c r="F139" s="200" t="s">
        <v>2277</v>
      </c>
    </row>
    <row r="140" spans="1:6">
      <c r="A140" s="193" t="s">
        <v>834</v>
      </c>
      <c r="B140" s="193" t="s">
        <v>1267</v>
      </c>
      <c r="C140" s="195" t="s">
        <v>1217</v>
      </c>
      <c r="D140" s="195">
        <v>2</v>
      </c>
      <c r="E140" s="195">
        <v>2</v>
      </c>
      <c r="F140" s="194" t="s">
        <v>2310</v>
      </c>
    </row>
    <row r="141" spans="1:6">
      <c r="A141" s="214" t="s">
        <v>836</v>
      </c>
      <c r="B141" s="214" t="s">
        <v>110</v>
      </c>
      <c r="C141" s="216" t="s">
        <v>2255</v>
      </c>
      <c r="D141" s="216">
        <v>1</v>
      </c>
      <c r="E141" s="216">
        <v>2</v>
      </c>
      <c r="F141" s="215" t="s">
        <v>2292</v>
      </c>
    </row>
    <row r="142" spans="1:6">
      <c r="A142" s="193" t="s">
        <v>840</v>
      </c>
      <c r="B142" s="193" t="s">
        <v>2265</v>
      </c>
      <c r="C142" s="195" t="s">
        <v>2220</v>
      </c>
      <c r="D142" s="195">
        <v>3</v>
      </c>
      <c r="E142" s="195">
        <v>4</v>
      </c>
      <c r="F142" s="194" t="s">
        <v>2266</v>
      </c>
    </row>
    <row r="143" spans="1:6">
      <c r="A143" s="193" t="s">
        <v>842</v>
      </c>
      <c r="B143" s="193" t="s">
        <v>1267</v>
      </c>
      <c r="C143" s="195" t="s">
        <v>2220</v>
      </c>
      <c r="D143" s="195">
        <v>3</v>
      </c>
      <c r="E143" s="195">
        <v>4</v>
      </c>
      <c r="F143" s="194" t="s">
        <v>2310</v>
      </c>
    </row>
    <row r="144" spans="1:6">
      <c r="A144" s="199" t="s">
        <v>200</v>
      </c>
      <c r="B144" s="199" t="s">
        <v>1212</v>
      </c>
      <c r="C144" s="201" t="s">
        <v>2220</v>
      </c>
      <c r="D144" s="201">
        <v>3</v>
      </c>
      <c r="E144" s="201">
        <v>6</v>
      </c>
      <c r="F144" s="200" t="s">
        <v>2276</v>
      </c>
    </row>
    <row r="145" spans="1:6">
      <c r="A145" s="202" t="s">
        <v>264</v>
      </c>
      <c r="B145" s="202" t="s">
        <v>2239</v>
      </c>
      <c r="C145" s="204" t="s">
        <v>2236</v>
      </c>
      <c r="D145" s="204">
        <v>2</v>
      </c>
      <c r="E145" s="204">
        <v>2</v>
      </c>
      <c r="F145" s="203" t="s">
        <v>2240</v>
      </c>
    </row>
    <row r="146" spans="1:6">
      <c r="A146" s="193" t="s">
        <v>848</v>
      </c>
      <c r="B146" s="193" t="s">
        <v>1267</v>
      </c>
      <c r="C146" s="195" t="s">
        <v>2228</v>
      </c>
      <c r="D146" s="195">
        <v>2</v>
      </c>
      <c r="E146" s="195">
        <v>5</v>
      </c>
      <c r="F146" s="194" t="s">
        <v>2310</v>
      </c>
    </row>
    <row r="147" spans="1:6">
      <c r="A147" s="193" t="s">
        <v>857</v>
      </c>
      <c r="B147" s="193" t="s">
        <v>1267</v>
      </c>
      <c r="C147" s="195" t="s">
        <v>2218</v>
      </c>
      <c r="D147" s="195">
        <v>2</v>
      </c>
      <c r="E147" s="195">
        <v>4</v>
      </c>
      <c r="F147" s="194" t="s">
        <v>2310</v>
      </c>
    </row>
    <row r="148" spans="1:6">
      <c r="A148" s="199" t="s">
        <v>976</v>
      </c>
      <c r="B148" s="199" t="s">
        <v>1212</v>
      </c>
      <c r="C148" s="201" t="s">
        <v>2218</v>
      </c>
      <c r="D148" s="201">
        <v>2</v>
      </c>
      <c r="E148" s="201">
        <v>6</v>
      </c>
      <c r="F148" s="200" t="s">
        <v>2276</v>
      </c>
    </row>
    <row r="149" spans="1:6">
      <c r="A149" s="208" t="s">
        <v>1116</v>
      </c>
      <c r="B149" s="208" t="s">
        <v>2313</v>
      </c>
      <c r="C149" s="210" t="s">
        <v>2255</v>
      </c>
      <c r="D149" s="210">
        <v>1</v>
      </c>
      <c r="E149" s="210">
        <v>2</v>
      </c>
      <c r="F149" s="209" t="s">
        <v>2314</v>
      </c>
    </row>
    <row r="150" spans="1:6">
      <c r="A150" s="193" t="s">
        <v>978</v>
      </c>
      <c r="B150" s="193" t="s">
        <v>1267</v>
      </c>
      <c r="C150" s="195" t="s">
        <v>2224</v>
      </c>
      <c r="D150" s="195">
        <v>3</v>
      </c>
      <c r="E150" s="195">
        <v>4</v>
      </c>
      <c r="F150" s="194" t="s">
        <v>2310</v>
      </c>
    </row>
    <row r="151" spans="1:6">
      <c r="A151" s="193" t="s">
        <v>1025</v>
      </c>
      <c r="B151" s="193" t="s">
        <v>1267</v>
      </c>
      <c r="C151" s="195" t="s">
        <v>2222</v>
      </c>
      <c r="D151" s="195">
        <v>3</v>
      </c>
      <c r="E151" s="195">
        <v>4</v>
      </c>
      <c r="F151" s="194" t="s">
        <v>2310</v>
      </c>
    </row>
    <row r="152" spans="1:6">
      <c r="A152" s="199" t="s">
        <v>425</v>
      </c>
      <c r="B152" s="199" t="s">
        <v>1212</v>
      </c>
      <c r="C152" s="201" t="s">
        <v>2222</v>
      </c>
      <c r="D152" s="201">
        <v>3</v>
      </c>
      <c r="E152" s="201">
        <v>7</v>
      </c>
      <c r="F152" s="200" t="s">
        <v>2276</v>
      </c>
    </row>
  </sheetData>
  <autoFilter ref="A1:F152" xr:uid="{00000000-0009-0000-0000-000001000000}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workbookViewId="0">
      <selection activeCell="F26" sqref="F2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54" t="s">
        <v>2</v>
      </c>
      <c r="F2" s="6" t="s">
        <v>135</v>
      </c>
      <c r="G2" t="s">
        <v>1655</v>
      </c>
    </row>
    <row r="3" spans="1:7">
      <c r="A3" s="3" t="s">
        <v>2</v>
      </c>
      <c r="B3" s="3" t="s">
        <v>3</v>
      </c>
      <c r="E3" s="54" t="s">
        <v>32</v>
      </c>
      <c r="F3" s="6">
        <v>100</v>
      </c>
    </row>
    <row r="4" spans="1:7">
      <c r="A4" s="3" t="s">
        <v>4</v>
      </c>
      <c r="B4" s="4" t="s">
        <v>5</v>
      </c>
      <c r="E4" s="54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54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54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54" t="s">
        <v>148</v>
      </c>
      <c r="F7" s="6">
        <f t="shared" si="0"/>
        <v>140</v>
      </c>
    </row>
    <row r="8" spans="1:7">
      <c r="A8" s="3" t="s">
        <v>12</v>
      </c>
      <c r="B8" s="4" t="s">
        <v>13</v>
      </c>
      <c r="E8" s="54" t="s">
        <v>147</v>
      </c>
      <c r="F8" s="6">
        <f t="shared" si="0"/>
        <v>150</v>
      </c>
    </row>
    <row r="9" spans="1:7">
      <c r="A9" s="3" t="s">
        <v>14</v>
      </c>
      <c r="B9" s="4" t="s">
        <v>15</v>
      </c>
      <c r="E9" s="54" t="s">
        <v>82</v>
      </c>
      <c r="F9" s="55">
        <v>1000</v>
      </c>
    </row>
    <row r="10" spans="1:7">
      <c r="A10" s="3" t="s">
        <v>16</v>
      </c>
      <c r="B10" s="4" t="s">
        <v>17</v>
      </c>
      <c r="E10" s="54" t="s">
        <v>80</v>
      </c>
      <c r="F10" s="55">
        <v>160</v>
      </c>
    </row>
    <row r="11" spans="1:7">
      <c r="A11" s="3" t="s">
        <v>18</v>
      </c>
      <c r="B11" s="4" t="s">
        <v>19</v>
      </c>
      <c r="E11" s="54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54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54" t="s">
        <v>62</v>
      </c>
      <c r="F13" s="6">
        <f t="shared" si="0"/>
        <v>190</v>
      </c>
    </row>
    <row r="14" spans="1:7">
      <c r="A14" s="5"/>
      <c r="E14" s="54" t="s">
        <v>157</v>
      </c>
      <c r="F14" s="6">
        <f t="shared" si="0"/>
        <v>200</v>
      </c>
    </row>
    <row r="15" spans="1:7" ht="20.25">
      <c r="A15" s="1" t="s">
        <v>24</v>
      </c>
      <c r="E15" s="54" t="s">
        <v>52</v>
      </c>
      <c r="F15" s="6">
        <f t="shared" si="0"/>
        <v>210</v>
      </c>
    </row>
    <row r="16" spans="1:7">
      <c r="A16" s="2" t="s">
        <v>25</v>
      </c>
      <c r="E16" s="54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54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54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54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54" t="s">
        <v>158</v>
      </c>
      <c r="F20" s="6">
        <v>255</v>
      </c>
    </row>
    <row r="21" spans="1:6">
      <c r="A21" s="3" t="s">
        <v>32</v>
      </c>
      <c r="B21" s="4" t="s">
        <v>33</v>
      </c>
      <c r="E21" s="54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54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54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54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54" t="s">
        <v>78</v>
      </c>
      <c r="F25" s="55">
        <v>1100</v>
      </c>
    </row>
    <row r="26" spans="1:6">
      <c r="A26" s="3" t="s">
        <v>42</v>
      </c>
      <c r="B26" s="4" t="s">
        <v>43</v>
      </c>
      <c r="E26" s="54" t="s">
        <v>76</v>
      </c>
      <c r="F26" s="55">
        <v>300</v>
      </c>
    </row>
    <row r="27" spans="1:6">
      <c r="A27" s="3" t="s">
        <v>44</v>
      </c>
      <c r="B27" s="4" t="s">
        <v>45</v>
      </c>
      <c r="E27" s="54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54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54" t="s">
        <v>236</v>
      </c>
      <c r="F29" s="6">
        <v>325</v>
      </c>
    </row>
    <row r="30" spans="1:6">
      <c r="A30" s="3" t="s">
        <v>50</v>
      </c>
      <c r="B30" s="4" t="s">
        <v>51</v>
      </c>
      <c r="E30" s="54" t="s">
        <v>14</v>
      </c>
      <c r="F30" s="55">
        <v>330</v>
      </c>
    </row>
    <row r="31" spans="1:6">
      <c r="A31" s="3" t="s">
        <v>52</v>
      </c>
      <c r="B31" s="4" t="s">
        <v>53</v>
      </c>
      <c r="E31" s="54" t="s">
        <v>8</v>
      </c>
      <c r="F31" s="6">
        <f t="shared" si="0"/>
        <v>340</v>
      </c>
    </row>
    <row r="32" spans="1:6">
      <c r="A32" s="5"/>
      <c r="E32" s="54" t="s">
        <v>4</v>
      </c>
      <c r="F32" s="6">
        <f t="shared" si="0"/>
        <v>350</v>
      </c>
    </row>
    <row r="33" spans="1:6" ht="20.25">
      <c r="A33" s="1" t="s">
        <v>54</v>
      </c>
      <c r="E33" s="54" t="s">
        <v>6</v>
      </c>
      <c r="F33" s="6">
        <f t="shared" si="0"/>
        <v>360</v>
      </c>
    </row>
    <row r="34" spans="1:6">
      <c r="A34" s="2" t="s">
        <v>55</v>
      </c>
      <c r="E34" s="54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54" t="s">
        <v>150</v>
      </c>
      <c r="F35" s="6">
        <f t="shared" si="0"/>
        <v>380</v>
      </c>
    </row>
    <row r="36" spans="1:6">
      <c r="A36" s="3" t="s">
        <v>56</v>
      </c>
      <c r="B36" s="4" t="s">
        <v>57</v>
      </c>
      <c r="E36" s="54" t="s">
        <v>149</v>
      </c>
      <c r="F36" s="6">
        <f t="shared" si="0"/>
        <v>390</v>
      </c>
    </row>
    <row r="37" spans="1:6">
      <c r="A37" s="3" t="s">
        <v>58</v>
      </c>
      <c r="B37" s="4" t="s">
        <v>59</v>
      </c>
      <c r="E37" s="54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54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54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54" t="s">
        <v>961</v>
      </c>
      <c r="F40" s="55">
        <v>425</v>
      </c>
    </row>
    <row r="41" spans="1:6">
      <c r="A41" s="3" t="s">
        <v>66</v>
      </c>
      <c r="B41" s="4" t="s">
        <v>67</v>
      </c>
      <c r="E41" s="54" t="s">
        <v>973</v>
      </c>
      <c r="F41" s="55">
        <v>428</v>
      </c>
    </row>
    <row r="42" spans="1:6">
      <c r="A42" s="3" t="s">
        <v>68</v>
      </c>
      <c r="B42" s="4" t="s">
        <v>69</v>
      </c>
      <c r="E42" s="54" t="s">
        <v>94</v>
      </c>
      <c r="F42" s="6">
        <v>430</v>
      </c>
    </row>
    <row r="43" spans="1:6">
      <c r="A43" s="3" t="s">
        <v>70</v>
      </c>
      <c r="B43" s="4" t="s">
        <v>71</v>
      </c>
      <c r="E43" s="54" t="s">
        <v>86</v>
      </c>
      <c r="F43" s="55">
        <v>1200</v>
      </c>
    </row>
    <row r="44" spans="1:6">
      <c r="A44" s="3" t="s">
        <v>72</v>
      </c>
      <c r="B44" s="4" t="s">
        <v>73</v>
      </c>
      <c r="E44" s="54" t="s">
        <v>152</v>
      </c>
      <c r="F44" s="55">
        <v>440</v>
      </c>
    </row>
    <row r="45" spans="1:6">
      <c r="A45" s="5"/>
      <c r="E45" s="54" t="s">
        <v>151</v>
      </c>
      <c r="F45" s="6">
        <f t="shared" si="0"/>
        <v>450</v>
      </c>
    </row>
    <row r="46" spans="1:6" ht="20.25">
      <c r="A46" s="1" t="s">
        <v>74</v>
      </c>
      <c r="E46" s="54" t="s">
        <v>84</v>
      </c>
      <c r="F46" s="6">
        <f t="shared" si="0"/>
        <v>460</v>
      </c>
    </row>
    <row r="47" spans="1:6">
      <c r="A47" s="2" t="s">
        <v>75</v>
      </c>
      <c r="E47" s="54" t="s">
        <v>154</v>
      </c>
      <c r="F47" s="6">
        <f t="shared" si="0"/>
        <v>470</v>
      </c>
    </row>
    <row r="48" spans="1:6">
      <c r="A48" s="3" t="s">
        <v>2</v>
      </c>
      <c r="B48" s="3" t="s">
        <v>3</v>
      </c>
      <c r="E48" s="54" t="s">
        <v>153</v>
      </c>
      <c r="F48" s="6">
        <f t="shared" si="0"/>
        <v>480</v>
      </c>
    </row>
    <row r="49" spans="1:6">
      <c r="A49" s="3" t="s">
        <v>76</v>
      </c>
      <c r="B49" s="4" t="s">
        <v>77</v>
      </c>
      <c r="E49" s="54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54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54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54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54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54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54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54" t="s">
        <v>20</v>
      </c>
      <c r="F56" s="6">
        <f t="shared" si="0"/>
        <v>560</v>
      </c>
    </row>
    <row r="57" spans="1:6">
      <c r="A57" s="5"/>
      <c r="E57" s="54" t="s">
        <v>72</v>
      </c>
      <c r="F57" s="6">
        <f t="shared" si="0"/>
        <v>570</v>
      </c>
    </row>
    <row r="58" spans="1:6" ht="20.25">
      <c r="A58" s="1" t="s">
        <v>92</v>
      </c>
      <c r="E58" s="54" t="s">
        <v>34</v>
      </c>
      <c r="F58" s="6">
        <f t="shared" si="0"/>
        <v>580</v>
      </c>
    </row>
    <row r="59" spans="1:6">
      <c r="A59" s="2" t="s">
        <v>93</v>
      </c>
      <c r="E59" s="54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54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54" t="s">
        <v>156</v>
      </c>
      <c r="F61" s="6">
        <f t="shared" si="0"/>
        <v>610</v>
      </c>
    </row>
    <row r="62" spans="1:6">
      <c r="A62" s="3" t="s">
        <v>96</v>
      </c>
      <c r="B62" s="4" t="s">
        <v>97</v>
      </c>
      <c r="E62" s="54" t="s">
        <v>155</v>
      </c>
      <c r="F62" s="6">
        <f t="shared" si="0"/>
        <v>620</v>
      </c>
    </row>
    <row r="63" spans="1:6">
      <c r="A63" s="3" t="s">
        <v>98</v>
      </c>
      <c r="B63" s="4" t="s">
        <v>99</v>
      </c>
      <c r="E63" s="54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61" t="s">
        <v>1122</v>
      </c>
      <c r="B1" s="161" t="s">
        <v>1125</v>
      </c>
      <c r="C1" s="161" t="s">
        <v>423</v>
      </c>
      <c r="D1" s="161" t="s">
        <v>1126</v>
      </c>
      <c r="E1" s="161" t="s">
        <v>1123</v>
      </c>
      <c r="F1" s="161" t="s">
        <v>1124</v>
      </c>
    </row>
    <row r="2" spans="1:6">
      <c r="A2" s="162" t="s">
        <v>181</v>
      </c>
      <c r="B2" t="s">
        <v>164</v>
      </c>
    </row>
    <row r="3" spans="1:6">
      <c r="A3" s="162" t="s">
        <v>141</v>
      </c>
      <c r="B3" t="s">
        <v>164</v>
      </c>
    </row>
    <row r="4" spans="1:6">
      <c r="A4" s="162" t="s">
        <v>289</v>
      </c>
      <c r="B4" t="s">
        <v>164</v>
      </c>
    </row>
    <row r="5" spans="1:6">
      <c r="A5" s="162" t="s">
        <v>864</v>
      </c>
      <c r="B5" t="s">
        <v>164</v>
      </c>
    </row>
    <row r="6" spans="1:6">
      <c r="A6" s="162" t="s">
        <v>863</v>
      </c>
      <c r="B6" t="s">
        <v>164</v>
      </c>
    </row>
    <row r="7" spans="1:6">
      <c r="A7" s="162" t="s">
        <v>862</v>
      </c>
      <c r="B7" t="s">
        <v>164</v>
      </c>
    </row>
    <row r="8" spans="1:6">
      <c r="A8" s="162" t="s">
        <v>861</v>
      </c>
      <c r="B8" t="s">
        <v>164</v>
      </c>
    </row>
    <row r="9" spans="1:6">
      <c r="A9" s="162" t="s">
        <v>860</v>
      </c>
      <c r="B9" t="s">
        <v>164</v>
      </c>
    </row>
    <row r="10" spans="1:6">
      <c r="A10" s="162" t="s">
        <v>859</v>
      </c>
      <c r="B10" t="s">
        <v>164</v>
      </c>
    </row>
    <row r="11" spans="1:6">
      <c r="A11" s="162" t="s">
        <v>22</v>
      </c>
      <c r="B11" t="s">
        <v>164</v>
      </c>
    </row>
    <row r="12" spans="1:6">
      <c r="A12" s="162" t="s">
        <v>100</v>
      </c>
      <c r="B12" t="s">
        <v>164</v>
      </c>
    </row>
    <row r="13" spans="1:6">
      <c r="A13" s="162" t="s">
        <v>88</v>
      </c>
      <c r="B13" t="s">
        <v>164</v>
      </c>
    </row>
    <row r="14" spans="1:6">
      <c r="A14" s="162" t="s">
        <v>392</v>
      </c>
      <c r="B14" t="s">
        <v>1127</v>
      </c>
    </row>
    <row r="15" spans="1:6">
      <c r="A15" s="162" t="s">
        <v>426</v>
      </c>
      <c r="B15" t="s">
        <v>1127</v>
      </c>
    </row>
    <row r="16" spans="1:6">
      <c r="A16" s="162" t="s">
        <v>395</v>
      </c>
      <c r="B16" t="s">
        <v>1127</v>
      </c>
    </row>
    <row r="17" spans="1:2">
      <c r="A17" s="162" t="s">
        <v>428</v>
      </c>
      <c r="B17" t="s">
        <v>1127</v>
      </c>
    </row>
    <row r="18" spans="1:2">
      <c r="A18" s="162" t="s">
        <v>430</v>
      </c>
      <c r="B18" t="s">
        <v>1127</v>
      </c>
    </row>
    <row r="19" spans="1:2">
      <c r="A19" s="162" t="s">
        <v>443</v>
      </c>
      <c r="B19" t="s">
        <v>1127</v>
      </c>
    </row>
    <row r="20" spans="1:2">
      <c r="A20" s="162" t="s">
        <v>432</v>
      </c>
      <c r="B20" t="s">
        <v>1127</v>
      </c>
    </row>
    <row r="21" spans="1:2">
      <c r="A21" s="162" t="s">
        <v>446</v>
      </c>
      <c r="B21" t="s">
        <v>1127</v>
      </c>
    </row>
    <row r="22" spans="1:2">
      <c r="A22" s="162" t="s">
        <v>208</v>
      </c>
      <c r="B22" t="s">
        <v>1127</v>
      </c>
    </row>
    <row r="23" spans="1:2">
      <c r="A23" s="162" t="s">
        <v>232</v>
      </c>
      <c r="B23" t="s">
        <v>1127</v>
      </c>
    </row>
    <row r="24" spans="1:2">
      <c r="A24" s="162" t="s">
        <v>461</v>
      </c>
      <c r="B24" t="s">
        <v>1127</v>
      </c>
    </row>
    <row r="25" spans="1:2">
      <c r="A25" s="162" t="s">
        <v>462</v>
      </c>
      <c r="B25" t="s">
        <v>1127</v>
      </c>
    </row>
    <row r="26" spans="1:2">
      <c r="A26" s="162" t="s">
        <v>465</v>
      </c>
      <c r="B26" t="s">
        <v>1127</v>
      </c>
    </row>
    <row r="27" spans="1:2">
      <c r="A27" s="162" t="s">
        <v>52</v>
      </c>
      <c r="B27" t="s">
        <v>1127</v>
      </c>
    </row>
    <row r="28" spans="1:2">
      <c r="A28" s="162" t="s">
        <v>865</v>
      </c>
      <c r="B28" t="s">
        <v>1127</v>
      </c>
    </row>
    <row r="29" spans="1:2">
      <c r="A29" s="162" t="s">
        <v>157</v>
      </c>
      <c r="B29" t="s">
        <v>1127</v>
      </c>
    </row>
    <row r="30" spans="1:2">
      <c r="A30" s="162" t="s">
        <v>401</v>
      </c>
      <c r="B30" t="s">
        <v>218</v>
      </c>
    </row>
    <row r="31" spans="1:2">
      <c r="A31" s="162" t="s">
        <v>147</v>
      </c>
      <c r="B31" t="s">
        <v>218</v>
      </c>
    </row>
    <row r="32" spans="1:2">
      <c r="A32" s="162" t="s">
        <v>262</v>
      </c>
      <c r="B32" t="s">
        <v>218</v>
      </c>
    </row>
    <row r="33" spans="1:2">
      <c r="A33" s="162" t="s">
        <v>149</v>
      </c>
      <c r="B33" t="s">
        <v>218</v>
      </c>
    </row>
    <row r="34" spans="1:2">
      <c r="A34" s="162" t="s">
        <v>448</v>
      </c>
      <c r="B34" t="s">
        <v>218</v>
      </c>
    </row>
    <row r="35" spans="1:2">
      <c r="A35" s="162" t="s">
        <v>155</v>
      </c>
      <c r="B35" t="s">
        <v>218</v>
      </c>
    </row>
    <row r="36" spans="1:2">
      <c r="A36" s="162" t="s">
        <v>68</v>
      </c>
      <c r="B36" t="s">
        <v>218</v>
      </c>
    </row>
    <row r="37" spans="1:2">
      <c r="A37" s="162" t="s">
        <v>452</v>
      </c>
      <c r="B37" t="s">
        <v>1128</v>
      </c>
    </row>
    <row r="38" spans="1:2">
      <c r="A38" s="162" t="s">
        <v>153</v>
      </c>
      <c r="B38" t="s">
        <v>1128</v>
      </c>
    </row>
    <row r="39" spans="1:2">
      <c r="A39" s="162" t="s">
        <v>454</v>
      </c>
      <c r="B39" t="s">
        <v>1128</v>
      </c>
    </row>
    <row r="40" spans="1:2">
      <c r="A40" s="162" t="s">
        <v>151</v>
      </c>
      <c r="B40" t="s">
        <v>1128</v>
      </c>
    </row>
    <row r="41" spans="1:2">
      <c r="A41" s="162" t="s">
        <v>72</v>
      </c>
      <c r="B41" t="s">
        <v>117</v>
      </c>
    </row>
    <row r="42" spans="1:2">
      <c r="A42" s="162" t="s">
        <v>70</v>
      </c>
      <c r="B42" t="s">
        <v>117</v>
      </c>
    </row>
    <row r="43" spans="1:2">
      <c r="A43" s="162" t="s">
        <v>347</v>
      </c>
      <c r="B43" t="s">
        <v>1130</v>
      </c>
    </row>
    <row r="44" spans="1:2">
      <c r="A44" s="162" t="s">
        <v>871</v>
      </c>
      <c r="B44" t="s">
        <v>1130</v>
      </c>
    </row>
    <row r="45" spans="1:2">
      <c r="A45" s="162" t="s">
        <v>868</v>
      </c>
      <c r="B45" t="s">
        <v>1130</v>
      </c>
    </row>
    <row r="46" spans="1:2">
      <c r="A46" s="162" t="s">
        <v>248</v>
      </c>
      <c r="B46" t="s">
        <v>1130</v>
      </c>
    </row>
    <row r="47" spans="1:2">
      <c r="A47" s="162" t="s">
        <v>352</v>
      </c>
      <c r="B47" t="s">
        <v>1130</v>
      </c>
    </row>
    <row r="48" spans="1:2">
      <c r="A48" s="162" t="s">
        <v>359</v>
      </c>
      <c r="B48" t="s">
        <v>1130</v>
      </c>
    </row>
    <row r="49" spans="1:2">
      <c r="A49" s="162" t="s">
        <v>356</v>
      </c>
      <c r="B49" t="s">
        <v>1130</v>
      </c>
    </row>
    <row r="50" spans="1:2">
      <c r="A50" s="162" t="s">
        <v>365</v>
      </c>
      <c r="B50" t="s">
        <v>1130</v>
      </c>
    </row>
    <row r="51" spans="1:2">
      <c r="A51" s="162" t="s">
        <v>367</v>
      </c>
      <c r="B51" t="s">
        <v>1130</v>
      </c>
    </row>
    <row r="52" spans="1:2">
      <c r="A52" s="162" t="s">
        <v>190</v>
      </c>
      <c r="B52" t="s">
        <v>1130</v>
      </c>
    </row>
    <row r="53" spans="1:2">
      <c r="A53" s="162" t="s">
        <v>84</v>
      </c>
      <c r="B53" t="s">
        <v>1130</v>
      </c>
    </row>
    <row r="54" spans="1:2">
      <c r="A54" s="162" t="s">
        <v>484</v>
      </c>
      <c r="B54" t="s">
        <v>1130</v>
      </c>
    </row>
    <row r="55" spans="1:2">
      <c r="A55" s="162" t="s">
        <v>866</v>
      </c>
      <c r="B55" t="s">
        <v>1130</v>
      </c>
    </row>
    <row r="56" spans="1:2">
      <c r="A56" s="162" t="s">
        <v>777</v>
      </c>
      <c r="B56" t="s">
        <v>1130</v>
      </c>
    </row>
    <row r="57" spans="1:2">
      <c r="A57" s="162" t="s">
        <v>870</v>
      </c>
      <c r="B57" t="s">
        <v>1130</v>
      </c>
    </row>
    <row r="58" spans="1:2">
      <c r="A58" s="162" t="s">
        <v>875</v>
      </c>
      <c r="B58" t="s">
        <v>1130</v>
      </c>
    </row>
    <row r="59" spans="1:2">
      <c r="A59" s="162" t="s">
        <v>1101</v>
      </c>
      <c r="B59" t="s">
        <v>1130</v>
      </c>
    </row>
    <row r="60" spans="1:2">
      <c r="A60" s="162" t="s">
        <v>874</v>
      </c>
      <c r="B60" t="s">
        <v>1130</v>
      </c>
    </row>
    <row r="61" spans="1:2">
      <c r="A61" s="162" t="s">
        <v>873</v>
      </c>
      <c r="B61" t="s">
        <v>1130</v>
      </c>
    </row>
    <row r="62" spans="1:2">
      <c r="A62" s="162" t="s">
        <v>485</v>
      </c>
      <c r="B62" t="s">
        <v>1130</v>
      </c>
    </row>
    <row r="63" spans="1:2">
      <c r="A63" s="162" t="s">
        <v>754</v>
      </c>
      <c r="B63" t="s">
        <v>1130</v>
      </c>
    </row>
    <row r="64" spans="1:2">
      <c r="A64" s="162" t="s">
        <v>802</v>
      </c>
      <c r="B64" t="s">
        <v>1130</v>
      </c>
    </row>
    <row r="65" spans="1:2">
      <c r="A65" s="162" t="s">
        <v>785</v>
      </c>
      <c r="B65" t="s">
        <v>1130</v>
      </c>
    </row>
    <row r="66" spans="1:2">
      <c r="A66" s="162" t="s">
        <v>846</v>
      </c>
      <c r="B66" t="s">
        <v>1130</v>
      </c>
    </row>
    <row r="67" spans="1:2">
      <c r="A67" s="162" t="s">
        <v>1108</v>
      </c>
      <c r="B67" t="s">
        <v>1130</v>
      </c>
    </row>
    <row r="68" spans="1:2">
      <c r="A68" s="162" t="s">
        <v>832</v>
      </c>
      <c r="B68" t="s">
        <v>1130</v>
      </c>
    </row>
    <row r="69" spans="1:2">
      <c r="A69" s="162" t="s">
        <v>816</v>
      </c>
      <c r="B69" t="s">
        <v>1130</v>
      </c>
    </row>
    <row r="70" spans="1:2">
      <c r="A70" s="162" t="s">
        <v>143</v>
      </c>
      <c r="B70" t="s">
        <v>130</v>
      </c>
    </row>
    <row r="71" spans="1:2">
      <c r="A71" s="162" t="s">
        <v>275</v>
      </c>
      <c r="B71" t="s">
        <v>130</v>
      </c>
    </row>
    <row r="72" spans="1:2">
      <c r="A72" s="162" t="s">
        <v>98</v>
      </c>
      <c r="B72" t="s">
        <v>130</v>
      </c>
    </row>
    <row r="73" spans="1:2">
      <c r="A73" s="162" t="s">
        <v>872</v>
      </c>
      <c r="B73" t="s">
        <v>1131</v>
      </c>
    </row>
    <row r="74" spans="1:2">
      <c r="A74" s="162" t="s">
        <v>869</v>
      </c>
      <c r="B74" t="s">
        <v>1131</v>
      </c>
    </row>
    <row r="75" spans="1:2">
      <c r="A75" s="162" t="s">
        <v>110</v>
      </c>
      <c r="B75" t="s">
        <v>1129</v>
      </c>
    </row>
    <row r="76" spans="1:2">
      <c r="A76" s="162" t="s">
        <v>108</v>
      </c>
      <c r="B76" t="s">
        <v>1129</v>
      </c>
    </row>
    <row r="77" spans="1:2">
      <c r="A77" s="162" t="s">
        <v>1132</v>
      </c>
      <c r="B77" t="s">
        <v>1129</v>
      </c>
    </row>
    <row r="78" spans="1:2">
      <c r="A78" s="162" t="s">
        <v>853</v>
      </c>
      <c r="B78" t="s">
        <v>1129</v>
      </c>
    </row>
    <row r="79" spans="1:2">
      <c r="A79" s="162" t="s">
        <v>867</v>
      </c>
      <c r="B79" t="s">
        <v>1129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56" t="s">
        <v>160</v>
      </c>
    </row>
    <row r="2" spans="1:22" ht="15.75" thickBot="1">
      <c r="N2" t="s">
        <v>422</v>
      </c>
    </row>
    <row r="3" spans="1:22" ht="30.75" thickBot="1">
      <c r="A3" s="57" t="s">
        <v>161</v>
      </c>
      <c r="B3" s="57" t="s">
        <v>162</v>
      </c>
      <c r="C3" s="57" t="s">
        <v>163</v>
      </c>
      <c r="F3" s="71" t="s">
        <v>188</v>
      </c>
      <c r="G3" s="71" t="s">
        <v>217</v>
      </c>
      <c r="H3" s="71" t="s">
        <v>230</v>
      </c>
      <c r="I3" s="71" t="s">
        <v>218</v>
      </c>
      <c r="N3" s="97" t="s">
        <v>118</v>
      </c>
      <c r="O3" s="97" t="s">
        <v>409</v>
      </c>
      <c r="P3" s="97" t="s">
        <v>217</v>
      </c>
      <c r="Q3" s="97" t="s">
        <v>3</v>
      </c>
      <c r="S3" t="e">
        <f>R4&amp;R5&amp;R6&amp;R7&amp;R8&amp;R9&amp;R10&amp;R11</f>
        <v>#REF!</v>
      </c>
      <c r="T3" t="e">
        <f>BIN2HEX(S3)</f>
        <v>#REF!</v>
      </c>
      <c r="U3" t="e">
        <f>SUM(U4:U11)</f>
        <v>#REF!</v>
      </c>
      <c r="V3" t="e">
        <f>DEC2HEX(U3)</f>
        <v>#REF!</v>
      </c>
    </row>
    <row r="4" spans="1:22" ht="56.25" thickBot="1">
      <c r="A4" s="57" t="s">
        <v>164</v>
      </c>
      <c r="B4" s="58" t="s">
        <v>165</v>
      </c>
      <c r="C4" s="57" t="s">
        <v>166</v>
      </c>
      <c r="F4" s="71" t="s">
        <v>219</v>
      </c>
      <c r="G4" s="72" t="s">
        <v>119</v>
      </c>
      <c r="H4" s="72" t="s">
        <v>220</v>
      </c>
      <c r="I4" s="73" t="s">
        <v>221</v>
      </c>
      <c r="N4" s="97">
        <v>7</v>
      </c>
      <c r="O4" s="97" t="s">
        <v>222</v>
      </c>
      <c r="P4" s="98" t="s">
        <v>410</v>
      </c>
      <c r="Q4" s="98" t="s">
        <v>411</v>
      </c>
      <c r="R4" t="e">
        <f>Sign</f>
        <v>#REF!</v>
      </c>
      <c r="S4">
        <f t="shared" ref="S4:S11" si="0">2^N4</f>
        <v>128</v>
      </c>
      <c r="U4" t="e">
        <f t="shared" ref="U4:U11" si="1">S4*R4</f>
        <v>#REF!</v>
      </c>
    </row>
    <row r="5" spans="1:22" ht="58.5" thickBot="1">
      <c r="A5" s="57" t="s">
        <v>167</v>
      </c>
      <c r="B5" s="58" t="s">
        <v>168</v>
      </c>
      <c r="C5" s="57" t="s">
        <v>169</v>
      </c>
      <c r="F5" s="71" t="s">
        <v>222</v>
      </c>
      <c r="G5" s="72" t="s">
        <v>120</v>
      </c>
      <c r="H5" s="72" t="s">
        <v>220</v>
      </c>
      <c r="I5" s="73" t="s">
        <v>223</v>
      </c>
      <c r="N5" s="97">
        <v>6</v>
      </c>
      <c r="O5" s="97" t="s">
        <v>219</v>
      </c>
      <c r="P5" s="98" t="s">
        <v>412</v>
      </c>
      <c r="Q5" s="98" t="s">
        <v>413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57" t="s">
        <v>170</v>
      </c>
      <c r="B6" s="58" t="s">
        <v>171</v>
      </c>
      <c r="C6" s="57" t="s">
        <v>166</v>
      </c>
      <c r="F6" s="71" t="s">
        <v>224</v>
      </c>
      <c r="G6" s="72" t="s">
        <v>116</v>
      </c>
      <c r="H6" s="72" t="s">
        <v>220</v>
      </c>
      <c r="I6" s="73" t="s">
        <v>225</v>
      </c>
      <c r="N6" s="97">
        <v>5</v>
      </c>
      <c r="O6" s="97">
        <v>0</v>
      </c>
      <c r="P6" s="98" t="s">
        <v>414</v>
      </c>
      <c r="Q6" s="98" t="s">
        <v>415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57" t="s">
        <v>172</v>
      </c>
      <c r="B7" s="58" t="s">
        <v>173</v>
      </c>
      <c r="C7" s="57" t="s">
        <v>174</v>
      </c>
      <c r="F7" s="71" t="s">
        <v>122</v>
      </c>
      <c r="G7" s="72" t="s">
        <v>226</v>
      </c>
      <c r="H7" s="72" t="s">
        <v>220</v>
      </c>
      <c r="I7" s="73" t="s">
        <v>227</v>
      </c>
      <c r="N7" s="97">
        <v>4</v>
      </c>
      <c r="O7" s="97" t="s">
        <v>122</v>
      </c>
      <c r="P7" s="98" t="s">
        <v>226</v>
      </c>
      <c r="Q7" s="98" t="s">
        <v>416</v>
      </c>
      <c r="R7" t="e">
        <f>AC</f>
        <v>#REF!</v>
      </c>
      <c r="S7">
        <f t="shared" si="0"/>
        <v>16</v>
      </c>
      <c r="U7" t="e">
        <f t="shared" si="1"/>
        <v>#REF!</v>
      </c>
    </row>
    <row r="8" spans="1:22" ht="101.25" thickBot="1">
      <c r="A8" s="57" t="s">
        <v>175</v>
      </c>
      <c r="B8" s="58" t="s">
        <v>176</v>
      </c>
      <c r="C8" s="57" t="s">
        <v>177</v>
      </c>
      <c r="F8" s="71" t="s">
        <v>228</v>
      </c>
      <c r="G8" s="72" t="s">
        <v>115</v>
      </c>
      <c r="H8" s="71" t="s">
        <v>166</v>
      </c>
      <c r="I8" s="71" t="s">
        <v>229</v>
      </c>
      <c r="N8" s="97">
        <v>3</v>
      </c>
      <c r="O8" s="97">
        <v>0</v>
      </c>
      <c r="P8" s="98" t="s">
        <v>414</v>
      </c>
      <c r="Q8" s="98" t="s">
        <v>415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97">
        <v>2</v>
      </c>
      <c r="O9" s="97" t="s">
        <v>224</v>
      </c>
      <c r="P9" s="98" t="s">
        <v>417</v>
      </c>
      <c r="Q9" s="98" t="s">
        <v>418</v>
      </c>
      <c r="R9" t="e">
        <f>Parity</f>
        <v>#REF!</v>
      </c>
      <c r="S9">
        <f t="shared" si="0"/>
        <v>4</v>
      </c>
      <c r="U9" t="e">
        <f t="shared" si="1"/>
        <v>#REF!</v>
      </c>
    </row>
    <row r="10" spans="1:22" ht="15.75" thickBot="1">
      <c r="N10" s="97">
        <v>1</v>
      </c>
      <c r="O10" s="97">
        <v>1</v>
      </c>
      <c r="P10" s="98" t="s">
        <v>414</v>
      </c>
      <c r="Q10" s="98" t="s">
        <v>419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97">
        <v>0</v>
      </c>
      <c r="O11" s="97" t="s">
        <v>228</v>
      </c>
      <c r="P11" s="98" t="s">
        <v>420</v>
      </c>
      <c r="Q11" s="98" t="s">
        <v>421</v>
      </c>
      <c r="R11">
        <f>Carry</f>
        <v>1</v>
      </c>
      <c r="S11">
        <f t="shared" si="0"/>
        <v>1</v>
      </c>
      <c r="U11">
        <f t="shared" si="1"/>
        <v>1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110</vt:i4>
      </vt:variant>
    </vt:vector>
  </HeadingPairs>
  <TitlesOfParts>
    <vt:vector size="121" baseType="lpstr">
      <vt:lpstr>CPU</vt:lpstr>
      <vt:lpstr>Unit Tests</vt:lpstr>
      <vt:lpstr>Other Programs</vt:lpstr>
      <vt:lpstr>Export Log</vt:lpstr>
      <vt:lpstr>8080 Op to Hex</vt:lpstr>
      <vt:lpstr>Z80 Op to Hex</vt:lpstr>
      <vt:lpstr>6510 Op to Hex</vt:lpstr>
      <vt:lpstr>6510 Hex Reference</vt:lpstr>
      <vt:lpstr>8080 Op Codes</vt:lpstr>
      <vt:lpstr>Coverage</vt:lpstr>
      <vt:lpstr>Flag Rules</vt:lpstr>
      <vt:lpstr>AtEnd</vt:lpstr>
      <vt:lpstr>Break</vt:lpstr>
      <vt:lpstr>Bytes</vt:lpstr>
      <vt:lpstr>Carry</vt:lpstr>
      <vt:lpstr>Code</vt:lpstr>
      <vt:lpstr>CompileTest</vt:lpstr>
      <vt:lpstr>consoleOut</vt:lpstr>
      <vt:lpstr>consoleText</vt:lpstr>
      <vt:lpstr>CPUMode</vt:lpstr>
      <vt:lpstr>CPUTest</vt:lpstr>
      <vt:lpstr>dataAddressHex</vt:lpstr>
      <vt:lpstr>DB</vt:lpstr>
      <vt:lpstr>Debug</vt:lpstr>
      <vt:lpstr>Decimal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Interrupt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Negative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Overflow</vt:lpstr>
      <vt:lpstr>PC</vt:lpstr>
      <vt:lpstr>Procedures</vt:lpstr>
      <vt:lpstr>Program</vt:lpstr>
      <vt:lpstr>R_A</vt:lpstr>
      <vt:lpstr>R_Ap</vt:lpstr>
      <vt:lpstr>R_Bp</vt:lpstr>
      <vt:lpstr>R_Cp</vt:lpstr>
      <vt:lpstr>R_Dp</vt:lpstr>
      <vt:lpstr>R_Ep</vt:lpstr>
      <vt:lpstr>R_F</vt:lpstr>
      <vt:lpstr>R_Fp</vt:lpstr>
      <vt:lpstr>R_Hp</vt:lpstr>
      <vt:lpstr>R_I</vt:lpstr>
      <vt:lpstr>R_IX</vt:lpstr>
      <vt:lpstr>R_IY</vt:lpstr>
      <vt:lpstr>R_Lp</vt:lpstr>
      <vt:lpstr>R_R</vt:lpstr>
      <vt:lpstr>R_X</vt:lpstr>
      <vt:lpstr>R_Y</vt:lpstr>
      <vt:lpstr>Registers</vt:lpstr>
      <vt:lpstr>Reset</vt:lpstr>
      <vt:lpstr>RunTest</vt:lpstr>
      <vt:lpstr>SkipBreaks</vt:lpstr>
      <vt:lpstr>SP</vt:lpstr>
      <vt:lpstr>SR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VersionNumber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2026-04-02T16:51:19Z</dcterms:modified>
</cp:coreProperties>
</file>