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B9ED0895-07CC-436D-9661-50A6C8E2D09A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27" i="5" a="1"/>
  <c r="J132" i="5" a="1"/>
  <c r="J142" i="5" a="1"/>
  <c r="J243" i="5" a="1"/>
  <c r="J260" i="5" a="1"/>
  <c r="J303" i="5" a="1"/>
  <c r="J137" i="5" a="1"/>
  <c r="J285" i="5" a="1"/>
  <c r="J215" i="5" a="1"/>
  <c r="J226" i="5" a="1"/>
  <c r="J286" i="5" a="1"/>
  <c r="J241" i="5" a="1"/>
  <c r="J177" i="5" a="1"/>
  <c r="J261" i="5" a="1"/>
  <c r="J152" i="5" a="1"/>
  <c r="J131" i="5" a="1"/>
  <c r="J127" i="5" a="1"/>
  <c r="J291" i="5" a="1"/>
  <c r="J46" i="5" a="1"/>
  <c r="J313" i="5" a="1"/>
  <c r="J275" i="5" a="1"/>
  <c r="J324" i="5" a="1"/>
  <c r="J218" i="5" a="1"/>
  <c r="J175" i="5" a="1"/>
  <c r="J145" i="5" a="1"/>
  <c r="J282" i="5" a="1"/>
  <c r="J234" i="5" a="1"/>
  <c r="J270" i="5" a="1"/>
  <c r="J186" i="5" a="1"/>
  <c r="J332" i="5" a="1"/>
  <c r="J269" i="5" a="1"/>
  <c r="J315" i="5" a="1"/>
  <c r="J128" i="5" a="1"/>
  <c r="J293" i="5" a="1"/>
  <c r="J155" i="5" a="1"/>
  <c r="J271" i="5" a="1"/>
  <c r="J274" i="5" a="1"/>
  <c r="J288" i="5" a="1"/>
  <c r="J255" i="5" a="1"/>
  <c r="J294" i="5" a="1"/>
  <c r="J277" i="5" a="1"/>
  <c r="J187" i="5" a="1"/>
  <c r="J330" i="5" a="1"/>
  <c r="J333" i="5" a="1"/>
  <c r="J225" i="5" a="1"/>
  <c r="J284" i="5" a="1"/>
  <c r="J276" i="5" a="1"/>
  <c r="J151" i="5" a="1"/>
  <c r="J262" i="5" a="1"/>
  <c r="J167" i="5" a="1"/>
  <c r="J170" i="5" a="1"/>
  <c r="J188" i="5" a="1"/>
  <c r="J197" i="5" a="1"/>
  <c r="J228" i="5" a="1"/>
  <c r="J191" i="5" a="1"/>
  <c r="J278" i="5" a="1"/>
  <c r="J150" i="5" a="1"/>
  <c r="J143" i="5" a="1"/>
  <c r="J242" i="5" a="1"/>
  <c r="J249" i="5" a="1"/>
  <c r="J166" i="5" a="1"/>
  <c r="J178" i="5" a="1"/>
  <c r="J320" i="5" a="1"/>
  <c r="J302" i="5" a="1"/>
  <c r="J248" i="5" a="1"/>
  <c r="J44" i="5" a="1"/>
  <c r="J263" i="5" a="1"/>
  <c r="J267" i="5" a="1"/>
  <c r="J246" i="5" a="1"/>
  <c r="J287" i="5" a="1"/>
  <c r="J185" i="5" a="1"/>
  <c r="J297" i="5" a="1"/>
  <c r="J171" i="5" a="1"/>
  <c r="J329" i="5" a="1"/>
  <c r="J266" i="5" a="1"/>
  <c r="J256" i="5" a="1"/>
  <c r="J304" i="5" a="1"/>
  <c r="J310" i="5" a="1"/>
  <c r="J179" i="5" a="1"/>
  <c r="J195" i="5" a="1"/>
  <c r="J153" i="5" a="1"/>
  <c r="J168" i="5" a="1"/>
  <c r="J311" i="5" a="1"/>
  <c r="J300" i="5" a="1"/>
  <c r="J268" i="5" a="1"/>
  <c r="J144" i="5" a="1"/>
  <c r="J236" i="5" a="1"/>
  <c r="J314" i="5" a="1"/>
  <c r="J323" i="5" a="1"/>
  <c r="J199" i="5" a="1"/>
  <c r="J295" i="5" a="1"/>
  <c r="J331" i="5" a="1"/>
  <c r="J129" i="5" a="1"/>
  <c r="J206" i="5" a="1"/>
  <c r="J283" i="5" a="1"/>
  <c r="J318" i="5" a="1"/>
  <c r="J138" i="5" a="1"/>
  <c r="J176" i="5" a="1"/>
  <c r="J235" i="5" a="1"/>
  <c r="J305" i="5" a="1"/>
  <c r="J219" i="5" a="1"/>
  <c r="J322" i="5" a="1"/>
  <c r="J312" i="5" a="1"/>
  <c r="J156" i="5" a="1"/>
  <c r="J133" i="5" a="1"/>
  <c r="J141" i="5" a="1"/>
  <c r="J196" i="5" a="1"/>
  <c r="J306" i="5" a="1"/>
  <c r="J200" i="5" a="1"/>
  <c r="J247" i="5" a="1"/>
  <c r="J296" i="5" a="1"/>
  <c r="J201" i="5" a="1"/>
  <c r="J327" i="5" a="1"/>
  <c r="J292" i="5" a="1"/>
  <c r="J130" i="5" a="1"/>
  <c r="J189" i="5" a="1"/>
  <c r="J245" i="5" a="1"/>
  <c r="J181" i="5" a="1"/>
  <c r="J198" i="5" a="1"/>
  <c r="J321" i="5" a="1"/>
  <c r="J279" i="5" a="1"/>
  <c r="J158" i="5" a="1"/>
  <c r="J126" i="5" a="1"/>
  <c r="J165" i="5" a="1"/>
  <c r="J136" i="5" a="1"/>
  <c r="J309" i="5" a="1"/>
  <c r="J212" i="5" a="1"/>
  <c r="J237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07" i="5" a="1"/>
  <c r="J85" i="5" a="1"/>
  <c r="J110" i="5" a="1"/>
  <c r="J102" i="5" a="1"/>
  <c r="J108" i="5" a="1"/>
  <c r="J87" i="5" a="1"/>
  <c r="J101" i="5" a="1"/>
  <c r="J89" i="5" a="1"/>
  <c r="J109" i="5" a="1"/>
  <c r="J84" i="5" a="1"/>
  <c r="J88" i="5" a="1"/>
  <c r="J99" i="5" a="1"/>
  <c r="J86" i="5" a="1"/>
  <c r="J100" i="5" a="1"/>
  <c r="J91" i="5" a="1"/>
  <c r="J80" i="5" a="1"/>
  <c r="J9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2" i="5" a="1"/>
  <c r="J42" i="5" a="1"/>
  <c r="J77" i="5" a="1"/>
  <c r="J60" i="5" a="1"/>
  <c r="J71" i="5" a="1"/>
  <c r="J31" i="5" a="1"/>
  <c r="J79" i="5" a="1"/>
  <c r="J26" i="5" a="1"/>
  <c r="J61" i="5" a="1"/>
  <c r="J52" i="5" a="1"/>
  <c r="J51" i="5" a="1"/>
  <c r="J33" i="5" a="1"/>
  <c r="J40" i="5" a="1"/>
  <c r="J12" i="5" a="1"/>
  <c r="J22" i="5" a="1"/>
  <c r="J35" i="5" a="1"/>
  <c r="J19" i="5" a="1"/>
  <c r="J70" i="5" a="1"/>
  <c r="J78" i="5" a="1"/>
  <c r="J69" i="5" a="1"/>
  <c r="J63" i="5" a="1"/>
  <c r="J5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5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<sst xmlns="http://schemas.openxmlformats.org/spreadsheetml/2006/main" count="1478" uniqueCount="429">
  <si>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</si>
  <si>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</si>
  <si>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</si>
  <si>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</si>
  <si>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</si>
  <si>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</si>
  <si>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</si>
  <si>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</si>
  <si>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</si>
  <si>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</si>
  <si>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</si>
  <si>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</si>
  <si>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</si>
  <si>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</si>
  <si>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</si>
  <si>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</si>
  <si>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</si>
  <si>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</si>
  <si>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</si>
  <si>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</si>
  <si>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</si>
  <si>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</si>
  <si>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</si>
  <si>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</si>
  <si>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</si>
  <si>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</si>
  <si>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</si>
  <si>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</si>
  <si>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</si>
  <si>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</si>
  <si>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</si>
  <si>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</si>
  <si>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</si>
  <si>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</si>
  <si>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</si>
  <si>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</si>
  <si>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</si>
  <si>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</si>
  <si>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</si>
  <si>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</si>
  <si>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</si>
  <si>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</si>
  <si>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</si>
  <si>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</si>
  <si>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</si>
  <si>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</si>
  <si>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</si>
  <si>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</si>
  <si>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</si>
  <si>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</si>
  <si>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</si>
  <si>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</si>
  <si>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</si>
  <si>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</si>
  <si>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</si>
  <si>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</si>
  <si>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</si>
  <si>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</si>
  <si>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</si>
  <si>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</si>
  <si>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</si>
  <si>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</si>
  <si>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</si>
  <si>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</si>
  <si>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</si>
  <si>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</si>
  <si>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</si>
  <si>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</si>
  <si>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</si>
  <si>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</si>
  <si>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</si>
  <si>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</si>
  <si>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</si>
  <si>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</si>
  <si>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</si>
  <si>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</si>
  <si>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</si>
  <si>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</si>
  <si>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</si>
  <si>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</si>
  <si>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</si>
  <si>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</si>
  <si>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</si>
  <si>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</si>
  <si>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</si>
  <si>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</si>
  <si>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</si>
  <si>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</si>
  <si>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</si>
  <si>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</si>
  <si>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</si>
  <si>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</si>
  <si>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</si>
  <si>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</si>
  <si>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</si>
  <si>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</si>
  <si>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</si>
  <si>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</si>
  <si>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</si>
  <si>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</si>
  <si>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</si>
  <si>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</si>
  <si>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</si>
  <si>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</si>
  <si>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</si>
  <si>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</si>
  <si>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</si>
  <si>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</si>
  <si>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</si>
  <si>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</si>
  <si>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</si>
  <si>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</si>
  <si>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</si>
  <si>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</si>
  <si>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</si>
  <si>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</si>
  <si>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</si>
  <si>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</si>
  <si>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</si>
  <si>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</si>
  <si>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</si>
  <si>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</si>
  <si>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</si>
  <si>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</si>
  <si>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</si>
  <si>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</si>
  <si>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</si>
  <si>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</si>
  <si>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</si>
  <si>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</si>
  <si>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</si>
  <si>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</si>
  <si>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</si>
  <si>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</si>
  <si>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</si>
  <si>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</si>
  <si>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</si>
  <si>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</si>
  <si>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</si>
  <si>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</si>
  <si>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</si>
  <si>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</si>
  <si>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</si>
  <si>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</si>
  <si>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</si>
  <si>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</si>
  <si>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</si>
  <si>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</si>
  <si>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</si>
  <si>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</si>
  <si>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</si>
  <si>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</si>
  <si>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</si>
  <si>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</si>
  <si>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</si>
  <si>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</si>
  <si>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</si>
  <si>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</si>
  <si>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</si>
  <si>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</si>
  <si>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</si>
  <si>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</si>
  <si>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</si>
  <si>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</si>
  <si>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</si>
  <si>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</si>
  <si>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</si>
  <si>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</si>
  <si>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</si>
  <si>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</si>
  <si>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</si>
  <si>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</si>
  <si>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</si>
  <si>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</si>
  <si>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</si>
  <si>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</si>
  <si>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</si>
  <si>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</si>
  <si>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</si>
  <si>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</si>
  <si>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</si>
  <si>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</si>
  <si>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</si>
  <si>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</si>
  <si>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</si>
  <si>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</si>
  <si>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</si>
  <si>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</si>
  <si>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</si>
  <si>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</si>
  <si>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</si>
  <si>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</si>
  <si>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</si>
  <si>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</si>
  <si>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</si>
  <si>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</si>
  <si>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</si>
  <si>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</si>
  <si>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</si>
  <si>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</si>
  <si>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</si>
  <si>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</si>
  <si>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</si>
  <si>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</si>
  <si>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</si>
  <si>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</si>
  <si>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</si>
  <si>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</si>
  <si>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</si>
  <si>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</si>
  <si>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</si>
  <si>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</si>
  <si>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</si>
  <si>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</si>
  <si>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</si>
  <si>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</si>
  <si>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</si>
  <si>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</si>
  <si>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</si>
  <si>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</si>
  <si>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</si>
  <si>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</si>
  <si>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</si>
  <si>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</si>
  <si>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</si>
  <si>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</si>
  <si>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</si>
  <si>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</si>
  <si>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</si>
  <si>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</si>
  <si>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</si>
  <si>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</si>
  <si>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</si>
  <si>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</si>
  <si>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</si>
  <si>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</si>
  <si>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</si>
  <si>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</si>
  <si>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</si>
  <si>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</si>
  <si>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</si>
  <si>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</si>
  <si>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</si>
  <si>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</si>
  <si>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</si>
  <si>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</si>
  <si>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</si>
  <si>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</si>
  <si>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</si>
  <si>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</si>
  <si>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</si>
  <si>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</si>
  <si>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</si>
  <si>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</si>
  <si>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</si>
  <si>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</si>
  <si>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</si>
  <si>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</si>
  <si>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</si>
  <si>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</si>
  <si>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</si>
  <si>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</si>
  <si>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</si>
  <si>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</si>
  <si>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</si>
  <si>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</si>
  <si>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</si>
  <si>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</si>
  <si>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</si>
  <si>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</si>
  <si>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</si>
  <si>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</si>
  <si>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</si>
  <si>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</si>
  <si>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</si>
  <si>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</si>
  <si>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</si>
  <si>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</si>
  <si>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</si>
  <si>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</si>
  <si>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</si>
  <si>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</si>
  <si>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</si>
  <si>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</si>
  <si>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</si>
  <si>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</si>
  <si>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</si>
  <si>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</si>
  <si>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</si>
  <si>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</si>
  <si>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</si>
  <si>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</si>
  <si>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</si>
  <si>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</si>
  <si>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</si>
  <si>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</si>
  <si>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</si>
  <si>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</si>
  <si>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</si>
  <si>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</si>
  <si>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</si>
  <si>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</si>
  <si>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</si>
  <si>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</si>
  <si>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</si>
  <si>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</si>
  <si>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</si>
  <si>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</si>
  <si>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</si>
  <si>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</si>
  <si>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</si>
  <si>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</si>
  <si>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</si>
  <si>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</si>
  <si>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</si>
  <si>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</si>
  <si>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</si>
  <si>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</si>
  <si>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</si>
  <si>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</si>
  <si>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</si>
  <si>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</si>
  <si>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</si>
  <si>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</si>
  <si>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</si>
  <si>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</si>
  <si>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</si>
  <si>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</si>
  <si>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</si>
  <si>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</si>
  <si>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</si>
  <si>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</si>
  <si>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</si>
  <si>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</si>
  <si>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</si>
  <si>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</si>
  <si>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</si>
  <si>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</si>
  <si>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</si>
  <si>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</si>
  <si>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</si>
  <si>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</si>
  <si>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</si>
  <si>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</si>
  <si>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</si>
  <si>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</si>
  <si>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</si>
  <si>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</si>
  <si>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</si>
  <si>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</si>
  <si>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</si>
  <si>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</si>
  <si>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</si>
  <si>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</si>
  <si>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</si>
  <si>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</si>
  <si>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</si>
  <si>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</si>
  <si>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</si>
  <si>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</si>
  <si>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</si>
  <si>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</si>
  <si>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</si>
  <si>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</si>
  <si>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</si>
  <si>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</si>
  <si>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</si>
  <si>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</si>
  <si>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</si>
  <si>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</si>
  <si>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</si>
  <si>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</si>
  <si>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</si>
  <si>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</si>
  <si>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</si>
  <si>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</si>
  <si>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</si>
  <si>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</si>
  <si>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</si>
  <si>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</si>
  <si>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</si>
  <si>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</si>
  <si>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</si>
  <si>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</si>
  <si>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</si>
  <si>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</si>
  <si>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</si>
  <si>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</si>
  <si>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</si>
  <si>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</si>
  <si>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</si>
  <si>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</si>
  <si>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</si>
  <si>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</si>
  <si>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</si>
  <si>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</si>
  <si>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</si>
  <si>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</si>
  <si>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</si>
  <si>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</si>
  <si>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</si>
  <si>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</si>
  <si>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</si>
  <si>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</si>
  <si>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</si>
  <si>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</si>
  <si>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</si>
  <si>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</si>
  <si>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</si>
  <si>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</si>
  <si>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</si>
  <si>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</si>
  <si>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</si>
  <si>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</si>
  <si>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</si>
  <si>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</si>
  <si>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</si>
  <si>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</si>
  <si>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</si>
  <si>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</si>
  <si>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</si>
  <si>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</si>
  <si>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</si>
  <si>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</si>
  <si>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</si>
  <si>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</si>
  <si>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09</t>
  </si>
  <si>
    <t>0108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</si>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</sst>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4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9" t="s">
        <v>375</v>
      </c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1"/>
      <c r="AN1" s="67" t="s">
        <v>425</v>
      </c>
      <c r="AO1" s="67" t="s">
        <v>421</v>
      </c>
      <c r="AP1" s="6"/>
    </row>
    <row r="2" spans="1:42">
      <c r="A2" s="14" t="s">
        <v>135</v>
      </c>
      <c r="B2" s="15">
        <v>1</v>
      </c>
      <c r="AN2" s="118">
        <v>0</v>
      </c>
      <c r="AO2" s="118" t="s">
        <v>422</v>
      </c>
      <c r="AP2" s="6"/>
    </row>
    <row r="3" spans="1:42" ht="15.75" thickBot="1">
      <c r="A3" s="8" t="s">
        <v>134</v>
      </c>
      <c r="B3" s="13">
        <f>Line0</f>
        <v>256</v>
      </c>
      <c r="AN3" s="118">
        <v>0</v>
      </c>
      <c r="AO3" s="118" t="s">
        <v>423</v>
      </c>
      <c r="AP3" s="6"/>
    </row>
    <row r="4" spans="1:42" ht="15.75" thickBot="1">
      <c r="AA4" s="7" t="s">
        <v>413</v>
      </c>
      <c r="AB4" s="110">
        <f>HEX2DEC(AB5)</f>
        <v>63</v>
      </c>
      <c r="AC4" s="112">
        <f t="shared" ref="AC4:AJ4" si="0">AB4-AC5*AC6</f>
        <v>63</v>
      </c>
      <c r="AD4" s="113">
        <f t="shared" si="0"/>
        <v>63</v>
      </c>
      <c r="AE4" s="113">
        <f t="shared" si="0"/>
        <v>31</v>
      </c>
      <c r="AF4" s="113">
        <f t="shared" si="0"/>
        <v>15</v>
      </c>
      <c r="AG4" s="113">
        <f t="shared" si="0"/>
        <v>7</v>
      </c>
      <c r="AH4" s="113">
        <f t="shared" si="0"/>
        <v>3</v>
      </c>
      <c r="AI4" s="113">
        <f t="shared" si="0"/>
        <v>1</v>
      </c>
      <c r="AJ4" s="114">
        <f t="shared" si="0"/>
        <v>1</v>
      </c>
      <c r="AK4" t="s">
        <v>414</v>
      </c>
      <c r="AL4" t="s">
        <v>415</v>
      </c>
      <c r="AN4" s="118">
        <v>1</v>
      </c>
      <c r="AO4" s="118" t="s">
        <v>424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1" t="s">
        <v>412</v>
      </c>
      <c r="AC5" s="115">
        <f t="shared" ref="AC5:AJ5" si="1">IF(AB4&gt;AC6,1,0)</f>
        <v>0</v>
      </c>
      <c r="AD5" s="115">
        <f t="shared" si="1"/>
        <v>0</v>
      </c>
      <c r="AE5" s="115">
        <f t="shared" si="1"/>
        <v>1</v>
      </c>
      <c r="AF5" s="115">
        <f t="shared" si="1"/>
        <v>1</v>
      </c>
      <c r="AG5" s="115">
        <f t="shared" si="1"/>
        <v>1</v>
      </c>
      <c r="AH5" s="115">
        <f t="shared" si="1"/>
        <v>1</v>
      </c>
      <c r="AI5" s="115">
        <f t="shared" si="1"/>
        <v>1</v>
      </c>
      <c r="AJ5" s="115">
        <f t="shared" si="1"/>
        <v>1</v>
      </c>
      <c r="AK5" s="116">
        <f>SUM(AC5:AJ5)</f>
        <v>6</v>
      </c>
      <c r="AL5" s="116">
        <f>IF(AK5/2=INT(AK5/2),1,0)</f>
        <v>1</v>
      </c>
    </row>
    <row r="6" spans="1:42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5">
        <v>128</v>
      </c>
      <c r="AD6" s="115">
        <v>64</v>
      </c>
      <c r="AE6" s="115">
        <v>32</v>
      </c>
      <c r="AF6" s="115">
        <v>16</v>
      </c>
      <c r="AG6" s="115">
        <v>8</v>
      </c>
      <c r="AH6" s="115">
        <v>4</v>
      </c>
      <c r="AI6" s="115">
        <v>2</v>
      </c>
      <c r="AJ6" s="115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5"/>
      <c r="AD7" s="115"/>
      <c r="AE7" s="115"/>
      <c r="AF7" s="115"/>
      <c r="AG7" s="115"/>
      <c r="AH7" s="115"/>
      <c r="AI7" s="115"/>
      <c r="AJ7" s="115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301</v>
      </c>
      <c r="Q8" s="103" t="s">
        <v>315</v>
      </c>
      <c r="R8" s="104" t="s">
        <v>302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312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307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313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426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301</v>
      </c>
      <c r="Q12" s="103" t="s">
        <v>315</v>
      </c>
      <c r="R12" s="104" t="s">
        <v>305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427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314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302</v>
      </c>
      <c r="P16" s="102" t="s">
        <v>304</v>
      </c>
      <c r="Q16" s="103" t="s">
        <v>303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305</v>
      </c>
      <c r="P17" s="102" t="s">
        <v>304</v>
      </c>
      <c r="Q17" s="103" t="s">
        <v>306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10" activePane="bottomLeft" state="frozen"/>
      <selection pane="bottomLeft" activeCell="U32" sqref="U3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31" t="s">
        <v>342</v>
      </c>
      <c r="V4" s="132"/>
      <c r="W4" s="132"/>
      <c r="X4" s="132"/>
      <c r="Y4" s="132"/>
      <c r="Z4" s="132"/>
      <c r="AA4" s="132"/>
      <c r="AB4" s="13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22" t="s">
        <v>428</v>
      </c>
      <c r="V5" s="123"/>
      <c r="W5" s="123"/>
      <c r="X5" s="123"/>
      <c r="Y5" s="123"/>
      <c r="Z5" s="123"/>
      <c r="AA5" s="123"/>
      <c r="AB5" s="12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5"/>
      <c r="V6" s="126"/>
      <c r="W6" s="126"/>
      <c r="X6" s="126"/>
      <c r="Y6" s="126"/>
      <c r="Z6" s="126"/>
      <c r="AA6" s="126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5"/>
      <c r="V7" s="126"/>
      <c r="W7" s="126"/>
      <c r="X7" s="126"/>
      <c r="Y7" s="126"/>
      <c r="Z7" s="126"/>
      <c r="AA7" s="126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5"/>
      <c r="V8" s="126"/>
      <c r="W8" s="126"/>
      <c r="X8" s="126"/>
      <c r="Y8" s="126"/>
      <c r="Z8" s="126"/>
      <c r="AA8" s="126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5"/>
      <c r="V9" s="126"/>
      <c r="W9" s="126"/>
      <c r="X9" s="126"/>
      <c r="Y9" s="126"/>
      <c r="Z9" s="126"/>
      <c r="AA9" s="126"/>
      <c r="AB9" s="127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5"/>
      <c r="V10" s="126"/>
      <c r="W10" s="126"/>
      <c r="X10" s="126"/>
      <c r="Y10" s="126"/>
      <c r="Z10" s="126"/>
      <c r="AA10" s="126"/>
      <c r="AB10" s="12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5"/>
      <c r="V11" s="126"/>
      <c r="W11" s="126"/>
      <c r="X11" s="126"/>
      <c r="Y11" s="126"/>
      <c r="Z11" s="126"/>
      <c r="AA11" s="126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5"/>
      <c r="V12" s="126"/>
      <c r="W12" s="126"/>
      <c r="X12" s="126"/>
      <c r="Y12" s="126"/>
      <c r="Z12" s="126"/>
      <c r="AA12" s="126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5"/>
      <c r="V13" s="126"/>
      <c r="W13" s="126"/>
      <c r="X13" s="126"/>
      <c r="Y13" s="126"/>
      <c r="Z13" s="126"/>
      <c r="AA13" s="126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5"/>
      <c r="V14" s="126"/>
      <c r="W14" s="126"/>
      <c r="X14" s="126"/>
      <c r="Y14" s="126"/>
      <c r="Z14" s="126"/>
      <c r="AA14" s="126"/>
      <c r="AB14" s="127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5"/>
      <c r="V15" s="126"/>
      <c r="W15" s="126"/>
      <c r="X15" s="126"/>
      <c r="Y15" s="126"/>
      <c r="Z15" s="126"/>
      <c r="AA15" s="126"/>
      <c r="AB15" s="12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5"/>
      <c r="V16" s="126"/>
      <c r="W16" s="126"/>
      <c r="X16" s="126"/>
      <c r="Y16" s="126"/>
      <c r="Z16" s="126"/>
      <c r="AA16" s="126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5"/>
      <c r="V17" s="126"/>
      <c r="W17" s="126"/>
      <c r="X17" s="126"/>
      <c r="Y17" s="126"/>
      <c r="Z17" s="126"/>
      <c r="AA17" s="126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25"/>
      <c r="V18" s="126"/>
      <c r="W18" s="126"/>
      <c r="X18" s="126"/>
      <c r="Y18" s="126"/>
      <c r="Z18" s="126"/>
      <c r="AA18" s="126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5"/>
      <c r="V19" s="126"/>
      <c r="W19" s="126"/>
      <c r="X19" s="126"/>
      <c r="Y19" s="126"/>
      <c r="Z19" s="126"/>
      <c r="AA19" s="126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5"/>
      <c r="V20" s="126"/>
      <c r="W20" s="126"/>
      <c r="X20" s="126"/>
      <c r="Y20" s="126"/>
      <c r="Z20" s="126"/>
      <c r="AA20" s="126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5"/>
      <c r="V21" s="126"/>
      <c r="W21" s="126"/>
      <c r="X21" s="126"/>
      <c r="Y21" s="126"/>
      <c r="Z21" s="126"/>
      <c r="AA21" s="126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5"/>
      <c r="V22" s="126"/>
      <c r="W22" s="126"/>
      <c r="X22" s="126"/>
      <c r="Y22" s="126"/>
      <c r="Z22" s="126"/>
      <c r="AA22" s="126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5"/>
      <c r="V23" s="126"/>
      <c r="W23" s="126"/>
      <c r="X23" s="126"/>
      <c r="Y23" s="126"/>
      <c r="Z23" s="126"/>
      <c r="AA23" s="126"/>
      <c r="AB23" s="12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8"/>
      <c r="V24" s="129"/>
      <c r="W24" s="129"/>
      <c r="X24" s="129"/>
      <c r="Y24" s="129"/>
      <c r="Z24" s="129"/>
      <c r="AA24" s="129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403</v>
      </c>
      <c r="Q40" s="40" t="str">
        <f t="shared" si="10"/>
        <v/>
      </c>
      <c r="R40" s="40">
        <v>0</v>
      </c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>
        <v>0</v>
      </c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>
        <v>0</v>
      </c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>
        <v>0</v>
      </c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08" t="s">
        <v>344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416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418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417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419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7"/>
      <c r="R325" s="117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9" t="s">
        <v>393</v>
      </c>
      <c r="L326" s="70" t="s">
        <v>420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2026-02-14T20:14:39Z</dcterms:modified>
</cp:coreProperties>
</file>