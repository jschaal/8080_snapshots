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1F2DFE5-9BF4-4584-83A8-AAA95D4B74B1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oryTableAddress">CPU!$Z$14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8" i="5" l="1"/>
  <c r="C503" i="5"/>
  <c r="C504" i="5" s="1"/>
  <c r="B31" i="2"/>
  <c r="J507" i="5"/>
  <c r="J506" i="5"/>
  <c r="J505" i="5"/>
  <c r="J504" i="5"/>
  <c r="J503" i="5"/>
  <c r="C502" i="5"/>
  <c r="B501" i="5"/>
  <c r="M500" i="5"/>
  <c r="S1009" i="2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AC5" i="2" s="1"/>
  <c r="AC7" i="2" s="1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6" i="2" a="1"/>
  <c r="AA15" i="2" a="1"/>
  <c r="AA21" i="2" a="1"/>
  <c r="AA20" i="2" a="1"/>
  <c r="AA19" i="2" a="1"/>
  <c r="AA18" i="2" a="1"/>
  <c r="AA17" i="2" a="1"/>
  <c r="AA311" i="2" a="1"/>
  <c r="AA272" i="2" a="1"/>
  <c r="AA829" i="2" a="1"/>
  <c r="AA886" i="2" a="1"/>
  <c r="AA389" i="2" a="1"/>
  <c r="AA244" i="2" a="1"/>
  <c r="AA469" i="2" a="1"/>
  <c r="AA295" i="2" a="1"/>
  <c r="AA503" i="2" a="1"/>
  <c r="AA156" i="2" a="1"/>
  <c r="AA899" i="2" a="1"/>
  <c r="AA103" i="2" a="1"/>
  <c r="AA297" i="2" a="1"/>
  <c r="AA392" i="2" a="1"/>
  <c r="AA804" i="2" a="1"/>
  <c r="AA922" i="2" a="1"/>
  <c r="AA153" i="2" a="1"/>
  <c r="AA1056" i="2" a="1"/>
  <c r="AA918" i="2" a="1"/>
  <c r="AA433" i="2" a="1"/>
  <c r="AA276" i="2" a="1"/>
  <c r="AA517" i="2" a="1"/>
  <c r="AA622" i="2" a="1"/>
  <c r="AA1034" i="2" a="1"/>
  <c r="AA308" i="2" a="1"/>
  <c r="AA621" i="2" a="1"/>
  <c r="AA579" i="2" a="1"/>
  <c r="AA58" i="2" a="1"/>
  <c r="AA1028" i="2" a="1"/>
  <c r="AA134" i="2" a="1"/>
  <c r="AA550" i="2" a="1"/>
  <c r="AA709" i="2" a="1"/>
  <c r="AA370" i="2" a="1"/>
  <c r="AA519" i="2" a="1"/>
  <c r="AA498" i="2" a="1"/>
  <c r="AA430" i="2" a="1"/>
  <c r="AA634" i="2" a="1"/>
  <c r="AA388" i="2" a="1"/>
  <c r="AA960" i="2" a="1"/>
  <c r="AA537" i="2" a="1"/>
  <c r="AA932" i="2" a="1"/>
  <c r="AA535" i="2" a="1"/>
  <c r="AA277" i="2" a="1"/>
  <c r="AA253" i="2" a="1"/>
  <c r="AA662" i="2" a="1"/>
  <c r="AA293" i="2" a="1"/>
  <c r="AA944" i="2" a="1"/>
  <c r="AA459" i="2" a="1"/>
  <c r="AA448" i="2" a="1"/>
  <c r="AA228" i="2" a="1"/>
  <c r="AA423" i="2" a="1"/>
  <c r="AA528" i="2" a="1"/>
  <c r="AA375" i="2" a="1"/>
  <c r="AA937" i="2" a="1"/>
  <c r="AA219" i="2" a="1"/>
  <c r="AA412" i="2" a="1"/>
  <c r="AA756" i="2" a="1"/>
  <c r="AA1037" i="2" a="1"/>
  <c r="AA179" i="2" a="1"/>
  <c r="AA567" i="2" a="1"/>
  <c r="AA698" i="2" a="1"/>
  <c r="AA32" i="2" a="1"/>
  <c r="AA720" i="2" a="1"/>
  <c r="AA896" i="2" a="1"/>
  <c r="AA259" i="2" a="1"/>
  <c r="AA146" i="2" a="1"/>
  <c r="AA289" i="2" a="1"/>
  <c r="AA174" i="2" a="1"/>
  <c r="AA270" i="2" a="1"/>
  <c r="AA44" i="2" a="1"/>
  <c r="AA471" i="2" a="1"/>
  <c r="AA591" i="2" a="1"/>
  <c r="AA136" i="2" a="1"/>
  <c r="AA908" i="2" a="1"/>
  <c r="AA914" i="2" a="1"/>
  <c r="AA830" i="2" a="1"/>
  <c r="AA522" i="2" a="1"/>
  <c r="AA539" i="2" a="1"/>
  <c r="AA1020" i="2" a="1"/>
  <c r="AA432" i="2" a="1"/>
  <c r="AA466" i="2" a="1"/>
  <c r="AA1036" i="2" a="1"/>
  <c r="AA211" i="2" a="1"/>
  <c r="AA562" i="2" a="1"/>
  <c r="AA336" i="2" a="1"/>
  <c r="AA434" i="2" a="1"/>
  <c r="AA707" i="2" a="1"/>
  <c r="AA661" i="2" a="1"/>
  <c r="AA364" i="2" a="1"/>
  <c r="AA446" i="2" a="1"/>
  <c r="AA419" i="2" a="1"/>
  <c r="AA43" i="2" a="1"/>
  <c r="AA133" i="2" a="1"/>
  <c r="AA505" i="2" a="1"/>
  <c r="AA256" i="2" a="1"/>
  <c r="AA1060" i="2" a="1"/>
  <c r="AA158" i="2" a="1"/>
  <c r="AA88" i="2" a="1"/>
  <c r="AA793" i="2" a="1"/>
  <c r="AA716" i="2" a="1"/>
  <c r="AA114" i="2" a="1"/>
  <c r="AA700" i="2" a="1"/>
  <c r="AA631" i="2" a="1"/>
  <c r="AA997" i="2" a="1"/>
  <c r="AA363" i="2" a="1"/>
  <c r="AA766" i="2" a="1"/>
  <c r="AA559" i="2" a="1"/>
  <c r="AA38" i="2" a="1"/>
  <c r="AA665" i="2" a="1"/>
  <c r="AA779" i="2" a="1"/>
  <c r="AA279" i="2" a="1"/>
  <c r="AA980" i="2" a="1"/>
  <c r="AA1051" i="2" a="1"/>
  <c r="AA240" i="2" a="1"/>
  <c r="AA105" i="2" a="1"/>
  <c r="AA438" i="2" a="1"/>
  <c r="AA1009" i="2" a="1"/>
  <c r="AA468" i="2" a="1"/>
  <c r="AA853" i="2" a="1"/>
  <c r="AA552" i="2" a="1"/>
  <c r="AA39" i="2" a="1"/>
  <c r="AA508" i="2" a="1"/>
  <c r="AA1039" i="2" a="1"/>
  <c r="AA994" i="2" a="1"/>
  <c r="AA999" i="2" a="1"/>
  <c r="AA317" i="2" a="1"/>
  <c r="AA222" i="2" a="1"/>
  <c r="AA112" i="2" a="1"/>
  <c r="AA1068" i="2" a="1"/>
  <c r="AA431" i="2" a="1"/>
  <c r="AA689" i="2" a="1"/>
  <c r="AA551" i="2" a="1"/>
  <c r="AA975" i="2" a="1"/>
  <c r="AA826" i="2" a="1"/>
  <c r="AA442" i="2" a="1"/>
  <c r="AA660" i="2" a="1"/>
  <c r="AA264" i="2" a="1"/>
  <c r="AA312" i="2" a="1"/>
  <c r="AA1061" i="2" a="1"/>
  <c r="AA774" i="2" a="1"/>
  <c r="AA34" i="2" a="1"/>
  <c r="AA169" i="2" a="1"/>
  <c r="AA894" i="2" a="1"/>
  <c r="AA588" i="2" a="1"/>
  <c r="AA161" i="2" a="1"/>
  <c r="AA685" i="2" a="1"/>
  <c r="AA701" i="2" a="1"/>
  <c r="AA702" i="2" a="1"/>
  <c r="AA288" i="2" a="1"/>
  <c r="AA226" i="2" a="1"/>
  <c r="AA678" i="2" a="1"/>
  <c r="AA523" i="2" a="1"/>
  <c r="AA286" i="2" a="1"/>
  <c r="AA176" i="2" a="1"/>
  <c r="AA864" i="2" a="1"/>
  <c r="AA854" i="2" a="1"/>
  <c r="AA764" i="2" a="1"/>
  <c r="AA36" i="2" a="1"/>
  <c r="AA41" i="2" a="1"/>
  <c r="AA465" i="2" a="1"/>
  <c r="AA319" i="2" a="1"/>
  <c r="AA534" i="2" a="1"/>
  <c r="AA953" i="2" a="1"/>
  <c r="AA445" i="2" a="1"/>
  <c r="AA777" i="2" a="1"/>
  <c r="AA1067" i="2" a="1"/>
  <c r="AA499" i="2" a="1"/>
  <c r="AA324" i="2" a="1"/>
  <c r="AA755" i="2" a="1"/>
  <c r="AA332" i="2" a="1"/>
  <c r="AA1044" i="2" a="1"/>
  <c r="AA731" i="2" a="1"/>
  <c r="AA1010" i="2" a="1"/>
  <c r="AA643" i="2" a="1"/>
  <c r="AA84" i="2" a="1"/>
  <c r="AA692" i="2" a="1"/>
  <c r="AA160" i="2" a="1"/>
  <c r="AA246" i="2" a="1"/>
  <c r="AA416" i="2" a="1"/>
  <c r="AA512" i="2" a="1"/>
  <c r="AA968" i="2" a="1"/>
  <c r="AA691" i="2" a="1"/>
  <c r="AA425" i="2" a="1"/>
  <c r="AA123" i="2" a="1"/>
  <c r="AA796" i="2" a="1"/>
  <c r="AA531" i="2" a="1"/>
  <c r="AA889" i="2" a="1"/>
  <c r="AA913" i="2" a="1"/>
  <c r="AA533" i="2" a="1"/>
  <c r="AA958" i="2" a="1"/>
  <c r="AA740" i="2" a="1"/>
  <c r="AA206" i="2" a="1"/>
  <c r="AA838" i="2" a="1"/>
  <c r="AA173" i="2" a="1"/>
  <c r="AA204" i="2" a="1"/>
  <c r="AA612" i="2" a="1"/>
  <c r="AA1016" i="2" a="1"/>
  <c r="AA784" i="2" a="1"/>
  <c r="AA842" i="2" a="1"/>
  <c r="AA1008" i="2" a="1"/>
  <c r="AA651" i="2" a="1"/>
  <c r="AA898" i="2" a="1"/>
  <c r="AA27" i="2" a="1"/>
  <c r="AA104" i="2" a="1"/>
  <c r="AA440" i="2" a="1"/>
  <c r="AA636" i="2" a="1"/>
  <c r="AA677" i="2" a="1"/>
  <c r="AA291" i="2" a="1"/>
  <c r="AA760" i="2" a="1"/>
  <c r="AA549" i="2" a="1"/>
  <c r="AA948" i="2" a="1"/>
  <c r="AA1015" i="2" a="1"/>
  <c r="AA92" i="2" a="1"/>
  <c r="AA590" i="2" a="1"/>
  <c r="AA670" i="2" a="1"/>
  <c r="AA318" i="2" a="1"/>
  <c r="AA987" i="2" a="1"/>
  <c r="AA786" i="2" a="1"/>
  <c r="AA357" i="2" a="1"/>
  <c r="AA487" i="2" a="1"/>
  <c r="AA1043" i="2" a="1"/>
  <c r="AA981" i="2" a="1"/>
  <c r="AA583" i="2" a="1"/>
  <c r="AA125" i="2" a="1"/>
  <c r="AA961" i="2" a="1"/>
  <c r="AA802" i="2" a="1"/>
  <c r="AA917" i="2" a="1"/>
  <c r="AA915" i="2" a="1"/>
  <c r="AA713" i="2" a="1"/>
  <c r="AA703" i="2" a="1"/>
  <c r="AA210" i="2" a="1"/>
  <c r="AA675" i="2" a="1"/>
  <c r="AA316" i="2" a="1"/>
  <c r="AA81" i="2" a="1"/>
  <c r="AA846" i="2" a="1"/>
  <c r="AA813" i="2" a="1"/>
  <c r="AA556" i="2" a="1"/>
  <c r="AA478" i="2" a="1"/>
  <c r="AA474" i="2" a="1"/>
  <c r="AA927" i="2" a="1"/>
  <c r="AA321" i="2" a="1"/>
  <c r="AA290" i="2" a="1"/>
  <c r="AA518" i="2" a="1"/>
  <c r="AA741" i="2" a="1"/>
  <c r="AA54" i="2" a="1"/>
  <c r="AA241" i="2" a="1"/>
  <c r="AA382" i="2" a="1"/>
  <c r="AA855" i="2" a="1"/>
  <c r="AA294" i="2" a="1"/>
  <c r="AA394" i="2" a="1"/>
  <c r="AA302" i="2" a="1"/>
  <c r="AA580" i="2" a="1"/>
  <c r="AA516" i="2" a="1"/>
  <c r="AA540" i="2" a="1"/>
  <c r="AA1017" i="2" a="1"/>
  <c r="AA507" i="2" a="1"/>
  <c r="AA799" i="2" a="1"/>
  <c r="AA845" i="2" a="1"/>
  <c r="AA330" i="2" a="1"/>
  <c r="AA837" i="2" a="1"/>
  <c r="AA618" i="2" a="1"/>
  <c r="AA249" i="2" a="1"/>
  <c r="AA926" i="2" a="1"/>
  <c r="AA159" i="2" a="1"/>
  <c r="AA30" i="2" a="1"/>
  <c r="AA366" i="2" a="1"/>
  <c r="AA711" i="2" a="1"/>
  <c r="AA1035" i="2" a="1"/>
  <c r="AA905" i="2" a="1"/>
  <c r="AA185" i="2" a="1"/>
  <c r="AA201" i="2" a="1"/>
  <c r="AA315" i="2" a="1"/>
  <c r="AA637" i="2" a="1"/>
  <c r="AA560" i="2" a="1"/>
  <c r="AA706" i="2" a="1"/>
  <c r="AA773" i="2" a="1"/>
  <c r="AA386" i="2" a="1"/>
  <c r="AA682" i="2" a="1"/>
  <c r="AA307" i="2" a="1"/>
  <c r="AA946" i="2" a="1"/>
  <c r="AA874" i="2" a="1"/>
  <c r="AA381" i="2" a="1"/>
  <c r="AA496" i="2" a="1"/>
  <c r="AA834" i="2" a="1"/>
  <c r="AA564" i="2" a="1"/>
  <c r="AA495" i="2" a="1"/>
  <c r="AA1038" i="2" a="1"/>
  <c r="AA738" i="2" a="1"/>
  <c r="AA667" i="2" a="1"/>
  <c r="AA237" i="2" a="1"/>
  <c r="AA61" i="2" a="1"/>
  <c r="AA983" i="2" a="1"/>
  <c r="AA929" i="2" a="1"/>
  <c r="AA351" i="2" a="1"/>
  <c r="AA710" i="2" a="1"/>
  <c r="AA815" i="2" a="1"/>
  <c r="AA860" i="2" a="1"/>
  <c r="AA778" i="2" a="1"/>
  <c r="AA1026" i="2" a="1"/>
  <c r="AA1049" i="2" a="1"/>
  <c r="AA310" i="2" a="1"/>
  <c r="AA484" i="2" a="1"/>
  <c r="AA536" i="2" a="1"/>
  <c r="AA267" i="2" a="1"/>
  <c r="AA717" i="2" a="1"/>
  <c r="AA329" i="2" a="1"/>
  <c r="AA595" i="2" a="1"/>
  <c r="AA628" i="2" a="1"/>
  <c r="AA402" i="2" a="1"/>
  <c r="AA458" i="2" a="1"/>
  <c r="AA811" i="2" a="1"/>
  <c r="AA627" i="2" a="1"/>
  <c r="AA758" i="2" a="1"/>
  <c r="AA951" i="2" a="1"/>
  <c r="AA1041" i="2" a="1"/>
  <c r="AA439" i="2" a="1"/>
  <c r="AA617" i="2" a="1"/>
  <c r="AA199" i="2" a="1"/>
  <c r="AA89" i="2" a="1"/>
  <c r="AA139" i="2" a="1"/>
  <c r="AA949" i="2" a="1"/>
  <c r="AA218" i="2" a="1"/>
  <c r="AA453" i="2" a="1"/>
  <c r="AA49" i="2" a="1"/>
  <c r="AA801" i="2" a="1"/>
  <c r="AA292" i="2" a="1"/>
  <c r="AA657" i="2" a="1"/>
  <c r="AA177" i="2" a="1"/>
  <c r="AA593" i="2" a="1"/>
  <c r="AA463" i="2" a="1"/>
  <c r="AA763" i="2" a="1"/>
  <c r="AA916" i="2" a="1"/>
  <c r="AA343" i="2" a="1"/>
  <c r="AA1045" i="2" a="1"/>
  <c r="AA676" i="2" a="1"/>
  <c r="AA939" i="2" a="1"/>
  <c r="AA1057" i="2" a="1"/>
  <c r="AA187" i="2" a="1"/>
  <c r="AA374" i="2" a="1"/>
  <c r="AA45" i="2" a="1"/>
  <c r="AA220" i="2" a="1"/>
  <c r="AA795" i="2" a="1"/>
  <c r="AA986" i="2" a="1"/>
  <c r="AA1066" i="2" a="1"/>
  <c r="AA361" i="2" a="1"/>
  <c r="AA943" i="2" a="1"/>
  <c r="AA601" i="2" a="1"/>
  <c r="AA480" i="2" a="1"/>
  <c r="AA574" i="2" a="1"/>
  <c r="AA29" i="2" a="1"/>
  <c r="AA885" i="2" a="1"/>
  <c r="AA57" i="2" a="1"/>
  <c r="AA359" i="2" a="1"/>
  <c r="AA751" i="2" a="1"/>
  <c r="AA170" i="2" a="1"/>
  <c r="AA373" i="2" a="1"/>
  <c r="AA924" i="2" a="1"/>
  <c r="AA287" i="2" a="1"/>
  <c r="AA477" i="2" a="1"/>
  <c r="AA230" i="2" a="1"/>
  <c r="AA668" i="2" a="1"/>
  <c r="AA920" i="2" a="1"/>
  <c r="AA98" i="2" a="1"/>
  <c r="AA140" i="2" a="1"/>
  <c r="AA852" i="2" a="1"/>
  <c r="AA938" i="2" a="1"/>
  <c r="AA452" i="2" a="1"/>
  <c r="AA113" i="2" a="1"/>
  <c r="AA144" i="2" a="1"/>
  <c r="AA215" i="2" a="1"/>
  <c r="AA407" i="2" a="1"/>
  <c r="AA875" i="2" a="1"/>
  <c r="AA377" i="2" a="1"/>
  <c r="AA266" i="2" a="1"/>
  <c r="AA409" i="2" a="1"/>
  <c r="AA616" i="2" a="1"/>
  <c r="AA608" i="2" a="1"/>
  <c r="AA322" i="2" a="1"/>
  <c r="AA729" i="2" a="1"/>
  <c r="AA216" i="2" a="1"/>
  <c r="AA525" i="2" a="1"/>
  <c r="AA67" i="2" a="1"/>
  <c r="AA385" i="2" a="1"/>
  <c r="AA708" i="2" a="1"/>
  <c r="AA790" i="2" a="1"/>
  <c r="AA100" i="2" a="1"/>
  <c r="AA56" i="2" a="1"/>
  <c r="AA1032" i="2" a="1"/>
  <c r="AA65" i="2" a="1"/>
  <c r="AA303" i="2" a="1"/>
  <c r="AA454" i="2" a="1"/>
  <c r="AA147" i="2" a="1"/>
  <c r="AA337" i="2" a="1"/>
  <c r="AA821" i="2" a="1"/>
  <c r="AA515" i="2" a="1"/>
  <c r="AA715" i="2" a="1"/>
  <c r="AA254" i="2" a="1"/>
  <c r="AA603" i="2" a="1"/>
  <c r="AA1042" i="2" a="1"/>
  <c r="AA1059" i="2" a="1"/>
  <c r="AA1011" i="2" a="1"/>
  <c r="AA544" i="2" a="1"/>
  <c r="AA1025" i="2" a="1"/>
  <c r="AA223" i="2" a="1"/>
  <c r="AA415" i="2" a="1"/>
  <c r="AA24" i="2" a="1"/>
  <c r="AA954" i="2" a="1"/>
  <c r="AA52" i="2" a="1"/>
  <c r="AA878" i="2" a="1"/>
  <c r="AA750" i="2" a="1"/>
  <c r="AA461" i="2" a="1"/>
  <c r="AA78" i="2" a="1"/>
  <c r="AA839" i="2" a="1"/>
  <c r="AA213" i="2" a="1"/>
  <c r="AA35" i="2" a="1"/>
  <c r="AA85" i="2" a="1"/>
  <c r="AA869" i="2" a="1"/>
  <c r="AA299" i="2" a="1"/>
  <c r="AA586" i="2" a="1"/>
  <c r="AA424" i="2" a="1"/>
  <c r="AA200" i="2" a="1"/>
  <c r="AA900" i="2" a="1"/>
  <c r="AA776" i="2" a="1"/>
  <c r="AA482" i="2" a="1"/>
  <c r="AA529" i="2" a="1"/>
  <c r="AA1058" i="2" a="1"/>
  <c r="AA843" i="2" a="1"/>
  <c r="AA714" i="2" a="1"/>
  <c r="AA285" i="2" a="1"/>
  <c r="AA235" i="2" a="1"/>
  <c r="AA827" i="2" a="1"/>
  <c r="AA1006" i="2" a="1"/>
  <c r="AA490" i="2" a="1"/>
  <c r="AA699" i="2" a="1"/>
  <c r="AA408" i="2" a="1"/>
  <c r="AA500" i="2" a="1"/>
  <c r="AA849" i="2" a="1"/>
  <c r="AA739" i="2" a="1"/>
  <c r="AA569" i="2" a="1"/>
  <c r="AA673" i="2" a="1"/>
  <c r="AA553" i="2" a="1"/>
  <c r="AA467" i="2" a="1"/>
  <c r="AA594" i="2" a="1"/>
  <c r="AA428" i="2" a="1"/>
  <c r="AA566" i="2" a="1"/>
  <c r="AA491" i="2" a="1"/>
  <c r="AA1005" i="2" a="1"/>
  <c r="AA542" i="2" a="1"/>
  <c r="AA640" i="2" a="1"/>
  <c r="AA251" i="2" a="1"/>
  <c r="AA747" i="2" a="1"/>
  <c r="AA578" i="2" a="1"/>
  <c r="AA611" i="2" a="1"/>
  <c r="AA626" i="2" a="1"/>
  <c r="AA1033" i="2" a="1"/>
  <c r="AA149" i="2" a="1"/>
  <c r="AA912" i="2" a="1"/>
  <c r="AA962" i="2" a="1"/>
  <c r="AA341" i="2" a="1"/>
  <c r="AA327" i="2" a="1"/>
  <c r="AA64" i="2" a="1"/>
  <c r="AA362" i="2" a="1"/>
  <c r="AA284" i="2" a="1"/>
  <c r="AA489" i="2" a="1"/>
  <c r="AA733" i="2" a="1"/>
  <c r="AA861" i="2" a="1"/>
  <c r="AA398" i="2" a="1"/>
  <c r="AA893" i="2" a="1"/>
  <c r="AA387" i="2" a="1"/>
  <c r="AA243" i="2" a="1"/>
  <c r="AA598" i="2" a="1"/>
  <c r="AA236" i="2" a="1"/>
  <c r="AA841" i="2" a="1"/>
  <c r="AA208" i="2" a="1"/>
  <c r="AA265" i="2" a="1"/>
  <c r="AA380" i="2" a="1"/>
  <c r="AA772" i="2" a="1"/>
  <c r="AA963" i="2" a="1"/>
  <c r="AA460" i="2" a="1"/>
  <c r="AA998" i="2" a="1"/>
  <c r="AA23" i="2" a="1"/>
  <c r="AA762" i="2" a="1"/>
  <c r="AA217" i="2" a="1"/>
  <c r="AA805" i="2" a="1"/>
  <c r="AA137" i="2" a="1"/>
  <c r="AA82" i="2" a="1"/>
  <c r="AA444" i="2" a="1"/>
  <c r="AA72" i="2" a="1"/>
  <c r="AA592" i="2" a="1"/>
  <c r="AA911" i="2" a="1"/>
  <c r="AA930" i="2" a="1"/>
  <c r="AA501" i="2" a="1"/>
  <c r="AA520" i="2" a="1"/>
  <c r="AA966" i="2" a="1"/>
  <c r="AA116" i="2" a="1"/>
  <c r="AA371" i="2" a="1"/>
  <c r="AA693" i="2" a="1"/>
  <c r="AA334" i="2" a="1"/>
  <c r="AA589" i="2" a="1"/>
  <c r="AA1024" i="2" a="1"/>
  <c r="AA974" i="2" a="1"/>
  <c r="AA417" i="2" a="1"/>
  <c r="AA817" i="2" a="1"/>
  <c r="AA70" i="2" a="1"/>
  <c r="AA654" i="2" a="1"/>
  <c r="AA69" i="2" a="1"/>
  <c r="AA175" i="2" a="1"/>
  <c r="AA331" i="2" a="1"/>
  <c r="AA486" i="2" a="1"/>
  <c r="AA969" i="2" a="1"/>
  <c r="AA414" i="2" a="1"/>
  <c r="AA545" i="2" a="1"/>
  <c r="AA872" i="2" a="1"/>
  <c r="AA971" i="2" a="1"/>
  <c r="AA602" i="2" a="1"/>
  <c r="AA1030" i="2" a="1"/>
  <c r="AA573" i="2" a="1"/>
  <c r="AA851" i="2" a="1"/>
  <c r="AA577" i="2" a="1"/>
  <c r="AA870" i="2" a="1"/>
  <c r="AA273" i="2" a="1"/>
  <c r="AA832" i="2" a="1"/>
  <c r="AA203" i="2" a="1"/>
  <c r="AA242" i="2" a="1"/>
  <c r="AA281" i="2" a="1"/>
  <c r="AA33" i="2" a="1"/>
  <c r="AA726" i="2" a="1"/>
  <c r="AA614" i="2" a="1"/>
  <c r="AA730" i="2" a="1"/>
  <c r="AA141" i="2" a="1"/>
  <c r="AA546" i="2" a="1"/>
  <c r="AA192" i="2" a="1"/>
  <c r="AA632" i="2" a="1"/>
  <c r="AA735" i="2" a="1"/>
  <c r="AA130" i="2" a="1"/>
  <c r="AA347" i="2" a="1"/>
  <c r="AA481" i="2" a="1"/>
  <c r="AA346" i="2" a="1"/>
  <c r="AA867" i="2" a="1"/>
  <c r="AA769" i="2" a="1"/>
  <c r="AA282" i="2" a="1"/>
  <c r="AA787" i="2" a="1"/>
  <c r="AA610" i="2" a="1"/>
  <c r="AA258" i="2" a="1"/>
  <c r="AA642" i="2" a="1"/>
  <c r="AA656" i="2" a="1"/>
  <c r="AA238" i="2" a="1"/>
  <c r="AA163" i="2" a="1"/>
  <c r="AA451" i="2" a="1"/>
  <c r="AA437" i="2" a="1"/>
  <c r="AA721" i="2" a="1"/>
  <c r="AA671" i="2" a="1"/>
  <c r="AA342" i="2" a="1"/>
  <c r="AA884" i="2" a="1"/>
  <c r="AA90" i="2" a="1"/>
  <c r="AA1000" i="2" a="1"/>
  <c r="AA178" i="2" a="1"/>
  <c r="AA365" i="2" a="1"/>
  <c r="AA400" i="2" a="1"/>
  <c r="AA652" i="2" a="1"/>
  <c r="AA955" i="2" a="1"/>
  <c r="AA93" i="2" a="1"/>
  <c r="AA207" i="2" a="1"/>
  <c r="AA255" i="2" a="1"/>
  <c r="AA447" i="2" a="1"/>
  <c r="AA426" i="2" a="1"/>
  <c r="AA964" i="2" a="1"/>
  <c r="AA131" i="2" a="1"/>
  <c r="AA972" i="2" a="1"/>
  <c r="AA744" i="2" a="1"/>
  <c r="AA296" i="2" a="1"/>
  <c r="AA690" i="2" a="1"/>
  <c r="AA172" i="2" a="1"/>
  <c r="AA167" i="2" a="1"/>
  <c r="AA268" i="2" a="1"/>
  <c r="AA145" i="2" a="1"/>
  <c r="AA952" i="2" a="1"/>
  <c r="AA806" i="2" a="1"/>
  <c r="AA1046" i="2" a="1"/>
  <c r="AA743" i="2" a="1"/>
  <c r="AA680" i="2" a="1"/>
  <c r="AA683" i="2" a="1"/>
  <c r="AA881" i="2" a="1"/>
  <c r="AA168" i="2" a="1"/>
  <c r="AA232" i="2" a="1"/>
  <c r="AA782" i="2" a="1"/>
  <c r="AA995" i="2" a="1"/>
  <c r="AA655" i="2" a="1"/>
  <c r="AA965" i="2" a="1"/>
  <c r="AA1047" i="2" a="1"/>
  <c r="AA585" i="2" a="1"/>
  <c r="AA619" i="2" a="1"/>
  <c r="AA165" i="2" a="1"/>
  <c r="AA530" i="2" a="1"/>
  <c r="AA719" i="2" a="1"/>
  <c r="AA404" i="2" a="1"/>
  <c r="AA835" i="2" a="1"/>
  <c r="AA704" i="2" a="1"/>
  <c r="AA335" i="2" a="1"/>
  <c r="AA62" i="2" a="1"/>
  <c r="AA697" i="2" a="1"/>
  <c r="AA575" i="2" a="1"/>
  <c r="AA260" i="2" a="1"/>
  <c r="AA135" i="2" a="1"/>
  <c r="AA904" i="2" a="1"/>
  <c r="AA384" i="2" a="1"/>
  <c r="AA25" i="2" a="1"/>
  <c r="AA73" i="2" a="1"/>
  <c r="AA396" i="2" a="1"/>
  <c r="AA106" i="2" a="1"/>
  <c r="AA996" i="2" a="1"/>
  <c r="AA910" i="2" a="1"/>
  <c r="AA475" i="2" a="1"/>
  <c r="AA877" i="2" a="1"/>
  <c r="AA723" i="2" a="1"/>
  <c r="AA391" i="2" a="1"/>
  <c r="AA936" i="2" a="1"/>
  <c r="AA504" i="2" a="1"/>
  <c r="AA630" i="2" a="1"/>
  <c r="AA418" i="2" a="1"/>
  <c r="AA1050" i="2" a="1"/>
  <c r="AA1014" i="2" a="1"/>
  <c r="AA117" i="2" a="1"/>
  <c r="AA429" i="2" a="1"/>
  <c r="AA510" i="2" a="1"/>
  <c r="AA695" i="2" a="1"/>
  <c r="AA858" i="2" a="1"/>
  <c r="AA1062" i="2" a="1"/>
  <c r="AA301" i="2" a="1"/>
  <c r="AA879" i="2" a="1"/>
  <c r="AA441" i="2" a="1"/>
  <c r="AA850" i="2" a="1"/>
  <c r="AA814" i="2" a="1"/>
  <c r="AA771" i="2" a="1"/>
  <c r="AA506" i="2" a="1"/>
  <c r="AA55" i="2" a="1"/>
  <c r="AA422" i="2" a="1"/>
  <c r="AA768" i="2" a="1"/>
  <c r="AA269" i="2" a="1"/>
  <c r="AA126" i="2" a="1"/>
  <c r="AA797" i="2" a="1"/>
  <c r="AA967" i="2" a="1"/>
  <c r="AA325" i="2" a="1"/>
  <c r="AA193" i="2" a="1"/>
  <c r="AA684" i="2" a="1"/>
  <c r="AA582" i="2" a="1"/>
  <c r="AA679" i="2" a="1"/>
  <c r="AA973" i="2" a="1"/>
  <c r="AA148" i="2" a="1"/>
  <c r="AA565" i="2" a="1"/>
  <c r="AA570" i="2" a="1"/>
  <c r="AA746" i="2" a="1"/>
  <c r="AA712" i="2" a="1"/>
  <c r="AA903" i="2" a="1"/>
  <c r="AA800" i="2" a="1"/>
  <c r="AA1001" i="2" a="1"/>
  <c r="AA76" i="2" a="1"/>
  <c r="AA880" i="2" a="1"/>
  <c r="AA1007" i="2" a="1"/>
  <c r="AA1004" i="2" a="1"/>
  <c r="AA190" i="2" a="1"/>
  <c r="AA687" i="2" a="1"/>
  <c r="AA99" i="2" a="1"/>
  <c r="AA942" i="2" a="1"/>
  <c r="AA1055" i="2" a="1"/>
  <c r="AA620" i="2" a="1"/>
  <c r="AA988" i="2" a="1"/>
  <c r="AA901" i="2" a="1"/>
  <c r="AA86" i="2" a="1"/>
  <c r="AA348" i="2" a="1"/>
  <c r="AA919" i="2" a="1"/>
  <c r="AA607" i="2" a="1"/>
  <c r="AA50" i="2" a="1"/>
  <c r="AA1048" i="2" a="1"/>
  <c r="AA934" i="2" a="1"/>
  <c r="AA120" i="2" a="1"/>
  <c r="AA339" i="2" a="1"/>
  <c r="AA863" i="2" a="1"/>
  <c r="AA548" i="2" a="1"/>
  <c r="AA46" i="2" a="1"/>
  <c r="AA479" i="2" a="1"/>
  <c r="AA606" i="2" a="1"/>
  <c r="AA587" i="2" a="1"/>
  <c r="AA189" i="2" a="1"/>
  <c r="AA638" i="2" a="1"/>
  <c r="AA87" i="2" a="1"/>
  <c r="AA989" i="2" a="1"/>
  <c r="AA239" i="2" a="1"/>
  <c r="AA639" i="2" a="1"/>
  <c r="AA940" i="2" a="1"/>
  <c r="AA557" i="2" a="1"/>
  <c r="AA421" i="2" a="1"/>
  <c r="AA152" i="2" a="1"/>
  <c r="AA110" i="2" a="1"/>
  <c r="AA91" i="2" a="1"/>
  <c r="AA648" i="2" a="1"/>
  <c r="AA613" i="2" a="1"/>
  <c r="AA892" i="2" a="1"/>
  <c r="AA74" i="2" a="1"/>
  <c r="AA28" i="2" a="1"/>
  <c r="AA96" i="2" a="1"/>
  <c r="AA526" i="2" a="1"/>
  <c r="AA514" i="2" a="1"/>
  <c r="AA1013" i="2" a="1"/>
  <c r="AA443" i="2" a="1"/>
  <c r="AA143" i="2" a="1"/>
  <c r="AA493" i="2" a="1"/>
  <c r="AA121" i="2" a="1"/>
  <c r="AA252" i="2" a="1"/>
  <c r="AA857" i="2" a="1"/>
  <c r="AA992" i="2" a="1"/>
  <c r="AA128" i="2" a="1"/>
  <c r="AA554" i="2" a="1"/>
  <c r="AA524" i="2" a="1"/>
  <c r="AA358" i="2" a="1"/>
  <c r="AA328" i="2" a="1"/>
  <c r="AA349" i="2" a="1"/>
  <c r="AA993" i="2" a="1"/>
  <c r="AA792" i="2" a="1"/>
  <c r="AA897" i="2" a="1"/>
  <c r="AA171" i="2" a="1"/>
  <c r="AA413" i="2" a="1"/>
  <c r="AA31" i="2" a="1"/>
  <c r="AA941" i="2" a="1"/>
  <c r="AA1018" i="2" a="1"/>
  <c r="AA754" i="2" a="1"/>
  <c r="AA198" i="2" a="1"/>
  <c r="AA571" i="2" a="1"/>
  <c r="AA83" i="2" a="1"/>
  <c r="AA427" i="2" a="1"/>
  <c r="AA68" i="2" a="1"/>
  <c r="AA1054" i="2" a="1"/>
  <c r="AA473" i="2" a="1"/>
  <c r="AA250" i="2" a="1"/>
  <c r="AA629" i="2" a="1"/>
  <c r="AA509" i="2" a="1"/>
  <c r="AA672" i="2" a="1"/>
  <c r="AA807" i="2" a="1"/>
  <c r="AA369" i="2" a="1"/>
  <c r="AA436" i="2" a="1"/>
  <c r="AA865" i="2" a="1"/>
  <c r="AA1069" i="2" a="1"/>
  <c r="AA352" i="2" a="1"/>
  <c r="AA271" i="2" a="1"/>
  <c r="AA42" i="2" a="1"/>
  <c r="AA138" i="2" a="1"/>
  <c r="AA304" i="2" a="1"/>
  <c r="AA728" i="2" a="1"/>
  <c r="AA653" i="2" a="1"/>
  <c r="AA848" i="2" a="1"/>
  <c r="AA247" i="2" a="1"/>
  <c r="AA984" i="2" a="1"/>
  <c r="AA22" i="2" a="1"/>
  <c r="AA761" i="2" a="1"/>
  <c r="AA154" i="2" a="1"/>
  <c r="AA781" i="2" a="1"/>
  <c r="AA581" i="2" a="1"/>
  <c r="AA597" i="2" a="1"/>
  <c r="AA403" i="2" a="1"/>
  <c r="AA696" i="2" a="1"/>
  <c r="AA97" i="2" a="1"/>
  <c r="AA1053" i="2" a="1"/>
  <c r="AA248" i="2" a="1"/>
  <c r="AA399" i="2" a="1"/>
  <c r="AA669" i="2" a="1"/>
  <c r="AA233" i="2" a="1"/>
  <c r="AA37" i="2" a="1"/>
  <c r="AA59" i="2" a="1"/>
  <c r="AA783" i="2" a="1"/>
  <c r="AA150" i="2" a="1"/>
  <c r="AA79" i="2" a="1"/>
  <c r="AA456" i="2" a="1"/>
  <c r="AA645" i="2" a="1"/>
  <c r="AA887" i="2" a="1"/>
  <c r="AA547" i="2" a="1"/>
  <c r="AA945" i="2" a="1"/>
  <c r="AA435" i="2" a="1"/>
  <c r="AA196" i="2" a="1"/>
  <c r="AA1065" i="2" a="1"/>
  <c r="AA194" i="2" a="1"/>
  <c r="AA1012" i="2" a="1"/>
  <c r="AA314" i="2" a="1"/>
  <c r="AA1031" i="2" a="1"/>
  <c r="AA1003" i="2" a="1"/>
  <c r="AA976" i="2" a="1"/>
  <c r="AA411" i="2" a="1"/>
  <c r="AA789" i="2" a="1"/>
  <c r="AA326" i="2" a="1"/>
  <c r="AA753" i="2" a="1"/>
  <c r="AA847" i="2" a="1"/>
  <c r="AA615" i="2" a="1"/>
  <c r="AA902" i="2" a="1"/>
  <c r="AA378" i="2" a="1"/>
  <c r="AA659" i="2" a="1"/>
  <c r="AA722" i="2" a="1"/>
  <c r="AA812" i="2" a="1"/>
  <c r="AA224" i="2" a="1"/>
  <c r="AA978" i="2" a="1"/>
  <c r="AA109" i="2" a="1"/>
  <c r="AA538" i="2" a="1"/>
  <c r="AA724" i="2" a="1"/>
  <c r="AA1023" i="2" a="1"/>
  <c r="AA609" i="2" a="1"/>
  <c r="AA492" i="2" a="1"/>
  <c r="AA80" i="2" a="1"/>
  <c r="AA767" i="2" a="1"/>
  <c r="AA666" i="2" a="1"/>
  <c r="AA1052" i="2" a="1"/>
  <c r="AA71" i="2" a="1"/>
  <c r="AA395" i="2" a="1"/>
  <c r="AA788" i="2" a="1"/>
  <c r="AA345" i="2" a="1"/>
  <c r="AA840" i="2" a="1"/>
  <c r="AA991" i="2" a="1"/>
  <c r="AA107" i="2" a="1"/>
  <c r="AA142" i="2" a="1"/>
  <c r="AA882" i="2" a="1"/>
  <c r="AA732" i="2" a="1"/>
  <c r="AA844" i="2" a="1"/>
  <c r="AA977" i="2" a="1"/>
  <c r="AA53" i="2" a="1"/>
  <c r="AA555" i="2" a="1"/>
  <c r="AA1040" i="2" a="1"/>
  <c r="AA600" i="2" a="1"/>
  <c r="AA195" i="2" a="1"/>
  <c r="AA895" i="2" a="1"/>
  <c r="AA124" i="2" a="1"/>
  <c r="AA576" i="2" a="1"/>
  <c r="AA180" i="2" a="1"/>
  <c r="AA401" i="2" a="1"/>
  <c r="AA164" i="2" a="1"/>
  <c r="AA162" i="2" a="1"/>
  <c r="AA182" i="2" a="1"/>
  <c r="AA283" i="2" a="1"/>
  <c r="AA868" i="2" a="1"/>
  <c r="AA420" i="2" a="1"/>
  <c r="AA63" i="2" a="1"/>
  <c r="AA876" i="2" a="1"/>
  <c r="AA472" i="2" a="1"/>
  <c r="AA225" i="2" a="1"/>
  <c r="AA990" i="2" a="1"/>
  <c r="AA47" i="2" a="1"/>
  <c r="AA397" i="2" a="1"/>
  <c r="AA48" i="2" a="1"/>
  <c r="AA1027" i="2" a="1"/>
  <c r="AA558" i="2" a="1"/>
  <c r="AA694" i="2" a="1"/>
  <c r="AA736" i="2" a="1"/>
  <c r="AA686" i="2" a="1"/>
  <c r="AA202" i="2" a="1"/>
  <c r="AA688" i="2" a="1"/>
  <c r="AA51" i="2" a="1"/>
  <c r="AA101" i="2" a="1"/>
  <c r="AA888" i="2" a="1"/>
  <c r="AA313" i="2" a="1"/>
  <c r="AA859" i="2" a="1"/>
  <c r="AA94" i="2" a="1"/>
  <c r="AA1019" i="2" a="1"/>
  <c r="AA521" i="2" a="1"/>
  <c r="AA410" i="2" a="1"/>
  <c r="AA367" i="2" a="1"/>
  <c r="AA184" i="2" a="1"/>
  <c r="AA825" i="2" a="1"/>
  <c r="AA970" i="2" a="1"/>
  <c r="AA599" i="2" a="1"/>
  <c r="AA947" i="2" a="1"/>
  <c r="AA449" i="2" a="1"/>
  <c r="AA338" i="2" a="1"/>
  <c r="AA742" i="2" a="1"/>
  <c r="AA129" i="2" a="1"/>
  <c r="AA808" i="2" a="1"/>
  <c r="AA462" i="2" a="1"/>
  <c r="AA862" i="2" a="1"/>
  <c r="AA60" i="2" a="1"/>
  <c r="AA633" i="2" a="1"/>
  <c r="AA26" i="2" a="1"/>
  <c r="AA354" i="2" a="1"/>
  <c r="AA780" i="2" a="1"/>
  <c r="AA650" i="2" a="1"/>
  <c r="AA119" i="2" a="1"/>
  <c r="AA360" i="2" a="1"/>
  <c r="AA871" i="2" a="1"/>
  <c r="AA376" i="2" a="1"/>
  <c r="AA757" i="2" a="1"/>
  <c r="AA803" i="2" a="1"/>
  <c r="AA305" i="2" a="1"/>
  <c r="AA931" i="2" a="1"/>
  <c r="AA229" i="2" a="1"/>
  <c r="AA212" i="2" a="1"/>
  <c r="AA450" i="2" a="1"/>
  <c r="AA191" i="2" a="1"/>
  <c r="AA1022" i="2" a="1"/>
  <c r="AA866" i="2" a="1"/>
  <c r="AA95" i="2" a="1"/>
  <c r="AA906" i="2" a="1"/>
  <c r="AA157" i="2" a="1"/>
  <c r="AA664" i="2" a="1"/>
  <c r="AA209" i="2" a="1"/>
  <c r="AA132" i="2" a="1"/>
  <c r="AA794" i="2" a="1"/>
  <c r="AA309" i="2" a="1"/>
  <c r="AA1064" i="2" a="1"/>
  <c r="AA102" i="2" a="1"/>
  <c r="AA527" i="2" a="1"/>
  <c r="AA488" i="2" a="1"/>
  <c r="AA66" i="2" a="1"/>
  <c r="AA921" i="2" a="1"/>
  <c r="AA985" i="2" a="1"/>
  <c r="AA186" i="2" a="1"/>
  <c r="AA457" i="2" a="1"/>
  <c r="AA749" i="2" a="1"/>
  <c r="AA383" i="2" a="1"/>
  <c r="AA344" i="2" a="1"/>
  <c r="AA262" i="2" a="1"/>
  <c r="AA824" i="2" a="1"/>
  <c r="AA197" i="2" a="1"/>
  <c r="AA822" i="2" a="1"/>
  <c r="AA166" i="2" a="1"/>
  <c r="AA734" i="2" a="1"/>
  <c r="AA111" i="2" a="1"/>
  <c r="AA623" i="2" a="1"/>
  <c r="AA108" i="2" a="1"/>
  <c r="AA320" i="2" a="1"/>
  <c r="AA543" i="2" a="1"/>
  <c r="AA350" i="2" a="1"/>
  <c r="AA718" i="2" a="1"/>
  <c r="AA306" i="2" a="1"/>
  <c r="AA890" i="2" a="1"/>
  <c r="AA596" i="2" a="1"/>
  <c r="AA118" i="2" a="1"/>
  <c r="AA340" i="2" a="1"/>
  <c r="AA950" i="2" a="1"/>
  <c r="AA810" i="2" a="1"/>
  <c r="AA873" i="2" a="1"/>
  <c r="AA355" i="2" a="1"/>
  <c r="AA809" i="2" a="1"/>
  <c r="AA923" i="2" a="1"/>
  <c r="AA234" i="2" a="1"/>
  <c r="AA770" i="2" a="1"/>
  <c r="AA798" i="2" a="1"/>
  <c r="AA513" i="2" a="1"/>
  <c r="AA568" i="2" a="1"/>
  <c r="AA464" i="2" a="1"/>
  <c r="AA1029" i="2" a="1"/>
  <c r="AA214" i="2" a="1"/>
  <c r="AA658" i="2" a="1"/>
  <c r="AA635" i="2" a="1"/>
  <c r="AA188" i="2" a="1"/>
  <c r="AA151" i="2" a="1"/>
  <c r="AA823" i="2" a="1"/>
  <c r="AA725" i="2" a="1"/>
  <c r="AA205" i="2" a="1"/>
  <c r="AA127" i="2" a="1"/>
  <c r="AA494" i="2" a="1"/>
  <c r="AA836" i="2" a="1"/>
  <c r="AA907" i="2" a="1"/>
  <c r="AA406" i="2" a="1"/>
  <c r="AA485" i="2" a="1"/>
  <c r="AA257" i="2" a="1"/>
  <c r="AA727" i="2" a="1"/>
  <c r="AA748" i="2" a="1"/>
  <c r="AA641" i="2" a="1"/>
  <c r="AA183" i="2" a="1"/>
  <c r="AA663" i="2" a="1"/>
  <c r="AA1063" i="2" a="1"/>
  <c r="AA979" i="2" a="1"/>
  <c r="AA820" i="2" a="1"/>
  <c r="AA1021" i="2" a="1"/>
  <c r="AA828" i="2" a="1"/>
  <c r="AA115" i="2" a="1"/>
  <c r="AA372" i="2" a="1"/>
  <c r="AA883" i="2" a="1"/>
  <c r="AA775" i="2" a="1"/>
  <c r="AA221" i="2" a="1"/>
  <c r="AA604" i="2" a="1"/>
  <c r="AA483" i="2" a="1"/>
  <c r="AA765" i="2" a="1"/>
  <c r="AA298" i="2" a="1"/>
  <c r="AA300" i="2" a="1"/>
  <c r="AA280" i="2" a="1"/>
  <c r="AA356" i="2" a="1"/>
  <c r="AA353" i="2" a="1"/>
  <c r="AA275" i="2" a="1"/>
  <c r="AA933" i="2" a="1"/>
  <c r="AA470" i="2" a="1"/>
  <c r="AA816" i="2" a="1"/>
  <c r="AA646" i="2" a="1"/>
  <c r="AA323" i="2" a="1"/>
  <c r="AA1070" i="2" a="1"/>
  <c r="AA390" i="2" a="1"/>
  <c r="AA925" i="2" a="1"/>
  <c r="AA745" i="2" a="1"/>
  <c r="AA77" i="2" a="1"/>
  <c r="AA624" i="2" a="1"/>
  <c r="AA644" i="2" a="1"/>
  <c r="AA261" i="2" a="1"/>
  <c r="AA956" i="2" a="1"/>
  <c r="AA1002" i="2" a="1"/>
  <c r="AA959" i="2" a="1"/>
  <c r="AA245" i="2" a="1"/>
  <c r="AA674" i="2" a="1"/>
  <c r="AA791" i="2" a="1"/>
  <c r="AA476" i="2" a="1"/>
  <c r="AA274" i="2" a="1"/>
  <c r="AA263" i="2" a="1"/>
  <c r="AA759" i="2" a="1"/>
  <c r="AA818" i="2" a="1"/>
  <c r="AA532" i="2" a="1"/>
  <c r="AA982" i="2" a="1"/>
  <c r="AA231" i="2" a="1"/>
  <c r="AA502" i="2" a="1"/>
  <c r="AA75" i="2" a="1"/>
  <c r="AA40" i="2" a="1"/>
  <c r="AA833" i="2" a="1"/>
  <c r="AA605" i="2" a="1"/>
  <c r="AA122" i="2" a="1"/>
  <c r="AA737" i="2" a="1"/>
  <c r="AA572" i="2" a="1"/>
  <c r="AA227" i="2" a="1"/>
  <c r="AA511" i="2" a="1"/>
  <c r="AA856" i="2" a="1"/>
  <c r="AA909" i="2" a="1"/>
  <c r="AA681" i="2" a="1"/>
  <c r="AA819" i="2" a="1"/>
  <c r="AA181" i="2" a="1"/>
  <c r="AA333" i="2" a="1"/>
  <c r="AA155" i="2" a="1"/>
  <c r="AA584" i="2" a="1"/>
  <c r="AA785" i="2" a="1"/>
  <c r="AA891" i="2" a="1"/>
  <c r="AA957" i="2" a="1"/>
  <c r="AA563" i="2" a="1"/>
  <c r="AA625" i="2" a="1"/>
  <c r="AA541" i="2" a="1"/>
  <c r="AA393" i="2" a="1"/>
  <c r="AA278" i="2" a="1"/>
  <c r="AA405" i="2" a="1"/>
  <c r="AA647" i="2" a="1"/>
  <c r="AA935" i="2" a="1"/>
  <c r="AA455" i="2" a="1"/>
  <c r="AA928" i="2" a="1"/>
  <c r="AA368" i="2" a="1"/>
  <c r="AA649" i="2" a="1"/>
  <c r="AA705" i="2" a="1"/>
  <c r="AA379" i="2" a="1"/>
  <c r="AA497" i="2" a="1"/>
  <c r="AA831" i="2" a="1"/>
  <c r="AA561" i="2" a="1"/>
  <c r="AA752" i="2" a="1"/>
  <c r="J287" i="5" a="1"/>
  <c r="J375" i="5" a="1"/>
  <c r="J175" i="5" a="1"/>
  <c r="J385" i="5" a="1"/>
  <c r="J136" i="5" a="1"/>
  <c r="J357" i="5" a="1"/>
  <c r="J330" i="5" a="1"/>
  <c r="J235" i="5" a="1"/>
  <c r="J150" i="5" a="1"/>
  <c r="J227" i="5" a="1"/>
  <c r="J331" i="5" a="1"/>
  <c r="J369" i="5" a="1"/>
  <c r="J245" i="5" a="1"/>
  <c r="J268" i="5" a="1"/>
  <c r="J262" i="5" a="1"/>
  <c r="J381" i="5" a="1"/>
  <c r="J261" i="5" a="1"/>
  <c r="J138" i="5" a="1"/>
  <c r="J323" i="5" a="1"/>
  <c r="J195" i="5" a="1"/>
  <c r="J312" i="5" a="1"/>
  <c r="J384" i="5" a="1"/>
  <c r="J133" i="5" a="1"/>
  <c r="J428" i="5" a="1"/>
  <c r="J200" i="5" a="1"/>
  <c r="J177" i="5" a="1"/>
  <c r="J310" i="5" a="1"/>
  <c r="J187" i="5" a="1"/>
  <c r="J144" i="5" a="1"/>
  <c r="J179" i="5" a="1"/>
  <c r="J480" i="5" a="1"/>
  <c r="J431" i="5" a="1"/>
  <c r="J266" i="5" a="1"/>
  <c r="J354" i="5" a="1"/>
  <c r="J387" i="5" a="1"/>
  <c r="J487" i="5" a="1"/>
  <c r="J321" i="5" a="1"/>
  <c r="J228" i="5" a="1"/>
  <c r="J438" i="5" a="1"/>
  <c r="J263" i="5" a="1"/>
  <c r="J313" i="5" a="1"/>
  <c r="J196" i="5" a="1"/>
  <c r="J145" i="5" a="1"/>
  <c r="J132" i="5" a="1"/>
  <c r="J275" i="5" a="1"/>
  <c r="J392" i="5" a="1"/>
  <c r="J383" i="5" a="1"/>
  <c r="J492" i="5" a="1"/>
  <c r="J339" i="5" a="1"/>
  <c r="J129" i="5" a="1"/>
  <c r="J241" i="5" a="1"/>
  <c r="J348" i="5" a="1"/>
  <c r="J475" i="5" a="1"/>
  <c r="J267" i="5" a="1"/>
  <c r="J347" i="5" a="1"/>
  <c r="J181" i="5" a="1"/>
  <c r="J336" i="5" a="1"/>
  <c r="J394" i="5" a="1"/>
  <c r="J218" i="5" a="1"/>
  <c r="J206" i="5" a="1"/>
  <c r="J236" i="5" a="1"/>
  <c r="J168" i="5" a="1"/>
  <c r="J199" i="5" a="1"/>
  <c r="J201" i="5" a="1"/>
  <c r="J285" i="5" a="1"/>
  <c r="J296" i="5" a="1"/>
  <c r="J295" i="5" a="1"/>
  <c r="J405" i="5" a="1"/>
  <c r="J225" i="5" a="1"/>
  <c r="J413" i="5" a="1"/>
  <c r="J151" i="5" a="1"/>
  <c r="J197" i="5" a="1"/>
  <c r="J178" i="5" a="1"/>
  <c r="J156" i="5" a="1"/>
  <c r="J318" i="5" a="1"/>
  <c r="J247" i="5" a="1"/>
  <c r="J271" i="5" a="1"/>
  <c r="J127" i="5" a="1"/>
  <c r="J396" i="5" a="1"/>
  <c r="J137" i="5" a="1"/>
  <c r="J292" i="5" a="1"/>
  <c r="J269" i="5" a="1"/>
  <c r="J155" i="5" a="1"/>
  <c r="J44" i="5" a="1"/>
  <c r="J274" i="5" a="1"/>
  <c r="J311" i="5" a="1"/>
  <c r="J293" i="5" a="1"/>
  <c r="J198" i="5" a="1"/>
  <c r="J302" i="5" a="1"/>
  <c r="J417" i="5" a="1"/>
  <c r="J130" i="5" a="1"/>
  <c r="J363" i="5" a="1"/>
  <c r="J309" i="5" a="1"/>
  <c r="J300" i="5" a="1"/>
  <c r="J386" i="5" a="1"/>
  <c r="J341" i="5" a="1"/>
  <c r="J276" i="5" a="1"/>
  <c r="J395" i="5" a="1"/>
  <c r="J320" i="5" a="1"/>
  <c r="J260" i="5" a="1"/>
  <c r="J390" i="5" a="1"/>
  <c r="J294" i="5" a="1"/>
  <c r="J191" i="5" a="1"/>
  <c r="J278" i="5" a="1"/>
  <c r="J314" i="5" a="1"/>
  <c r="J351" i="5" a="1"/>
  <c r="J215" i="5" a="1"/>
  <c r="J46" i="5" a="1"/>
  <c r="J303" i="5" a="1"/>
  <c r="J131" i="5" a="1"/>
  <c r="J306" i="5" a="1"/>
  <c r="J176" i="5" a="1"/>
  <c r="J496" i="5" a="1"/>
  <c r="J322" i="5" a="1"/>
  <c r="J283" i="5" a="1"/>
  <c r="J246" i="5" a="1"/>
  <c r="J372" i="5" a="1"/>
  <c r="J282" i="5" a="1"/>
  <c r="J449" i="5" a="1"/>
  <c r="J399" i="5" a="1"/>
  <c r="J242" i="5" a="1"/>
  <c r="J171" i="5" a="1"/>
  <c r="J277" i="5" a="1"/>
  <c r="J338" i="5" a="1"/>
  <c r="J327" i="5" a="1"/>
  <c r="J297" i="5" a="1"/>
  <c r="J345" i="5" a="1"/>
  <c r="J128" i="5" a="1"/>
  <c r="J249" i="5" a="1"/>
  <c r="J305" i="5" a="1"/>
  <c r="J446" i="5" a="1"/>
  <c r="J453" i="5" a="1"/>
  <c r="J329" i="5" a="1"/>
  <c r="J256" i="5" a="1"/>
  <c r="J185" i="5" a="1"/>
  <c r="J141" i="5" a="1"/>
  <c r="J340" i="5" a="1"/>
  <c r="J377" i="5" a="1"/>
  <c r="J376" i="5" a="1"/>
  <c r="J158" i="5" a="1"/>
  <c r="J165" i="5" a="1"/>
  <c r="J401" i="5" a="1"/>
  <c r="J424" i="5" a="1"/>
  <c r="J291" i="5" a="1"/>
  <c r="J219" i="5" a="1"/>
  <c r="J472" i="5" a="1"/>
  <c r="J237" i="5" a="1"/>
  <c r="J378" i="5" a="1"/>
  <c r="J167" i="5" a="1"/>
  <c r="J404" i="5" a="1"/>
  <c r="J493" i="5" a="1"/>
  <c r="J408" i="5" a="1"/>
  <c r="J170" i="5" a="1"/>
  <c r="J367" i="5" a="1"/>
  <c r="J226" i="5" a="1"/>
  <c r="J464" i="5" a="1"/>
  <c r="J342" i="5" a="1"/>
  <c r="J366" i="5" a="1"/>
  <c r="J350" i="5" a="1"/>
  <c r="J360" i="5" a="1"/>
  <c r="J374" i="5" a="1"/>
  <c r="J358" i="5" a="1"/>
  <c r="J279" i="5" a="1"/>
  <c r="J474" i="5" a="1"/>
  <c r="J365" i="5" a="1"/>
  <c r="J333" i="5" a="1"/>
  <c r="J403" i="5" a="1"/>
  <c r="J448" i="5" a="1"/>
  <c r="J288" i="5" a="1"/>
  <c r="J473" i="5" a="1"/>
  <c r="J255" i="5" a="1"/>
  <c r="J248" i="5" a="1"/>
  <c r="J391" i="5" a="1"/>
  <c r="J332" i="5" a="1"/>
  <c r="J212" i="5" a="1"/>
  <c r="J304" i="5" a="1"/>
  <c r="J166" i="5" a="1"/>
  <c r="J447" i="5" a="1"/>
  <c r="J368" i="5" a="1"/>
  <c r="J356" i="5" a="1"/>
  <c r="J284" i="5" a="1"/>
  <c r="J270" i="5" a="1"/>
  <c r="J494" i="5" a="1"/>
  <c r="J286" i="5" a="1"/>
  <c r="J349" i="5" a="1"/>
  <c r="J126" i="5" a="1"/>
  <c r="J359" i="5" a="1"/>
  <c r="J143" i="5" a="1"/>
  <c r="J142" i="5" a="1"/>
  <c r="J315" i="5" a="1"/>
  <c r="J402" i="5" a="1"/>
  <c r="J188" i="5" a="1"/>
  <c r="J324" i="5" a="1"/>
  <c r="J463" i="5" a="1"/>
  <c r="J234" i="5" a="1"/>
  <c r="J243" i="5" a="1"/>
  <c r="J153" i="5" a="1"/>
  <c r="J152" i="5" a="1"/>
  <c r="J186" i="5" a="1"/>
  <c r="J393" i="5" a="1"/>
  <c r="J189" i="5" a="1"/>
  <c r="B504" i="5" l="1"/>
  <c r="C505" i="5"/>
  <c r="B503" i="5"/>
  <c r="AA16" i="2"/>
  <c r="AA15" i="2"/>
  <c r="AA17" i="2"/>
  <c r="AA18" i="2"/>
  <c r="AA19" i="2"/>
  <c r="AA20" i="2"/>
  <c r="AA21" i="2"/>
  <c r="B502" i="5"/>
  <c r="AA30" i="2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10" i="5" a="1"/>
  <c r="J100" i="5" a="1"/>
  <c r="J85" i="5" a="1"/>
  <c r="J102" i="5" a="1"/>
  <c r="J86" i="5" a="1"/>
  <c r="J88" i="5" a="1"/>
  <c r="J107" i="5" a="1"/>
  <c r="J80" i="5" a="1"/>
  <c r="J90" i="5" a="1"/>
  <c r="J99" i="5" a="1"/>
  <c r="J109" i="5" a="1"/>
  <c r="J108" i="5" a="1"/>
  <c r="J89" i="5" a="1"/>
  <c r="J101" i="5" a="1"/>
  <c r="J84" i="5" a="1"/>
  <c r="J91" i="5" a="1"/>
  <c r="C506" i="5" l="1"/>
  <c r="B505" i="5"/>
  <c r="J500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9" i="5" a="1"/>
  <c r="J42" i="5" a="1"/>
  <c r="J72" i="5" a="1"/>
  <c r="J61" i="5" a="1"/>
  <c r="J19" i="5" a="1"/>
  <c r="J77" i="5" a="1"/>
  <c r="J78" i="5" a="1"/>
  <c r="J51" i="5" a="1"/>
  <c r="J40" i="5" a="1"/>
  <c r="J12" i="5" a="1"/>
  <c r="J59" i="5" a="1"/>
  <c r="J26" i="5" a="1"/>
  <c r="J52" i="5" a="1"/>
  <c r="J31" i="5" a="1"/>
  <c r="J33" i="5" a="1"/>
  <c r="J79" i="5" a="1"/>
  <c r="J22" i="5" a="1"/>
  <c r="J60" i="5" a="1"/>
  <c r="J70" i="5" a="1"/>
  <c r="J71" i="5" a="1"/>
  <c r="J63" i="5" a="1"/>
  <c r="C507" i="5" l="1"/>
  <c r="B506" i="5"/>
  <c r="C497" i="5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08" i="5" l="1"/>
  <c r="B507" i="5"/>
  <c r="C475" i="5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09" i="5" l="1"/>
  <c r="B508" i="5"/>
  <c r="L8" i="2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476" i="5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510" i="5" l="1"/>
  <c r="B509" i="5"/>
  <c r="B476" i="5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B510" i="5" l="1"/>
  <c r="C511" i="5"/>
  <c r="AF9" i="2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12" i="5" l="1"/>
  <c r="B511" i="5"/>
  <c r="AG9" i="2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513" i="5" l="1"/>
  <c r="B512" i="5"/>
  <c r="AH9" i="2"/>
  <c r="AH10" i="2" s="1"/>
  <c r="AH7" i="2"/>
  <c r="B46" i="5"/>
  <c r="C47" i="5"/>
  <c r="B47" i="5" s="1"/>
  <c r="B90" i="5"/>
  <c r="C91" i="5"/>
  <c r="C25" i="5"/>
  <c r="B24" i="5"/>
  <c r="L13" i="2"/>
  <c r="M12" i="2"/>
  <c r="C514" i="5" l="1"/>
  <c r="B513" i="5"/>
  <c r="AH4" i="2"/>
  <c r="AI5" i="2" s="1"/>
  <c r="AI9" i="2" s="1"/>
  <c r="AI10" i="2" s="1"/>
  <c r="C92" i="5"/>
  <c r="B91" i="5"/>
  <c r="B25" i="5"/>
  <c r="C26" i="5"/>
  <c r="L14" i="2"/>
  <c r="M13" i="2"/>
  <c r="C515" i="5" l="1"/>
  <c r="B514" i="5"/>
  <c r="AI7" i="2"/>
  <c r="AI4" i="2"/>
  <c r="AJ5" i="2" s="1"/>
  <c r="AJ9" i="2" s="1"/>
  <c r="AJ10" i="2" s="1"/>
  <c r="AB10" i="2" s="1"/>
  <c r="AB9" i="2" s="1"/>
  <c r="C27" i="5"/>
  <c r="B27" i="5" s="1"/>
  <c r="B26" i="5"/>
  <c r="B92" i="5"/>
  <c r="C93" i="5"/>
  <c r="L15" i="2"/>
  <c r="M14" i="2"/>
  <c r="C516" i="5" l="1"/>
  <c r="B516" i="5" s="1"/>
  <c r="B515" i="5"/>
  <c r="C94" i="5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<sst xmlns="http://schemas.openxmlformats.org/spreadsheetml/2006/main" count="3132" uniqueCount="992">
  <si>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</si>
  <si>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</si>
  <si>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</si>
  <si>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</si>
  <si>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</si>
  <si>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</si>
  <si>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</si>
  <si>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</si>
  <si>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</si>
  <si>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</si>
  <si>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</si>
  <si>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</si>
  <si>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</si>
  <si>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</si>
  <si>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</si>
  <si>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</si>
  <si>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</si>
  <si>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</si>
  <si>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</si>
  <si>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</si>
  <si>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</si>
  <si>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</si>
  <si>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</si>
  <si>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</si>
  <si>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</si>
  <si>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</si>
  <si>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</si>
  <si>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</si>
  <si>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</si>
  <si>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</si>
  <si>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</si>
  <si>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</si>
  <si>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</si>
  <si>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</si>
  <si>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</si>
  <si>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</si>
  <si>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</si>
  <si>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</si>
  <si>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</si>
  <si>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</si>
  <si>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</si>
  <si>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</si>
  <si>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</si>
  <si>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</si>
  <si>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</si>
  <si>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</si>
  <si>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</si>
  <si>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</si>
  <si>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</si>
  <si>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</si>
  <si>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</si>
  <si>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</si>
  <si>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</si>
  <si>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</si>
  <si>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</si>
  <si>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</si>
  <si>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</si>
  <si>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</si>
  <si>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</si>
  <si>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</si>
  <si>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</si>
  <si>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</si>
  <si>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</si>
  <si>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</si>
  <si>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</si>
  <si>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</si>
  <si>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</si>
  <si>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</si>
  <si>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</si>
  <si>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</si>
  <si>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</si>
  <si>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</si>
  <si>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</si>
  <si>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</si>
  <si>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</si>
  <si>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</si>
  <si>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</si>
  <si>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</si>
  <si>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</si>
  <si>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</si>
  <si>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</si>
  <si>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</si>
  <si>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</si>
  <si>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</si>
  <si>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</si>
  <si>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</si>
  <si>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</si>
  <si>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</si>
  <si>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</si>
  <si>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</si>
  <si>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</si>
  <si>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</si>
  <si>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</si>
  <si>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</si>
  <si>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</si>
  <si>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</si>
  <si>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</si>
  <si>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</si>
  <si>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</si>
  <si>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</si>
  <si>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</si>
  <si>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</si>
  <si>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</si>
  <si>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</si>
  <si>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</si>
  <si>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</si>
  <si>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</si>
  <si>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</si>
  <si>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</si>
  <si>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</si>
  <si>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</si>
  <si>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</si>
  <si>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</si>
  <si>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</si>
  <si>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</si>
  <si>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</si>
  <si>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</si>
  <si>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</si>
  <si>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</si>
  <si>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</si>
  <si>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</si>
  <si>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</si>
  <si>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</si>
  <si>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</si>
  <si>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</si>
  <si>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</si>
  <si>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</si>
  <si>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</si>
  <si>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</si>
  <si>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</si>
  <si>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</si>
  <si>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</si>
  <si>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</si>
  <si>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</si>
  <si>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</si>
  <si>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</si>
  <si>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</si>
  <si>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</si>
  <si>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</si>
  <si>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</si>
  <si>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</si>
  <si>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</si>
  <si>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</si>
  <si>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</si>
  <si>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</si>
  <si>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</si>
  <si>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</si>
  <si>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</si>
  <si>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</si>
  <si>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</si>
  <si>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</si>
  <si>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</si>
  <si>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</si>
  <si>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</si>
  <si>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</si>
  <si>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</si>
  <si>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</si>
  <si>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</si>
  <si>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</si>
  <si>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</si>
  <si>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</si>
  <si>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</si>
  <si>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</si>
  <si>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</si>
  <si>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</si>
  <si>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</si>
  <si>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</si>
  <si>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</si>
  <si>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</si>
  <si>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</si>
  <si>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</si>
  <si>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</si>
  <si>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</si>
  <si>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</si>
  <si>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</si>
  <si>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</si>
  <si>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</si>
  <si>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</si>
  <si>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</si>
  <si>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</si>
  <si>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</si>
  <si>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</si>
  <si>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</si>
  <si>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</si>
  <si>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</si>
  <si>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</si>
  <si>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</si>
  <si>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</si>
  <si>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</si>
  <si>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</si>
  <si>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</si>
  <si>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</si>
  <si>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</si>
  <si>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</si>
  <si>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</si>
  <si>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</si>
  <si>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</si>
  <si>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</si>
  <si>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</si>
  <si>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</si>
  <si>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</si>
  <si>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</si>
  <si>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</si>
  <si>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</si>
  <si>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</si>
  <si>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</si>
  <si>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</si>
  <si>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</si>
  <si>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</si>
  <si>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</si>
  <si>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</si>
  <si>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</si>
  <si>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</si>
  <si>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</si>
  <si>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</si>
  <si>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</si>
  <si>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</si>
  <si>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</si>
  <si>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</si>
  <si>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</si>
  <si>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</si>
  <si>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</si>
  <si>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</si>
  <si>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</si>
  <si>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</si>
  <si>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</si>
  <si>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</si>
  <si>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</si>
  <si>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</si>
  <si>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</si>
  <si>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</si>
  <si>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</si>
  <si>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</si>
  <si>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</si>
  <si>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</si>
  <si>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</si>
  <si>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</si>
  <si>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</si>
  <si>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</si>
  <si>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</si>
  <si>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</si>
  <si>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</si>
  <si>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</si>
  <si>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</si>
  <si>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</si>
  <si>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</si>
  <si>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</si>
  <si>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</si>
  <si>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</si>
  <si>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</si>
  <si>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</si>
  <si>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</si>
  <si>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</si>
  <si>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</si>
  <si>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</si>
  <si>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</si>
  <si>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</si>
  <si>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</si>
  <si>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</si>
  <si>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</si>
  <si>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</si>
  <si>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</si>
  <si>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</si>
  <si>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</si>
  <si>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</si>
  <si>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</si>
  <si>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</si>
  <si>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</si>
  <si>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</si>
  <si>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</si>
  <si>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</si>
  <si>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</si>
  <si>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</si>
  <si>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</si>
  <si>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</si>
  <si>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</si>
  <si>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</si>
  <si>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</si>
  <si>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</si>
  <si>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</si>
  <si>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</si>
  <si>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</si>
  <si>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</si>
  <si>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</si>
  <si>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</si>
  <si>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</si>
  <si>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</si>
  <si>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</si>
  <si>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</si>
  <si>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</si>
  <si>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</si>
  <si>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</si>
  <si>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</si>
  <si>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</si>
  <si>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</si>
  <si>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</si>
  <si>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</si>
  <si>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</si>
  <si>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</si>
  <si>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</si>
  <si>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</si>
  <si>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</si>
  <si>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</si>
  <si>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</si>
  <si>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</si>
  <si>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</si>
  <si>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</si>
  <si>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</si>
  <si>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</si>
  <si>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</si>
  <si>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</si>
  <si>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</si>
  <si>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</si>
  <si>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</si>
  <si>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</si>
  <si>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</si>
  <si>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</si>
  <si>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</si>
  <si>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</si>
  <si>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</si>
  <si>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</si>
  <si>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</si>
  <si>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</si>
  <si>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</si>
  <si>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</si>
  <si>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</si>
  <si>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</si>
  <si>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</si>
  <si>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</si>
  <si>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</si>
  <si>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</si>
  <si>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</si>
  <si>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</si>
  <si>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</si>
  <si>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</si>
  <si>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</si>
  <si>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</si>
  <si>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</si>
  <si>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</si>
  <si>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</si>
  <si>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</si>
  <si>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</si>
  <si>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</si>
  <si>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</si>
  <si>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</si>
  <si>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</si>
  <si>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</si>
  <si>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</si>
  <si>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</si>
  <si>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</si>
  <si>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</si>
  <si>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</si>
  <si>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</si>
  <si>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</si>
  <si>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</si>
  <si>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</si>
  <si>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</si>
  <si>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</si>
  <si>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</si>
  <si>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</si>
  <si>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</si>
  <si>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</si>
  <si>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</si>
  <si>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</si>
  <si>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</si>
  <si>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</si>
  <si>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</si>
  <si>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</si>
  <si>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</si>
  <si>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</si>
  <si>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</si>
  <si>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</si>
  <si>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</si>
  <si>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</si>
  <si>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</si>
  <si>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</si>
  <si>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</si>
  <si>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</si>
  <si>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</si>
  <si>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</si>
  <si>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</si>
  <si>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</si>
  <si>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</si>
  <si>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</si>
  <si>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</si>
  <si>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</si>
  <si>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</si>
  <si>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</si>
  <si>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</si>
  <si>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</si>
  <si>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</si>
  <si>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</si>
  <si>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</si>
  <si>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</si>
  <si>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</si>
  <si>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</si>
  <si>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</si>
  <si>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</si>
  <si>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</si>
  <si>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</si>
  <si>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</si>
  <si>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</si>
  <si>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</si>
  <si>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</si>
  <si>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</si>
  <si>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</si>
  <si>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</si>
  <si>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</si>
  <si>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</si>
  <si>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</si>
  <si>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</si>
  <si>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</si>
  <si>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</si>
  <si>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</si>
  <si>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</si>
  <si>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</si>
  <si>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</si>
  <si>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</si>
  <si>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</si>
  <si>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</si>
  <si>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</si>
  <si>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</si>
  <si>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</si>
  <si>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</si>
  <si>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</si>
  <si>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</si>
  <si>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</si>
  <si>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</si>
  <si>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</si>
  <si>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</si>
  <si>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</si>
  <si>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</si>
  <si>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</si>
  <si>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</si>
  <si>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</si>
  <si>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</si>
  <si>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</si>
  <si>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</si>
  <si>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</si>
  <si>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</si>
  <si>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</si>
  <si>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</si>
  <si>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</si>
  <si>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</si>
  <si>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</si>
  <si>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</si>
  <si>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</si>
  <si>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</si>
  <si>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</si>
  <si>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</si>
  <si>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</si>
  <si>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</si>
  <si>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</si>
  <si>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</si>
  <si>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</si>
  <si>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</si>
  <si>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</si>
  <si>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</si>
  <si>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</si>
  <si>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</si>
  <si>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</si>
  <si>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</si>
  <si>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</si>
  <si>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</si>
  <si>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</si>
  <si>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</si>
  <si>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</si>
  <si>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</si>
  <si>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</si>
  <si>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</si>
  <si>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</si>
  <si>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</si>
  <si>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</si>
  <si>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</si>
  <si>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</si>
  <si>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</si>
  <si>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</si>
  <si>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</si>
  <si>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</si>
  <si>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</si>
  <si>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</si>
  <si>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</si>
  <si>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</si>
  <si>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</si>
  <si>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</si>
  <si>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</si>
  <si>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</si>
  <si>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</si>
  <si>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</si>
  <si>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</si>
  <si>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</si>
  <si>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</si>
  <si>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</si>
  <si>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</si>
  <si>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</si>
  <si>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</si>
  <si>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</si>
  <si>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</si>
  <si>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</si>
  <si>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</si>
  <si>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</si>
  <si>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</si>
  <si>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</si>
  <si>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</si>
  <si>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</si>
  <si>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</si>
  <si>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</si>
  <si>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</si>
  <si>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</si>
  <si>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</si>
  <si>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</si>
  <si>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</si>
  <si>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</si>
  <si>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</si>
  <si>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</si>
  <si>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</si>
  <si>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</si>
  <si>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</si>
  <si>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</si>
  <si>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</si>
  <si>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</si>
  <si>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</si>
  <si>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</si>
  <si>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</si>
  <si>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</si>
  <si>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</si>
  <si>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</si>
  <si>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</si>
  <si>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</si>
  <si>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</si>
  <si>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</si>
  <si>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</si>
  <si>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</si>
  <si>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</si>
  <si>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</si>
  <si>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</si>
  <si>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</si>
  <si>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</si>
  <si>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</si>
  <si>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</si>
  <si>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</si>
  <si>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</si>
  <si>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</si>
  <si>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</si>
  <si>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</si>
  <si>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</si>
  <si>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</si>
  <si>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</si>
  <si>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</si>
  <si>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</si>
  <si>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</si>
  <si>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</si>
  <si>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</si>
  <si>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</si>
  <si>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</si>
  <si>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</si>
  <si>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</si>
  <si>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</si>
  <si>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</si>
  <si>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</si>
  <si>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</si>
  <si>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</si>
  <si>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</si>
  <si>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</si>
  <si>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</si>
  <si>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</si>
  <si>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</si>
  <si>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</si>
  <si>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</si>
  <si>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</si>
  <si>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</si>
  <si>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</si>
  <si>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</si>
  <si>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</si>
  <si>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</si>
  <si>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</si>
  <si>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</si>
  <si>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</si>
  <si>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</si>
  <si>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</si>
  <si>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</si>
  <si>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</si>
  <si>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</si>
  <si>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</si>
  <si>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</si>
  <si>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</si>
  <si>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</si>
  <si>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</si>
  <si>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</si>
  <si>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</si>
  <si>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</si>
  <si>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</si>
  <si>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</si>
  <si>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</si>
  <si>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</si>
  <si>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</si>
  <si>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</si>
  <si>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</si>
  <si>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</si>
  <si>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</si>
  <si>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</si>
  <si>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</si>
  <si>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</si>
  <si>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</si>
  <si>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</si>
  <si>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</si>
  <si>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</si>
  <si>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</si>
  <si>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</si>
  <si>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</si>
  <si>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</si>
  <si>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</si>
  <si>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</si>
  <si>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</si>
  <si>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</si>
  <si>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</si>
  <si>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</si>
  <si>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</si>
  <si>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</si>
  <si>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</si>
  <si>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</si>
  <si>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</si>
  <si>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</si>
  <si>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</si>
  <si>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</si>
  <si>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</si>
  <si>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</si>
  <si>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</si>
  <si>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</si>
  <si>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</si>
  <si>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</si>
  <si>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</si>
  <si>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</si>
  <si>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</si>
  <si>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</si>
  <si>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</si>
  <si>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</si>
  <si>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</si>
  <si>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</si>
  <si>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</si>
  <si>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</si>
  <si>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</si>
  <si>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</si>
  <si>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</si>
  <si>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</si>
  <si>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</si>
  <si>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</si>
  <si>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</si>
  <si>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</si>
  <si>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</si>
  <si>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</si>
  <si>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</si>
  <si>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</si>
  <si>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</si>
  <si>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</si>
  <si>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</si>
  <si>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</si>
  <si>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</si>
  <si>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</si>
  <si>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</si>
  <si>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</si>
  <si>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</si>
  <si>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</si>
  <si>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</si>
  <si>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</si>
  <si>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</si>
  <si>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</si>
  <si>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</si>
  <si>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</si>
  <si>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</si>
  <si>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</si>
  <si>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</si>
  <si>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</si>
  <si>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</si>
  <si>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</si>
  <si>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</si>
  <si>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</si>
  <si>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</si>
  <si>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</si>
  <si>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</si>
  <si>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</si>
  <si>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</si>
  <si>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</si>
  <si>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</si>
  <si>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</si>
  <si>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</si>
  <si>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</si>
  <si>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</si>
  <si>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</si>
  <si>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</si>
  <si>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</si>
  <si>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</si>
  <si>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</si>
  <si>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</si>
  <si>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</si>
  <si>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</si>
  <si>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</si>
  <si>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</si>
  <si>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</si>
  <si>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</si>
  <si>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</si>
  <si>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</si>
  <si>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</si>
  <si>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</si>
  <si>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</si>
  <si>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</si>
  <si>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</si>
  <si>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</si>
  <si>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</si>
  <si>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</si>
  <si>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</si>
  <si>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</si>
  <si>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</si>
  <si>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</si>
  <si>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</si>
  <si>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</si>
  <si>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</si>
  <si>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</si>
  <si>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</si>
  <si>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</si>
  <si>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</si>
  <si>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</si>
  <si>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</si>
  <si>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</si>
  <si>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</si>
  <si>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</si>
  <si>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</si>
  <si>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</si>
  <si>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</si>
  <si>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</si>
  <si>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</si>
  <si>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</si>
  <si>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</si>
  <si>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</si>
  <si>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</si>
  <si>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</si>
  <si>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</si>
  <si>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</si>
  <si>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</si>
  <si>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</si>
  <si>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</si>
  <si>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</si>
  <si>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</si>
  <si>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</si>
  <si>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</si>
  <si>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</si>
  <si>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</si>
  <si>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</si>
  <si>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</si>
  <si>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</si>
  <si>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</si>
  <si>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</si>
  <si>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</si>
  <si>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</si>
  <si>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</si>
  <si>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</si>
  <si>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</si>
  <si>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</si>
  <si>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</si>
  <si>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</si>
  <si>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</si>
  <si>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</si>
  <si>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</si>
  <si>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</si>
  <si>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</si>
  <si>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</si>
  <si>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</si>
  <si>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</si>
  <si>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</si>
  <si>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</si>
  <si>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</si>
  <si>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</si>
  <si>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</si>
  <si>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</si>
  <si>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</si>
  <si>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</si>
  <si>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</si>
  <si>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</si>
  <si>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</si>
  <si>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</si>
  <si>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</si>
  <si>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</si>
  <si>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</si>
  <si>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</si>
  <si>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</si>
  <si>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</si>
  <si>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</si>
  <si>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</si>
  <si>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</si>
  <si>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</si>
  <si>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</si>
  <si>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</si>
  <si>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</si>
  <si>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</si>
  <si>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</si>
  <si>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</si>
  <si>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</si>
  <si>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</si>
  <si>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</si>
  <si>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</si>
  <si>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</si>
  <si>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</si>
  <si>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</si>
  <si>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</si>
  <si>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</si>
  <si>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</si>
  <si>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</si>
  <si>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</si>
  <si>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</si>
  <si>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</si>
  <si>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</si>
  <si>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</si>
  <si>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</si>
  <si>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</si>
  <si>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</si>
  <si>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</si>
  <si>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</si>
  <si>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</si>
  <si>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</si>
  <si>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</si>
  <si>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</si>
  <si>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</si>
  <si>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</si>
  <si>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</si>
  <si>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</si>
  <si>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</si>
  <si>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</si>
  <si>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</si>
  <si>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</si>
  <si>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</si>
  <si>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</si>
  <si>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</si>
  <si>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</si>
  <si>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</si>
  <si>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</si>
  <si>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</si>
  <si>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</si>
  <si>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</si>
  <si>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</si>
  <si>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</si>
  <si>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</si>
  <si>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</si>
  <si>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</si>
  <si>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</si>
  <si>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</si>
  <si>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</si>
  <si>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</si>
  <si>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</si>
  <si>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</si>
  <si>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</si>
  <si>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</si>
  <si>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</si>
  <si>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</si>
  <si>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</si>
  <si>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</si>
  <si>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</si>
  <si>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</si>
  <si>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</si>
  <si>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</si>
  <si>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</si>
  <si>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</si>
  <si>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</si>
  <si>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</si>
  <si>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</si>
  <si>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</si>
  <si>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</si>
  <si>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</si>
  <si>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</si>
  <si>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</si>
  <si>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</si>
  <si>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</si>
  <si>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</si>
  <si>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</si>
  <si>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</si>
  <si>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</si>
  <si>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</si>
  <si>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</si>
  <si>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</si>
  <si>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</si>
  <si>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</si>
  <si>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</si>
  <si>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</si>
  <si>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</si>
  <si>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</si>
  <si>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</si>
  <si>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</si>
  <si>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</si>
  <si>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</si>
  <si>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</si>
  <si>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</si>
  <si>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</si>
  <si>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</si>
  <si>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</si>
  <si>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</si>
  <si>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</si>
  <si>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</si>
  <si>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</si>
  <si>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</si>
  <si>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</si>
  <si>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</si>
  <si>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</si>
  <si>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</si>
  <si>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</si>
  <si>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</si>
  <si>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</si>
  <si>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</si>
  <si>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</si>
  <si>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</si>
  <si>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</si>
  <si>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</si>
  <si>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</si>
  <si>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</si>
  <si>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</si>
  <si>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</si>
  <si>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</si>
  <si>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</si>
  <si>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</si>
  <si>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</si>
  <si>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</si>
  <si>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</si>
  <si>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</si>
  <si>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</si>
  <si>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</si>
  <si>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</si>
  <si>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</si>
  <si>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</si>
  <si>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</si>
  <si>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</si>
  <si>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</si>
  <si>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</si>
  <si>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</si>
  <si>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</si>
  <si>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</si>
  <si>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</si>
  <si>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</si>
  <si>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</si>
  <si>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</si>
  <si>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</si>
  <si>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</si>
  <si>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</si>
  <si>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</si>
  <si>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</si>
  <si>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</si>
  <si>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</si>
  <si>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</si>
  <si>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</si>
  <si>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</si>
  <si>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</si>
  <si>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</si>
  <si>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</si>
  <si>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</si>
  <si>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</si>
  <si>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</si>
  <si>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</si>
  <si>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</si>
  <si>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</si>
  <si>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</si>
  <si>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</si>
  <si>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</si>
  <si>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</si>
  <si>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</si>
  <si>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</si>
  <si>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</si>
  <si>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</si>
  <si>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</si>
  <si>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</si>
  <si>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</si>
  <si>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</si>
  <si>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</si>
  <si>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</si>
  <si>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</si>
  <si>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</si>
  <si>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</si>
  <si>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</si>
  <si>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</si>
  <si>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Execution Complete</t>
  </si>
  <si>
    <t>PRI</t>
  </si>
  <si>
    <t>F</t>
  </si>
  <si>
    <t>G</t>
  </si>
  <si>
    <t>J</t>
  </si>
  <si>
    <t>PRI Test</t>
  </si>
  <si>
    <t>C D</t>
  </si>
  <si>
    <t>FG</t>
  </si>
  <si>
    <t>SKIPPED</t>
  </si>
  <si>
    <t>Print Immediate</t>
  </si>
  <si>
    <t>LETJ</t>
  </si>
  <si>
    <t>AB C D_x000D_
E_x000D_
 FG_x000D_
f gh iJ_x000D_
 p</t>
  </si>
  <si>
    <t>010F</t>
  </si>
  <si>
    <t>LETF</t>
  </si>
  <si>
    <t>f gh iJ</t>
  </si>
  <si>
    <t xml:space="preserve"> p</t>
  </si>
  <si>
    <t>PRT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</si>
</sst>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8C8C8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8" borderId="16" xfId="0" applyFill="1" applyBorder="1" applyAlignment="1">
      <alignment horizontal="center"/>
    </xf>
  </cellXfs>
  <cellStyles count="1">
    <cellStyle name="Normal" xfId="0" builtinId="0"/>
  </cellStyles>
  <dxfs count="325"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Z15" sqref="Z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53" t="s">
        <v>975</v>
      </c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5"/>
      <c r="AN1" s="65" t="s">
        <v>418</v>
      </c>
      <c r="AO1" s="65" t="s">
        <v>414</v>
      </c>
      <c r="AP1" s="6"/>
    </row>
    <row r="2" spans="1:42" ht="15.75" thickBot="1">
      <c r="A2" s="14" t="s">
        <v>135</v>
      </c>
      <c r="B2" s="15">
        <v>1</v>
      </c>
      <c r="AN2" s="107">
        <v>1</v>
      </c>
      <c r="AO2" s="107" t="s">
        <v>415</v>
      </c>
      <c r="AP2" s="6"/>
    </row>
    <row r="3" spans="1:42" ht="15.75" thickBot="1">
      <c r="A3" s="8" t="s">
        <v>134</v>
      </c>
      <c r="B3" s="13">
        <f>Line0</f>
        <v>256</v>
      </c>
      <c r="AC3" s="114">
        <v>7</v>
      </c>
      <c r="AD3" s="115">
        <v>6</v>
      </c>
      <c r="AE3" s="115">
        <v>5</v>
      </c>
      <c r="AF3" s="115">
        <v>4</v>
      </c>
      <c r="AG3" s="115">
        <v>3</v>
      </c>
      <c r="AH3" s="115">
        <v>2</v>
      </c>
      <c r="AI3" s="115">
        <v>1</v>
      </c>
      <c r="AJ3" s="116">
        <v>0</v>
      </c>
      <c r="AN3" s="107">
        <v>1</v>
      </c>
      <c r="AO3" s="107" t="s">
        <v>416</v>
      </c>
      <c r="AP3" s="6"/>
    </row>
    <row r="4" spans="1:42" ht="15.75" thickBot="1">
      <c r="AA4" s="7" t="s">
        <v>407</v>
      </c>
      <c r="AB4" s="103">
        <f>HEX2DEC(AB5)</f>
        <v>85</v>
      </c>
      <c r="AC4" s="113">
        <f t="shared" ref="AC4:AJ4" si="0">AB4-AC5*AC6</f>
        <v>85</v>
      </c>
      <c r="AD4" s="105">
        <f t="shared" si="0"/>
        <v>21</v>
      </c>
      <c r="AE4" s="105">
        <f t="shared" si="0"/>
        <v>21</v>
      </c>
      <c r="AF4" s="105">
        <f t="shared" si="0"/>
        <v>5</v>
      </c>
      <c r="AG4" s="105">
        <f t="shared" si="0"/>
        <v>5</v>
      </c>
      <c r="AH4" s="105">
        <f t="shared" si="0"/>
        <v>1</v>
      </c>
      <c r="AI4" s="105">
        <f t="shared" si="0"/>
        <v>1</v>
      </c>
      <c r="AJ4" s="118">
        <f t="shared" si="0"/>
        <v>0</v>
      </c>
      <c r="AK4" s="86" t="s">
        <v>408</v>
      </c>
      <c r="AL4" s="117" t="s">
        <v>116</v>
      </c>
      <c r="AN4" s="107">
        <v>0</v>
      </c>
      <c r="AO4" s="107" t="s">
        <v>417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V5" s="20" t="s">
        <v>136</v>
      </c>
      <c r="AA5" s="8" t="s">
        <v>138</v>
      </c>
      <c r="AB5" s="128" t="s">
        <v>192</v>
      </c>
      <c r="AC5" s="104">
        <f>IF(AB4&gt;=AC6,1,0)</f>
        <v>0</v>
      </c>
      <c r="AD5" s="104">
        <f t="shared" ref="AD5:AJ5" si="1">IF(AC4&gt;=AD6,1,0)</f>
        <v>1</v>
      </c>
      <c r="AE5" s="104">
        <f t="shared" si="1"/>
        <v>0</v>
      </c>
      <c r="AF5" s="104">
        <f t="shared" si="1"/>
        <v>1</v>
      </c>
      <c r="AG5" s="104">
        <f t="shared" si="1"/>
        <v>0</v>
      </c>
      <c r="AH5" s="104">
        <f t="shared" si="1"/>
        <v>1</v>
      </c>
      <c r="AI5" s="104">
        <f t="shared" si="1"/>
        <v>0</v>
      </c>
      <c r="AJ5" s="119">
        <f t="shared" si="1"/>
        <v>1</v>
      </c>
      <c r="AK5" s="120">
        <f>SUM(AC5:AJ5)</f>
        <v>4</v>
      </c>
      <c r="AL5" s="121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4">
        <f>2^AC3</f>
        <v>128</v>
      </c>
      <c r="AD6" s="104">
        <f t="shared" ref="AD6:AJ6" si="2">2^AD3</f>
        <v>64</v>
      </c>
      <c r="AE6" s="104">
        <f t="shared" si="2"/>
        <v>32</v>
      </c>
      <c r="AF6" s="104">
        <f t="shared" si="2"/>
        <v>16</v>
      </c>
      <c r="AG6" s="104">
        <f t="shared" si="2"/>
        <v>8</v>
      </c>
      <c r="AH6" s="104">
        <f t="shared" si="2"/>
        <v>4</v>
      </c>
      <c r="AI6" s="104">
        <f t="shared" si="2"/>
        <v>2</v>
      </c>
      <c r="AJ6" s="104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T7" s="42"/>
      <c r="U7" s="43" t="s">
        <v>143</v>
      </c>
      <c r="V7" s="46" t="s">
        <v>144</v>
      </c>
      <c r="W7" s="56" t="s">
        <v>137</v>
      </c>
      <c r="X7" s="56" t="s">
        <v>152</v>
      </c>
      <c r="AB7" s="103">
        <f>SUM(AC7:AJ7)</f>
        <v>85</v>
      </c>
      <c r="AC7" s="104">
        <f t="shared" ref="AC7" si="5">AC6*AC5</f>
        <v>0</v>
      </c>
      <c r="AD7" s="104">
        <f t="shared" ref="AD7" si="6">AD6*AD5</f>
        <v>64</v>
      </c>
      <c r="AE7" s="104">
        <f t="shared" ref="AE7" si="7">AE6*AE5</f>
        <v>0</v>
      </c>
      <c r="AF7" s="104">
        <f t="shared" ref="AF7" si="8">AF6*AF5</f>
        <v>16</v>
      </c>
      <c r="AG7" s="104">
        <f t="shared" ref="AG7" si="9">AG6*AG5</f>
        <v>0</v>
      </c>
      <c r="AH7" s="104">
        <f t="shared" ref="AH7" si="10">AH6*AH5</f>
        <v>4</v>
      </c>
      <c r="AI7" s="104">
        <f t="shared" ref="AI7:AJ7" si="11">AI6*AI5</f>
        <v>0</v>
      </c>
      <c r="AJ7" s="104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976</v>
      </c>
      <c r="Q8" s="98" t="s">
        <v>153</v>
      </c>
      <c r="R8" s="99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6"/>
      <c r="P9" s="97" t="s">
        <v>976</v>
      </c>
      <c r="Q9" s="98" t="s">
        <v>151</v>
      </c>
      <c r="R9" s="99"/>
      <c r="U9" s="48"/>
      <c r="V9" s="16"/>
      <c r="W9" s="34"/>
      <c r="X9" s="35"/>
      <c r="AA9" s="7" t="s">
        <v>138</v>
      </c>
      <c r="AB9" s="126" t="str">
        <f>DEC2HEX(AB10)</f>
        <v>AA</v>
      </c>
      <c r="AC9" s="122">
        <f>1-AC5</f>
        <v>1</v>
      </c>
      <c r="AD9" s="122">
        <f t="shared" ref="AD9:AJ9" si="14">1-AD5</f>
        <v>0</v>
      </c>
      <c r="AE9" s="122">
        <f t="shared" si="14"/>
        <v>1</v>
      </c>
      <c r="AF9" s="122">
        <f t="shared" si="14"/>
        <v>0</v>
      </c>
      <c r="AG9" s="122">
        <f t="shared" si="14"/>
        <v>1</v>
      </c>
      <c r="AH9" s="122">
        <f t="shared" si="14"/>
        <v>0</v>
      </c>
      <c r="AI9" s="122">
        <f t="shared" si="14"/>
        <v>1</v>
      </c>
      <c r="AJ9" s="123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6"/>
      <c r="P10" s="97" t="s">
        <v>976</v>
      </c>
      <c r="Q10" s="98" t="s">
        <v>189</v>
      </c>
      <c r="R10" s="99" t="s">
        <v>304</v>
      </c>
      <c r="U10" s="48"/>
      <c r="V10" s="16"/>
      <c r="W10" s="34"/>
      <c r="X10" s="35"/>
      <c r="AA10" s="8" t="s">
        <v>407</v>
      </c>
      <c r="AB10" s="127">
        <f>SUM(AC10:AJ10)</f>
        <v>170</v>
      </c>
      <c r="AC10" s="124">
        <f t="shared" ref="AC10" si="16">AC9*AC6</f>
        <v>128</v>
      </c>
      <c r="AD10" s="124">
        <f t="shared" ref="AD10" si="17">AD9*AD6</f>
        <v>0</v>
      </c>
      <c r="AE10" s="124">
        <f t="shared" ref="AE10" si="18">AE9*AE6</f>
        <v>32</v>
      </c>
      <c r="AF10" s="124">
        <f t="shared" ref="AF10" si="19">AF9*AF6</f>
        <v>0</v>
      </c>
      <c r="AG10" s="124">
        <f t="shared" ref="AG10" si="20">AG9*AG6</f>
        <v>8</v>
      </c>
      <c r="AH10" s="124">
        <f t="shared" ref="AH10" si="21">AH9*AH6</f>
        <v>0</v>
      </c>
      <c r="AI10" s="124">
        <f t="shared" ref="AI10" si="22">AI9*AI6</f>
        <v>2</v>
      </c>
      <c r="AJ10" s="125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976</v>
      </c>
      <c r="Q11" s="98" t="s">
        <v>190</v>
      </c>
      <c r="R11" s="99" t="s">
        <v>373</v>
      </c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 t="s">
        <v>976</v>
      </c>
      <c r="Q12" s="98" t="s">
        <v>272</v>
      </c>
      <c r="R12" s="99" t="s">
        <v>892</v>
      </c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987</v>
      </c>
      <c r="D13" s="34" t="str">
        <f t="shared" si="3"/>
        <v>.</v>
      </c>
      <c r="E13" s="35">
        <f t="shared" si="4"/>
        <v>271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6"/>
      <c r="P13" s="97" t="s">
        <v>976</v>
      </c>
      <c r="Q13" s="98" t="s">
        <v>977</v>
      </c>
      <c r="R13" s="99" t="s">
        <v>304</v>
      </c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420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976</v>
      </c>
      <c r="Q14" s="98" t="s">
        <v>978</v>
      </c>
      <c r="R14" s="99" t="s">
        <v>892</v>
      </c>
      <c r="U14" s="48"/>
      <c r="V14" s="16"/>
      <c r="W14" s="34"/>
      <c r="X14" s="35"/>
      <c r="Z14" s="9" t="s">
        <v>499</v>
      </c>
      <c r="AA14" s="10" t="s">
        <v>507</v>
      </c>
      <c r="AB14" s="133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>E</v>
      </c>
      <c r="M15" s="38" t="str">
        <f t="shared" si="12"/>
        <v>0107</v>
      </c>
      <c r="N15" s="69">
        <f t="shared" si="15"/>
        <v>263</v>
      </c>
      <c r="O15" s="96" t="s">
        <v>988</v>
      </c>
      <c r="P15" s="97" t="s">
        <v>165</v>
      </c>
      <c r="Q15" s="98">
        <v>66</v>
      </c>
      <c r="R15" s="99"/>
      <c r="U15" s="48"/>
      <c r="V15" s="16"/>
      <c r="W15" s="34"/>
      <c r="X15" s="35"/>
      <c r="Z15" s="132">
        <v>100</v>
      </c>
      <c r="AA15" s="130" t="str" cm="1">
        <f t="array" ref="AA15">HEX2ASCII(AB15)&amp;HEX2ASCII(AC15)&amp;HEX2ASCII(AD15)&amp;HEX2ASCII(AE15)&amp;HEX2ASCII(AF15)&amp;HEX2ASCII(AG15)&amp;HEX2ASCII(AH15)&amp;HEX2ASCII(AI15)</f>
        <v>0A.0B.0C</v>
      </c>
      <c r="AB15" s="144" t="s">
        <v>913</v>
      </c>
      <c r="AC15" s="145" t="s">
        <v>922</v>
      </c>
      <c r="AD15" s="145" t="s">
        <v>222</v>
      </c>
      <c r="AE15" s="145" t="s">
        <v>913</v>
      </c>
      <c r="AF15" s="145" t="s">
        <v>495</v>
      </c>
      <c r="AG15" s="145" t="s">
        <v>222</v>
      </c>
      <c r="AH15" s="145" t="s">
        <v>913</v>
      </c>
      <c r="AI15" s="146" t="s">
        <v>923</v>
      </c>
    </row>
    <row r="16" spans="1:42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 t="s">
        <v>976</v>
      </c>
      <c r="Q16" s="98" t="s">
        <v>988</v>
      </c>
      <c r="R16" s="99" t="s">
        <v>238</v>
      </c>
      <c r="U16" s="48"/>
      <c r="V16" s="16"/>
      <c r="W16" s="34"/>
      <c r="X16" s="35"/>
      <c r="Z16" s="74">
        <v>108</v>
      </c>
      <c r="AA16" s="130" t="str" cm="1">
        <f t="array" ref="AA16">HEX2ASCII(AB16)&amp;HEX2ASCII(AC16)&amp;HEX2ASCII(AD16)&amp;HEX2ASCII(AE16)&amp;HEX2ASCII(AF16)&amp;HEX2ASCII(AG16)&amp;HEX2ASCII(AH16)&amp;HEX2ASCII(AI16)</f>
        <v>.0D.0E.0</v>
      </c>
      <c r="AB16" s="147" t="s">
        <v>304</v>
      </c>
      <c r="AC16" s="148" t="s">
        <v>913</v>
      </c>
      <c r="AD16" s="148" t="s">
        <v>924</v>
      </c>
      <c r="AE16" s="148" t="s">
        <v>373</v>
      </c>
      <c r="AF16" s="148" t="s">
        <v>913</v>
      </c>
      <c r="AG16" s="148" t="s">
        <v>925</v>
      </c>
      <c r="AH16" s="148" t="s">
        <v>892</v>
      </c>
      <c r="AI16" s="149" t="s">
        <v>913</v>
      </c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 t="s">
        <v>976</v>
      </c>
      <c r="Q17" s="98">
        <v>67</v>
      </c>
      <c r="R17" s="99" t="s">
        <v>208</v>
      </c>
      <c r="U17" s="48"/>
      <c r="V17" s="16"/>
      <c r="W17" s="34"/>
      <c r="X17" s="35"/>
      <c r="Z17" s="74">
        <v>110</v>
      </c>
      <c r="AA17" s="130" t="str" cm="1">
        <f t="array" ref="AA17">HEX2ASCII(AB17)&amp;HEX2ASCII(AC17)&amp;HEX2ASCII(AD17)&amp;HEX2ASCII(AE17)&amp;HEX2ASCII(AF17)&amp;HEX2ASCII(AG17)&amp;HEX2ASCII(AH17)&amp;HEX2ASCII(AI17)</f>
        <v>F.0G.0f.</v>
      </c>
      <c r="AB17" s="147" t="s">
        <v>926</v>
      </c>
      <c r="AC17" s="148" t="s">
        <v>304</v>
      </c>
      <c r="AD17" s="148" t="s">
        <v>913</v>
      </c>
      <c r="AE17" s="148" t="s">
        <v>927</v>
      </c>
      <c r="AF17" s="148" t="s">
        <v>892</v>
      </c>
      <c r="AG17" s="148" t="s">
        <v>913</v>
      </c>
      <c r="AH17" s="148" t="s">
        <v>945</v>
      </c>
      <c r="AI17" s="149" t="s">
        <v>238</v>
      </c>
    </row>
    <row r="18" spans="1:35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 t="s">
        <v>976</v>
      </c>
      <c r="Q18" s="98">
        <v>68</v>
      </c>
      <c r="R18" s="99" t="s">
        <v>238</v>
      </c>
      <c r="U18" s="48"/>
      <c r="V18" s="16"/>
      <c r="W18" s="34"/>
      <c r="X18" s="35"/>
      <c r="Z18" s="74">
        <v>118</v>
      </c>
      <c r="AA18" s="130" t="str" cm="1">
        <f t="array" ref="AA18">HEX2ASCII(AB18)&amp;HEX2ASCII(AC18)&amp;HEX2ASCII(AD18)&amp;HEX2ASCII(AE18)&amp;HEX2ASCII(AF18)&amp;HEX2ASCII(AG18)&amp;HEX2ASCII(AH18)&amp;HEX2ASCII(AI18)</f>
        <v>0g.0h.0i</v>
      </c>
      <c r="AB18" s="147" t="s">
        <v>913</v>
      </c>
      <c r="AC18" s="148" t="s">
        <v>946</v>
      </c>
      <c r="AD18" s="148" t="s">
        <v>208</v>
      </c>
      <c r="AE18" s="148" t="s">
        <v>913</v>
      </c>
      <c r="AF18" s="148" t="s">
        <v>947</v>
      </c>
      <c r="AG18" s="148" t="s">
        <v>238</v>
      </c>
      <c r="AH18" s="148" t="s">
        <v>913</v>
      </c>
      <c r="AI18" s="149" t="s">
        <v>948</v>
      </c>
    </row>
    <row r="19" spans="1:35" ht="15.75" thickBot="1">
      <c r="A19" s="6" t="s">
        <v>246</v>
      </c>
      <c r="B19" s="6" t="s">
        <v>305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 t="s">
        <v>976</v>
      </c>
      <c r="Q19" s="98">
        <v>69</v>
      </c>
      <c r="R19" s="99" t="s">
        <v>208</v>
      </c>
      <c r="U19" s="48"/>
      <c r="V19" s="16"/>
      <c r="W19" s="34"/>
      <c r="X19" s="35"/>
      <c r="Z19" s="74">
        <v>120</v>
      </c>
      <c r="AA19" s="130" t="str" cm="1">
        <f t="array" ref="AA19">HEX2ASCII(AB19)&amp;HEX2ASCII(AC19)&amp;HEX2ASCII(AD19)&amp;HEX2ASCII(AE19)&amp;HEX2ASCII(AF19)&amp;HEX2ASCII(AG19)&amp;HEX2ASCII(AH19)&amp;HEX2ASCII(AI19)</f>
        <v>.0J.</v>
      </c>
      <c r="AB19" s="147" t="s">
        <v>208</v>
      </c>
      <c r="AC19" s="148" t="s">
        <v>913</v>
      </c>
      <c r="AD19" s="148" t="s">
        <v>595</v>
      </c>
      <c r="AE19" s="148" t="s">
        <v>892</v>
      </c>
      <c r="AF19" s="148"/>
      <c r="AG19" s="148"/>
      <c r="AH19" s="148"/>
      <c r="AI19" s="149"/>
    </row>
    <row r="20" spans="1:35" ht="15.75" thickBot="1">
      <c r="A20" s="6" t="s">
        <v>247</v>
      </c>
      <c r="B20" s="6" t="s">
        <v>306</v>
      </c>
      <c r="G20" s="108" t="s">
        <v>419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6"/>
      <c r="P20" s="97" t="s">
        <v>976</v>
      </c>
      <c r="Q20" s="98" t="s">
        <v>979</v>
      </c>
      <c r="R20" s="99" t="s">
        <v>892</v>
      </c>
      <c r="U20" s="48"/>
      <c r="V20" s="16"/>
      <c r="W20" s="34"/>
      <c r="X20" s="35"/>
      <c r="Z20" s="74"/>
      <c r="AA20" s="130" t="str" cm="1">
        <f t="array" ref="AA20">HEX2ASCII(AB20)&amp;HEX2ASCII(AC20)&amp;HEX2ASCII(AD20)&amp;HEX2ASCII(AE20)&amp;HEX2ASCII(AF20)&amp;HEX2ASCII(AG20)&amp;HEX2ASCII(AH20)&amp;HEX2ASCII(AI20)</f>
        <v/>
      </c>
      <c r="AB20" s="147"/>
      <c r="AC20" s="148"/>
      <c r="AD20" s="148"/>
      <c r="AE20" s="148"/>
      <c r="AF20" s="148"/>
      <c r="AG20" s="148"/>
      <c r="AH20" s="148"/>
      <c r="AI20" s="149"/>
    </row>
    <row r="21" spans="1:35">
      <c r="A21" s="6" t="s">
        <v>250</v>
      </c>
      <c r="B21" s="6" t="s">
        <v>307</v>
      </c>
      <c r="K21" s="85"/>
      <c r="L21" s="54" t="str">
        <f t="shared" si="13"/>
        <v>E</v>
      </c>
      <c r="M21" s="38" t="str">
        <f t="shared" si="12"/>
        <v>010D</v>
      </c>
      <c r="N21" s="69">
        <f t="shared" si="15"/>
        <v>269</v>
      </c>
      <c r="O21" s="96" t="s">
        <v>985</v>
      </c>
      <c r="P21" s="97" t="s">
        <v>165</v>
      </c>
      <c r="Q21" s="98" t="s">
        <v>949</v>
      </c>
      <c r="R21" s="99"/>
      <c r="U21" s="48"/>
      <c r="V21" s="16"/>
      <c r="W21" s="34"/>
      <c r="X21" s="35"/>
      <c r="Z21" s="74"/>
      <c r="AA21" s="130" t="str" cm="1">
        <f t="array" ref="AA21">HEX2ASCII(AB21)&amp;HEX2ASCII(AC21)&amp;HEX2ASCII(AD21)&amp;HEX2ASCII(AE21)&amp;HEX2ASCII(AF21)&amp;HEX2ASCII(AG21)&amp;HEX2ASCII(AH21)&amp;HEX2ASCII(AI21)</f>
        <v/>
      </c>
      <c r="AB21" s="147"/>
      <c r="AC21" s="148"/>
      <c r="AD21" s="148"/>
      <c r="AE21" s="148"/>
      <c r="AF21" s="148"/>
      <c r="AG21" s="148"/>
      <c r="AH21" s="148"/>
      <c r="AI21" s="149"/>
    </row>
    <row r="22" spans="1:35">
      <c r="A22" s="6" t="s">
        <v>251</v>
      </c>
      <c r="B22" s="6" t="s">
        <v>308</v>
      </c>
      <c r="K22" s="85"/>
      <c r="L22" s="54" t="str">
        <f>IF(UPPER(P22)="EQU","E",IF(P22="DB","D",IF(O22&lt;&gt;"","L",IF(N22="","F",""))))</f>
        <v/>
      </c>
      <c r="M22" s="38" t="str">
        <f t="shared" si="12"/>
        <v>010E</v>
      </c>
      <c r="N22" s="69">
        <f t="shared" si="15"/>
        <v>270</v>
      </c>
      <c r="O22" s="96"/>
      <c r="P22" s="97" t="s">
        <v>976</v>
      </c>
      <c r="Q22" s="98" t="s">
        <v>985</v>
      </c>
      <c r="R22" s="99" t="s">
        <v>208</v>
      </c>
      <c r="U22" s="48"/>
      <c r="V22" s="16"/>
      <c r="W22" s="34"/>
      <c r="X22" s="35"/>
      <c r="Z22" s="74"/>
      <c r="AA22" s="130" t="str" cm="1">
        <f t="array" ref="AA22">HEX2ASCII(AB22)&amp;HEX2ASCII(AC22)&amp;HEX2ASCII(AD22)&amp;HEX2ASCII(AE22)&amp;HEX2ASCII(AF22)&amp;HEX2ASCII(AG22)&amp;HEX2ASCII(AH22)&amp;HEX2ASCII(AI22)</f>
        <v/>
      </c>
      <c r="AB22" s="147"/>
      <c r="AC22" s="148"/>
      <c r="AD22" s="148"/>
      <c r="AE22" s="148"/>
      <c r="AF22" s="148"/>
      <c r="AG22" s="148"/>
      <c r="AH22" s="148"/>
      <c r="AI22" s="149"/>
    </row>
    <row r="23" spans="1:35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>N22+0*COUNTA(P22:R22)+1</f>
        <v>271</v>
      </c>
      <c r="O23" s="96"/>
      <c r="P23" s="97" t="s">
        <v>191</v>
      </c>
      <c r="Q23" s="98"/>
      <c r="R23" s="99"/>
      <c r="U23" s="48"/>
      <c r="V23" s="16"/>
      <c r="W23" s="34"/>
      <c r="X23" s="35"/>
      <c r="Z23" s="74"/>
      <c r="AA23" s="130" t="str" cm="1">
        <f t="array" ref="AA23">HEX2ASCII(AB23)&amp;HEX2ASCII(AC23)&amp;HEX2ASCII(AD23)&amp;HEX2ASCII(AE23)&amp;HEX2ASCII(AF23)&amp;HEX2ASCII(AG23)&amp;HEX2ASCII(AH23)&amp;HEX2ASCII(AI23)</f>
        <v/>
      </c>
      <c r="AB23" s="147"/>
      <c r="AC23" s="148"/>
      <c r="AD23" s="148"/>
      <c r="AE23" s="148"/>
      <c r="AF23" s="148"/>
      <c r="AG23" s="148"/>
      <c r="AH23" s="148"/>
      <c r="AI23" s="149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35"/>
      <c r="U24" s="48"/>
      <c r="V24" s="16"/>
      <c r="W24" s="34"/>
      <c r="X24" s="35"/>
      <c r="Z24" s="74"/>
      <c r="AA24" s="130" t="str" cm="1">
        <f t="array" ref="AA24">HEX2ASCII(AB24)&amp;HEX2ASCII(AC24)&amp;HEX2ASCII(AD24)&amp;HEX2ASCII(AE24)&amp;HEX2ASCII(AF24)&amp;HEX2ASCII(AG24)&amp;HEX2ASCII(AH24)&amp;HEX2ASCII(AI24)</f>
        <v/>
      </c>
      <c r="AB24" s="147"/>
      <c r="AC24" s="148"/>
      <c r="AD24" s="148"/>
      <c r="AE24" s="148"/>
      <c r="AF24" s="148"/>
      <c r="AG24" s="148"/>
      <c r="AH24" s="148"/>
      <c r="AI24" s="149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35"/>
      <c r="U25" s="48"/>
      <c r="V25" s="16"/>
      <c r="W25" s="34"/>
      <c r="X25" s="35"/>
      <c r="Z25" s="74"/>
      <c r="AA25" s="130" t="str" cm="1">
        <f t="array" ref="AA25">HEX2ASCII(AB25)&amp;HEX2ASCII(AC25)&amp;HEX2ASCII(AD25)&amp;HEX2ASCII(AE25)&amp;HEX2ASCII(AF25)&amp;HEX2ASCII(AG25)&amp;HEX2ASCII(AH25)&amp;HEX2ASCII(AI25)</f>
        <v/>
      </c>
      <c r="AB25" s="147"/>
      <c r="AC25" s="148"/>
      <c r="AD25" s="148"/>
      <c r="AE25" s="148"/>
      <c r="AF25" s="148"/>
      <c r="AG25" s="148"/>
      <c r="AH25" s="148"/>
      <c r="AI25" s="149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35"/>
      <c r="U26" s="48"/>
      <c r="V26" s="16"/>
      <c r="W26" s="34"/>
      <c r="X26" s="35"/>
      <c r="Z26" s="74"/>
      <c r="AA26" s="130" t="str" cm="1">
        <f t="array" ref="AA26">HEX2ASCII(AB26)&amp;HEX2ASCII(AC26)&amp;HEX2ASCII(AD26)&amp;HEX2ASCII(AE26)&amp;HEX2ASCII(AF26)&amp;HEX2ASCII(AG26)&amp;HEX2ASCII(AH26)&amp;HEX2ASCII(AI26)</f>
        <v/>
      </c>
      <c r="AB26" s="147"/>
      <c r="AC26" s="148"/>
      <c r="AD26" s="148"/>
      <c r="AE26" s="148"/>
      <c r="AF26" s="148"/>
      <c r="AG26" s="148"/>
      <c r="AH26" s="148"/>
      <c r="AI26" s="149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35"/>
      <c r="U27" s="48"/>
      <c r="V27" s="16"/>
      <c r="W27" s="34"/>
      <c r="X27" s="35"/>
      <c r="Z27" s="74"/>
      <c r="AA27" s="130" t="str" cm="1">
        <f t="array" ref="AA27">HEX2ASCII(AB27)&amp;HEX2ASCII(AC27)&amp;HEX2ASCII(AD27)&amp;HEX2ASCII(AE27)&amp;HEX2ASCII(AF27)&amp;HEX2ASCII(AG27)&amp;HEX2ASCII(AH27)&amp;HEX2ASCII(AI27)</f>
        <v/>
      </c>
      <c r="AB27" s="147"/>
      <c r="AC27" s="148"/>
      <c r="AD27" s="148"/>
      <c r="AE27" s="148"/>
      <c r="AF27" s="148"/>
      <c r="AG27" s="148"/>
      <c r="AH27" s="148"/>
      <c r="AI27" s="149"/>
    </row>
    <row r="28" spans="1:35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5"/>
        <v>276</v>
      </c>
      <c r="O28" s="96"/>
      <c r="P28" s="97"/>
      <c r="Q28" s="98"/>
      <c r="R28" s="135"/>
      <c r="U28" s="48"/>
      <c r="V28" s="16"/>
      <c r="W28" s="34"/>
      <c r="X28" s="35"/>
      <c r="Z28" s="74"/>
      <c r="AA28" s="130" t="str" cm="1">
        <f t="array" ref="AA28">HEX2ASCII(AB28)&amp;HEX2ASCII(AC28)&amp;HEX2ASCII(AD28)&amp;HEX2ASCII(AE28)&amp;HEX2ASCII(AF28)&amp;HEX2ASCII(AG28)&amp;HEX2ASCII(AH28)&amp;HEX2ASCII(AI28)</f>
        <v/>
      </c>
      <c r="AB28" s="147"/>
      <c r="AC28" s="148"/>
      <c r="AD28" s="148"/>
      <c r="AE28" s="148"/>
      <c r="AF28" s="148"/>
      <c r="AG28" s="148"/>
      <c r="AH28" s="148"/>
      <c r="AI28" s="149"/>
    </row>
    <row r="29" spans="1:35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6"/>
      <c r="P29" s="97"/>
      <c r="Q29" s="98"/>
      <c r="R29" s="135"/>
      <c r="U29" s="48"/>
      <c r="V29" s="16"/>
      <c r="W29" s="34"/>
      <c r="X29" s="35"/>
      <c r="Z29" s="74"/>
      <c r="AA29" s="130" t="str" cm="1">
        <f t="array" ref="AA29">HEX2ASCII(AB29)&amp;HEX2ASCII(AC29)&amp;HEX2ASCII(AD29)&amp;HEX2ASCII(AE29)&amp;HEX2ASCII(AF29)&amp;HEX2ASCII(AG29)&amp;HEX2ASCII(AH29)&amp;HEX2ASCII(AI29)</f>
        <v/>
      </c>
      <c r="AB29" s="147"/>
      <c r="AC29" s="148"/>
      <c r="AD29" s="148"/>
      <c r="AE29" s="148"/>
      <c r="AF29" s="148"/>
      <c r="AG29" s="148"/>
      <c r="AH29" s="148"/>
      <c r="AI29" s="149"/>
    </row>
    <row r="30" spans="1:35">
      <c r="K30" s="85"/>
      <c r="L30" s="54" t="str">
        <f t="shared" si="13"/>
        <v/>
      </c>
      <c r="M30" s="38" t="str">
        <f t="shared" si="25"/>
        <v>0116</v>
      </c>
      <c r="N30" s="69">
        <f t="shared" si="15"/>
        <v>278</v>
      </c>
      <c r="O30" s="96"/>
      <c r="P30" s="97"/>
      <c r="Q30" s="98"/>
      <c r="R30" s="135"/>
      <c r="U30" s="48"/>
      <c r="V30" s="16"/>
      <c r="W30" s="34"/>
      <c r="X30" s="35"/>
      <c r="Z30" s="74"/>
      <c r="AA30" s="130" t="str" cm="1">
        <f t="array" ref="AA30">HEX2ASCII(AB30)&amp;HEX2ASCII(AC30)&amp;HEX2ASCII(AD30)&amp;HEX2ASCII(AE30)&amp;HEX2ASCII(AF30)&amp;HEX2ASCII(AG30)&amp;HEX2ASCII(AH30)&amp;HEX2ASCII(AI30)</f>
        <v/>
      </c>
      <c r="AB30" s="147"/>
      <c r="AC30" s="148"/>
      <c r="AD30" s="148"/>
      <c r="AE30" s="148"/>
      <c r="AF30" s="148"/>
      <c r="AG30" s="148"/>
      <c r="AH30" s="148"/>
      <c r="AI30" s="149"/>
    </row>
    <row r="31" spans="1:35">
      <c r="B31" t="str">
        <f>CHAR(102)</f>
        <v>f</v>
      </c>
      <c r="K31" s="85"/>
      <c r="L31" s="54" t="str">
        <f t="shared" si="13"/>
        <v/>
      </c>
      <c r="M31" s="38" t="str">
        <f t="shared" si="25"/>
        <v>0117</v>
      </c>
      <c r="N31" s="69">
        <f t="shared" si="15"/>
        <v>279</v>
      </c>
      <c r="O31" s="96"/>
      <c r="P31" s="97"/>
      <c r="Q31" s="98"/>
      <c r="R31" s="135"/>
      <c r="U31" s="48"/>
      <c r="V31" s="16"/>
      <c r="W31" s="34"/>
      <c r="X31" s="35"/>
      <c r="Z31" s="74"/>
      <c r="AA31" s="130" t="str" cm="1">
        <f t="array" ref="AA31">HEX2ASCII(AB31)&amp;HEX2ASCII(AC31)&amp;HEX2ASCII(AD31)&amp;HEX2ASCII(AE31)&amp;HEX2ASCII(AF31)&amp;HEX2ASCII(AG31)&amp;HEX2ASCII(AH31)&amp;HEX2ASCII(AI31)</f>
        <v/>
      </c>
      <c r="AB31" s="147"/>
      <c r="AC31" s="148"/>
      <c r="AD31" s="148"/>
      <c r="AE31" s="148"/>
      <c r="AF31" s="148"/>
      <c r="AG31" s="148"/>
      <c r="AH31" s="148"/>
      <c r="AI31" s="149"/>
    </row>
    <row r="32" spans="1:35">
      <c r="K32" s="85"/>
      <c r="L32" s="54" t="str">
        <f t="shared" si="13"/>
        <v/>
      </c>
      <c r="M32" s="38" t="str">
        <f t="shared" si="25"/>
        <v>0118</v>
      </c>
      <c r="N32" s="69">
        <f t="shared" si="15"/>
        <v>280</v>
      </c>
      <c r="O32" s="96"/>
      <c r="P32" s="97"/>
      <c r="Q32" s="98"/>
      <c r="R32" s="135"/>
      <c r="U32" s="48"/>
      <c r="V32" s="16"/>
      <c r="W32" s="34"/>
      <c r="X32" s="35"/>
      <c r="Z32" s="74"/>
      <c r="AA32" s="130" t="str" cm="1">
        <f t="array" ref="AA32">HEX2ASCII(AB32)&amp;HEX2ASCII(AC32)&amp;HEX2ASCII(AD32)&amp;HEX2ASCII(AE32)&amp;HEX2ASCII(AF32)&amp;HEX2ASCII(AG32)&amp;HEX2ASCII(AH32)&amp;HEX2ASCII(AI32)</f>
        <v/>
      </c>
      <c r="AB32" s="147"/>
      <c r="AC32" s="148"/>
      <c r="AD32" s="148"/>
      <c r="AE32" s="148"/>
      <c r="AF32" s="148"/>
      <c r="AG32" s="148"/>
      <c r="AH32" s="148"/>
      <c r="AI32" s="149"/>
    </row>
    <row r="33" spans="11:35">
      <c r="K33" s="85"/>
      <c r="L33" s="54" t="str">
        <f t="shared" si="13"/>
        <v/>
      </c>
      <c r="M33" s="38" t="str">
        <f t="shared" si="25"/>
        <v>0119</v>
      </c>
      <c r="N33" s="69">
        <f t="shared" si="15"/>
        <v>281</v>
      </c>
      <c r="O33" s="96"/>
      <c r="P33" s="97"/>
      <c r="Q33" s="98"/>
      <c r="R33" s="135"/>
      <c r="U33" s="48"/>
      <c r="V33" s="16"/>
      <c r="W33" s="34"/>
      <c r="X33" s="35"/>
      <c r="Z33" s="74"/>
      <c r="AA33" s="130" t="str" cm="1">
        <f t="array" ref="AA33">HEX2ASCII(AB33)&amp;HEX2ASCII(AC33)&amp;HEX2ASCII(AD33)&amp;HEX2ASCII(AE33)&amp;HEX2ASCII(AF33)&amp;HEX2ASCII(AG33)&amp;HEX2ASCII(AH33)&amp;HEX2ASCII(AI33)</f>
        <v/>
      </c>
      <c r="AB33" s="147"/>
      <c r="AC33" s="148"/>
      <c r="AD33" s="148"/>
      <c r="AE33" s="148"/>
      <c r="AF33" s="148"/>
      <c r="AG33" s="148"/>
      <c r="AH33" s="148"/>
      <c r="AI33" s="149"/>
    </row>
    <row r="34" spans="11:35">
      <c r="K34" s="85"/>
      <c r="L34" s="54" t="str">
        <f t="shared" si="13"/>
        <v/>
      </c>
      <c r="M34" s="38" t="str">
        <f t="shared" si="25"/>
        <v>011A</v>
      </c>
      <c r="N34" s="69">
        <f t="shared" si="15"/>
        <v>282</v>
      </c>
      <c r="O34" s="96"/>
      <c r="P34" s="97"/>
      <c r="Q34" s="98"/>
      <c r="R34" s="135"/>
      <c r="U34" s="48"/>
      <c r="V34" s="16"/>
      <c r="W34" s="34"/>
      <c r="X34" s="35"/>
      <c r="Z34" s="74"/>
      <c r="AA34" s="130" t="str" cm="1">
        <f t="array" ref="AA34">HEX2ASCII(AB34)&amp;HEX2ASCII(AC34)&amp;HEX2ASCII(AD34)&amp;HEX2ASCII(AE34)&amp;HEX2ASCII(AF34)&amp;HEX2ASCII(AG34)&amp;HEX2ASCII(AH34)&amp;HEX2ASCII(AI34)</f>
        <v/>
      </c>
      <c r="AB34" s="147"/>
      <c r="AC34" s="148"/>
      <c r="AD34" s="148"/>
      <c r="AE34" s="148"/>
      <c r="AF34" s="148"/>
      <c r="AG34" s="148"/>
      <c r="AH34" s="148"/>
      <c r="AI34" s="149"/>
    </row>
    <row r="35" spans="11:35">
      <c r="K35" s="85"/>
      <c r="L35" s="54" t="str">
        <f t="shared" si="13"/>
        <v/>
      </c>
      <c r="M35" s="38" t="str">
        <f t="shared" si="25"/>
        <v>011B</v>
      </c>
      <c r="N35" s="69">
        <f t="shared" si="15"/>
        <v>283</v>
      </c>
      <c r="O35" s="96"/>
      <c r="P35" s="97"/>
      <c r="Q35" s="98"/>
      <c r="R35" s="135"/>
      <c r="U35" s="48"/>
      <c r="V35" s="16"/>
      <c r="W35" s="34"/>
      <c r="X35" s="35"/>
      <c r="Z35" s="74"/>
      <c r="AA35" s="130" t="str" cm="1">
        <f t="array" ref="AA35">HEX2ASCII(AB35)&amp;HEX2ASCII(AC35)&amp;HEX2ASCII(AD35)&amp;HEX2ASCII(AE35)&amp;HEX2ASCII(AF35)&amp;HEX2ASCII(AG35)&amp;HEX2ASCII(AH35)&amp;HEX2ASCII(AI35)</f>
        <v/>
      </c>
      <c r="AB35" s="147"/>
      <c r="AC35" s="148"/>
      <c r="AD35" s="148"/>
      <c r="AE35" s="148"/>
      <c r="AF35" s="148"/>
      <c r="AG35" s="148"/>
      <c r="AH35" s="148"/>
      <c r="AI35" s="149"/>
    </row>
    <row r="36" spans="11:35">
      <c r="K36" s="85"/>
      <c r="L36" s="54" t="str">
        <f t="shared" si="13"/>
        <v/>
      </c>
      <c r="M36" s="38" t="str">
        <f t="shared" si="25"/>
        <v>011C</v>
      </c>
      <c r="N36" s="69">
        <f t="shared" si="15"/>
        <v>284</v>
      </c>
      <c r="O36" s="96"/>
      <c r="P36" s="97"/>
      <c r="Q36" s="98"/>
      <c r="R36" s="135"/>
      <c r="U36" s="48"/>
      <c r="V36" s="16"/>
      <c r="W36" s="34"/>
      <c r="X36" s="35"/>
      <c r="Z36" s="74"/>
      <c r="AA36" s="130" t="str" cm="1">
        <f t="array" ref="AA36">HEX2ASCII(AB36)&amp;HEX2ASCII(AC36)&amp;HEX2ASCII(AD36)&amp;HEX2ASCII(AE36)&amp;HEX2ASCII(AF36)&amp;HEX2ASCII(AG36)&amp;HEX2ASCII(AH36)&amp;HEX2ASCII(AI36)</f>
        <v/>
      </c>
      <c r="AB36" s="147"/>
      <c r="AC36" s="148"/>
      <c r="AD36" s="148"/>
      <c r="AE36" s="148"/>
      <c r="AF36" s="148"/>
      <c r="AG36" s="148"/>
      <c r="AH36" s="148"/>
      <c r="AI36" s="149"/>
    </row>
    <row r="37" spans="11:35">
      <c r="K37" s="85"/>
      <c r="L37" s="54" t="str">
        <f t="shared" si="13"/>
        <v/>
      </c>
      <c r="M37" s="38" t="str">
        <f t="shared" si="25"/>
        <v>011D</v>
      </c>
      <c r="N37" s="69">
        <f t="shared" si="15"/>
        <v>285</v>
      </c>
      <c r="O37" s="96"/>
      <c r="P37" s="97"/>
      <c r="Q37" s="98"/>
      <c r="R37" s="135"/>
      <c r="U37" s="48"/>
      <c r="V37" s="16"/>
      <c r="W37" s="34"/>
      <c r="X37" s="35"/>
      <c r="Z37" s="74"/>
      <c r="AA37" s="130" t="str" cm="1">
        <f t="array" ref="AA37">HEX2ASCII(AB37)&amp;HEX2ASCII(AC37)&amp;HEX2ASCII(AD37)&amp;HEX2ASCII(AE37)&amp;HEX2ASCII(AF37)&amp;HEX2ASCII(AG37)&amp;HEX2ASCII(AH37)&amp;HEX2ASCII(AI37)</f>
        <v/>
      </c>
      <c r="AB37" s="147"/>
      <c r="AC37" s="148"/>
      <c r="AD37" s="148"/>
      <c r="AE37" s="148"/>
      <c r="AF37" s="148"/>
      <c r="AG37" s="148"/>
      <c r="AH37" s="148"/>
      <c r="AI37" s="149"/>
    </row>
    <row r="38" spans="11:35">
      <c r="K38" s="85"/>
      <c r="L38" s="54" t="str">
        <f t="shared" si="13"/>
        <v/>
      </c>
      <c r="M38" s="38" t="str">
        <f t="shared" si="25"/>
        <v>011E</v>
      </c>
      <c r="N38" s="69">
        <f t="shared" si="15"/>
        <v>286</v>
      </c>
      <c r="O38" s="96"/>
      <c r="P38" s="97"/>
      <c r="Q38" s="98"/>
      <c r="R38" s="135"/>
      <c r="U38" s="48"/>
      <c r="V38" s="16"/>
      <c r="W38" s="34"/>
      <c r="X38" s="35"/>
      <c r="Z38" s="74"/>
      <c r="AA38" s="130" t="str" cm="1">
        <f t="array" ref="AA38">HEX2ASCII(AB38)&amp;HEX2ASCII(AC38)&amp;HEX2ASCII(AD38)&amp;HEX2ASCII(AE38)&amp;HEX2ASCII(AF38)&amp;HEX2ASCII(AG38)&amp;HEX2ASCII(AH38)&amp;HEX2ASCII(AI38)</f>
        <v/>
      </c>
      <c r="AB38" s="147"/>
      <c r="AC38" s="148"/>
      <c r="AD38" s="148"/>
      <c r="AE38" s="148"/>
      <c r="AF38" s="148"/>
      <c r="AG38" s="148"/>
      <c r="AH38" s="148"/>
      <c r="AI38" s="149"/>
    </row>
    <row r="39" spans="11:35">
      <c r="K39" s="85"/>
      <c r="L39" s="54" t="str">
        <f t="shared" si="13"/>
        <v/>
      </c>
      <c r="M39" s="38" t="str">
        <f t="shared" si="25"/>
        <v>011F</v>
      </c>
      <c r="N39" s="69">
        <f t="shared" si="15"/>
        <v>287</v>
      </c>
      <c r="O39" s="96"/>
      <c r="P39" s="97"/>
      <c r="Q39" s="98"/>
      <c r="R39" s="135"/>
      <c r="U39" s="48"/>
      <c r="V39" s="16"/>
      <c r="W39" s="34"/>
      <c r="X39" s="35"/>
      <c r="Z39" s="74"/>
      <c r="AA39" s="130" t="str" cm="1">
        <f t="array" ref="AA39">HEX2ASCII(AB39)&amp;HEX2ASCII(AC39)&amp;HEX2ASCII(AD39)&amp;HEX2ASCII(AE39)&amp;HEX2ASCII(AF39)&amp;HEX2ASCII(AG39)&amp;HEX2ASCII(AH39)&amp;HEX2ASCII(AI39)</f>
        <v/>
      </c>
      <c r="AB39" s="147"/>
      <c r="AC39" s="148"/>
      <c r="AD39" s="148"/>
      <c r="AE39" s="148"/>
      <c r="AF39" s="148"/>
      <c r="AG39" s="148"/>
      <c r="AH39" s="148"/>
      <c r="AI39" s="149"/>
    </row>
    <row r="40" spans="11:35">
      <c r="K40" s="85"/>
      <c r="L40" s="54" t="str">
        <f t="shared" si="13"/>
        <v/>
      </c>
      <c r="M40" s="38" t="str">
        <f t="shared" si="25"/>
        <v>0120</v>
      </c>
      <c r="N40" s="69">
        <f t="shared" si="15"/>
        <v>288</v>
      </c>
      <c r="O40" s="96"/>
      <c r="P40" s="97"/>
      <c r="Q40" s="98"/>
      <c r="R40" s="135"/>
      <c r="U40" s="48"/>
      <c r="V40" s="16"/>
      <c r="W40" s="34"/>
      <c r="X40" s="35"/>
      <c r="Z40" s="74"/>
      <c r="AA40" s="130" t="str" cm="1">
        <f t="array" ref="AA40">HEX2ASCII(AB40)&amp;HEX2ASCII(AC40)&amp;HEX2ASCII(AD40)&amp;HEX2ASCII(AE40)&amp;HEX2ASCII(AF40)&amp;HEX2ASCII(AG40)&amp;HEX2ASCII(AH40)&amp;HEX2ASCII(AI40)</f>
        <v/>
      </c>
      <c r="AB40" s="147"/>
      <c r="AC40" s="148"/>
      <c r="AD40" s="148"/>
      <c r="AE40" s="148"/>
      <c r="AF40" s="148"/>
      <c r="AG40" s="148"/>
      <c r="AH40" s="148"/>
      <c r="AI40" s="149"/>
    </row>
    <row r="41" spans="11:35">
      <c r="K41" s="85"/>
      <c r="L41" s="54" t="str">
        <f t="shared" si="13"/>
        <v/>
      </c>
      <c r="M41" s="38" t="str">
        <f t="shared" si="25"/>
        <v>0121</v>
      </c>
      <c r="N41" s="69">
        <f t="shared" si="15"/>
        <v>289</v>
      </c>
      <c r="O41" s="96"/>
      <c r="P41" s="97"/>
      <c r="Q41" s="98"/>
      <c r="R41" s="135"/>
      <c r="U41" s="48"/>
      <c r="V41" s="16"/>
      <c r="W41" s="34"/>
      <c r="X41" s="35"/>
      <c r="Z41" s="74"/>
      <c r="AA41" s="130" t="str" cm="1">
        <f t="array" ref="AA41">HEX2ASCII(AB41)&amp;HEX2ASCII(AC41)&amp;HEX2ASCII(AD41)&amp;HEX2ASCII(AE41)&amp;HEX2ASCII(AF41)&amp;HEX2ASCII(AG41)&amp;HEX2ASCII(AH41)&amp;HEX2ASCII(AI41)</f>
        <v/>
      </c>
      <c r="AB41" s="147"/>
      <c r="AC41" s="148"/>
      <c r="AD41" s="148"/>
      <c r="AE41" s="148"/>
      <c r="AF41" s="148"/>
      <c r="AG41" s="148"/>
      <c r="AH41" s="148"/>
      <c r="AI41" s="149"/>
    </row>
    <row r="42" spans="11:35">
      <c r="K42" s="85"/>
      <c r="L42" s="54" t="str">
        <f t="shared" si="13"/>
        <v/>
      </c>
      <c r="M42" s="38" t="str">
        <f t="shared" si="25"/>
        <v>0122</v>
      </c>
      <c r="N42" s="69">
        <f t="shared" si="15"/>
        <v>290</v>
      </c>
      <c r="O42" s="96"/>
      <c r="P42" s="97"/>
      <c r="Q42" s="98"/>
      <c r="R42" s="135"/>
      <c r="U42" s="48"/>
      <c r="V42" s="16"/>
      <c r="W42" s="34"/>
      <c r="X42" s="35"/>
      <c r="Z42" s="74"/>
      <c r="AA42" s="130" t="str" cm="1">
        <f t="array" ref="AA42">HEX2ASCII(AB42)&amp;HEX2ASCII(AC42)&amp;HEX2ASCII(AD42)&amp;HEX2ASCII(AE42)&amp;HEX2ASCII(AF42)&amp;HEX2ASCII(AG42)&amp;HEX2ASCII(AH42)&amp;HEX2ASCII(AI42)</f>
        <v/>
      </c>
      <c r="AB42" s="147"/>
      <c r="AC42" s="148"/>
      <c r="AD42" s="148"/>
      <c r="AE42" s="148"/>
      <c r="AF42" s="148"/>
      <c r="AG42" s="148"/>
      <c r="AH42" s="148"/>
      <c r="AI42" s="149"/>
    </row>
    <row r="43" spans="11:35">
      <c r="K43" s="85"/>
      <c r="L43" s="54" t="str">
        <f t="shared" si="13"/>
        <v/>
      </c>
      <c r="M43" s="38" t="str">
        <f t="shared" si="25"/>
        <v>0123</v>
      </c>
      <c r="N43" s="69">
        <f t="shared" si="15"/>
        <v>291</v>
      </c>
      <c r="O43" s="96"/>
      <c r="P43" s="97"/>
      <c r="Q43" s="98"/>
      <c r="R43" s="135"/>
      <c r="U43" s="48"/>
      <c r="V43" s="16"/>
      <c r="W43" s="34"/>
      <c r="X43" s="35"/>
      <c r="Z43" s="74"/>
      <c r="AA43" s="130" t="str" cm="1">
        <f t="array" ref="AA43">HEX2ASCII(AB43)&amp;HEX2ASCII(AC43)&amp;HEX2ASCII(AD43)&amp;HEX2ASCII(AE43)&amp;HEX2ASCII(AF43)&amp;HEX2ASCII(AG43)&amp;HEX2ASCII(AH43)&amp;HEX2ASCII(AI43)</f>
        <v/>
      </c>
      <c r="AB43" s="147"/>
      <c r="AC43" s="148"/>
      <c r="AD43" s="148"/>
      <c r="AE43" s="148"/>
      <c r="AF43" s="148"/>
      <c r="AG43" s="148"/>
      <c r="AH43" s="148"/>
      <c r="AI43" s="149"/>
    </row>
    <row r="44" spans="11:35">
      <c r="K44" s="85"/>
      <c r="L44" s="54" t="str">
        <f t="shared" si="13"/>
        <v/>
      </c>
      <c r="M44" s="38" t="str">
        <f t="shared" si="25"/>
        <v>0124</v>
      </c>
      <c r="N44" s="69">
        <f t="shared" si="15"/>
        <v>292</v>
      </c>
      <c r="O44" s="96"/>
      <c r="P44" s="97"/>
      <c r="Q44" s="98"/>
      <c r="R44" s="135"/>
      <c r="U44" s="48"/>
      <c r="V44" s="16"/>
      <c r="W44" s="34"/>
      <c r="X44" s="35"/>
      <c r="Z44" s="74"/>
      <c r="AA44" s="130" t="str" cm="1">
        <f t="array" ref="AA44">HEX2ASCII(AB44)&amp;HEX2ASCII(AC44)&amp;HEX2ASCII(AD44)&amp;HEX2ASCII(AE44)&amp;HEX2ASCII(AF44)&amp;HEX2ASCII(AG44)&amp;HEX2ASCII(AH44)&amp;HEX2ASCII(AI44)</f>
        <v/>
      </c>
      <c r="AB44" s="147"/>
      <c r="AC44" s="148"/>
      <c r="AD44" s="148"/>
      <c r="AE44" s="148"/>
      <c r="AF44" s="148"/>
      <c r="AG44" s="148"/>
      <c r="AH44" s="148"/>
      <c r="AI44" s="149"/>
    </row>
    <row r="45" spans="11:35">
      <c r="K45" s="85"/>
      <c r="L45" s="54" t="str">
        <f t="shared" si="13"/>
        <v/>
      </c>
      <c r="M45" s="38" t="str">
        <f t="shared" si="25"/>
        <v>0125</v>
      </c>
      <c r="N45" s="69">
        <f t="shared" si="15"/>
        <v>293</v>
      </c>
      <c r="O45" s="96"/>
      <c r="P45" s="97"/>
      <c r="Q45" s="98"/>
      <c r="R45" s="135"/>
      <c r="U45" s="48"/>
      <c r="V45" s="16"/>
      <c r="W45" s="34"/>
      <c r="X45" s="35"/>
      <c r="Z45" s="74"/>
      <c r="AA45" s="130" t="str" cm="1">
        <f t="array" ref="AA45">HEX2ASCII(AB45)&amp;HEX2ASCII(AC45)&amp;HEX2ASCII(AD45)&amp;HEX2ASCII(AE45)&amp;HEX2ASCII(AF45)&amp;HEX2ASCII(AG45)&amp;HEX2ASCII(AH45)&amp;HEX2ASCII(AI45)</f>
        <v/>
      </c>
      <c r="AB45" s="147"/>
      <c r="AC45" s="148"/>
      <c r="AD45" s="148"/>
      <c r="AE45" s="148"/>
      <c r="AF45" s="148"/>
      <c r="AG45" s="148"/>
      <c r="AH45" s="148"/>
      <c r="AI45" s="149"/>
    </row>
    <row r="46" spans="11:35">
      <c r="K46" s="85"/>
      <c r="L46" s="54" t="str">
        <f t="shared" si="13"/>
        <v/>
      </c>
      <c r="M46" s="38" t="str">
        <f t="shared" si="25"/>
        <v>0126</v>
      </c>
      <c r="N46" s="69">
        <f t="shared" si="15"/>
        <v>294</v>
      </c>
      <c r="O46" s="96"/>
      <c r="P46" s="97"/>
      <c r="Q46" s="98"/>
      <c r="R46" s="135"/>
      <c r="U46" s="48"/>
      <c r="V46" s="16"/>
      <c r="W46" s="34"/>
      <c r="X46" s="35"/>
      <c r="Z46" s="74"/>
      <c r="AA46" s="130" t="str" cm="1">
        <f t="array" ref="AA46">HEX2ASCII(AB46)&amp;HEX2ASCII(AC46)&amp;HEX2ASCII(AD46)&amp;HEX2ASCII(AE46)&amp;HEX2ASCII(AF46)&amp;HEX2ASCII(AG46)&amp;HEX2ASCII(AH46)&amp;HEX2ASCII(AI46)</f>
        <v/>
      </c>
      <c r="AB46" s="147"/>
      <c r="AC46" s="148"/>
      <c r="AD46" s="148"/>
      <c r="AE46" s="148"/>
      <c r="AF46" s="148"/>
      <c r="AG46" s="148"/>
      <c r="AH46" s="148"/>
      <c r="AI46" s="149"/>
    </row>
    <row r="47" spans="11:35">
      <c r="K47" s="85"/>
      <c r="L47" s="54" t="str">
        <f t="shared" si="13"/>
        <v/>
      </c>
      <c r="M47" s="38" t="str">
        <f t="shared" si="25"/>
        <v>0127</v>
      </c>
      <c r="N47" s="69">
        <f t="shared" si="15"/>
        <v>295</v>
      </c>
      <c r="O47" s="96"/>
      <c r="P47" s="97"/>
      <c r="Q47" s="98"/>
      <c r="R47" s="135"/>
      <c r="U47" s="48"/>
      <c r="V47" s="16"/>
      <c r="W47" s="34"/>
      <c r="X47" s="35"/>
      <c r="Z47" s="74"/>
      <c r="AA47" s="130" t="str" cm="1">
        <f t="array" ref="AA47">HEX2ASCII(AB47)&amp;HEX2ASCII(AC47)&amp;HEX2ASCII(AD47)&amp;HEX2ASCII(AE47)&amp;HEX2ASCII(AF47)&amp;HEX2ASCII(AG47)&amp;HEX2ASCII(AH47)&amp;HEX2ASCII(AI47)</f>
        <v/>
      </c>
      <c r="AB47" s="147"/>
      <c r="AC47" s="148"/>
      <c r="AD47" s="148"/>
      <c r="AE47" s="148"/>
      <c r="AF47" s="148"/>
      <c r="AG47" s="148"/>
      <c r="AH47" s="148"/>
      <c r="AI47" s="149"/>
    </row>
    <row r="48" spans="11:35">
      <c r="K48" s="85"/>
      <c r="L48" s="54" t="str">
        <f t="shared" si="13"/>
        <v/>
      </c>
      <c r="M48" s="38" t="str">
        <f t="shared" si="25"/>
        <v>0128</v>
      </c>
      <c r="N48" s="69">
        <f t="shared" si="15"/>
        <v>296</v>
      </c>
      <c r="O48" s="96"/>
      <c r="P48" s="97"/>
      <c r="Q48" s="98"/>
      <c r="R48" s="135"/>
      <c r="U48" s="48" t="str">
        <f t="shared" ref="U48:U72" si="26">IF(V48&gt;0,RIGHT("0000"&amp;DEC2HEX(V48),4),"")</f>
        <v/>
      </c>
      <c r="V48" s="16"/>
      <c r="W48" s="34"/>
      <c r="X48" s="35"/>
      <c r="Z48" s="74"/>
      <c r="AA48" s="130" t="str" cm="1">
        <f t="array" ref="AA48">HEX2ASCII(AB48)&amp;HEX2ASCII(AC48)&amp;HEX2ASCII(AD48)&amp;HEX2ASCII(AE48)&amp;HEX2ASCII(AF48)&amp;HEX2ASCII(AG48)&amp;HEX2ASCII(AH48)&amp;HEX2ASCII(AI48)</f>
        <v/>
      </c>
      <c r="AB48" s="147"/>
      <c r="AC48" s="148"/>
      <c r="AD48" s="148"/>
      <c r="AE48" s="148"/>
      <c r="AF48" s="148"/>
      <c r="AG48" s="148"/>
      <c r="AH48" s="148"/>
      <c r="AI48" s="149"/>
    </row>
    <row r="49" spans="11:35">
      <c r="K49" s="85"/>
      <c r="L49" s="54" t="str">
        <f t="shared" si="13"/>
        <v/>
      </c>
      <c r="M49" s="38" t="str">
        <f t="shared" si="25"/>
        <v>0129</v>
      </c>
      <c r="N49" s="69">
        <f t="shared" si="15"/>
        <v>297</v>
      </c>
      <c r="O49" s="96"/>
      <c r="P49" s="97"/>
      <c r="Q49" s="98"/>
      <c r="R49" s="135"/>
      <c r="U49" s="48" t="str">
        <f t="shared" si="26"/>
        <v/>
      </c>
      <c r="V49" s="16"/>
      <c r="W49" s="34"/>
      <c r="X49" s="35"/>
      <c r="Z49" s="74"/>
      <c r="AA49" s="130" t="str" cm="1">
        <f t="array" ref="AA49">HEX2ASCII(AB49)&amp;HEX2ASCII(AC49)&amp;HEX2ASCII(AD49)&amp;HEX2ASCII(AE49)&amp;HEX2ASCII(AF49)&amp;HEX2ASCII(AG49)&amp;HEX2ASCII(AH49)&amp;HEX2ASCII(AI49)</f>
        <v/>
      </c>
      <c r="AB49" s="147"/>
      <c r="AC49" s="148"/>
      <c r="AD49" s="148"/>
      <c r="AE49" s="148"/>
      <c r="AF49" s="148"/>
      <c r="AG49" s="148"/>
      <c r="AH49" s="148"/>
      <c r="AI49" s="149"/>
    </row>
    <row r="50" spans="11:35">
      <c r="K50" s="85"/>
      <c r="L50" s="54" t="str">
        <f t="shared" si="13"/>
        <v/>
      </c>
      <c r="M50" s="38" t="str">
        <f t="shared" si="25"/>
        <v>012A</v>
      </c>
      <c r="N50" s="69">
        <f t="shared" si="15"/>
        <v>298</v>
      </c>
      <c r="O50" s="96"/>
      <c r="P50" s="97"/>
      <c r="Q50" s="98"/>
      <c r="R50" s="135"/>
      <c r="U50" s="48" t="str">
        <f t="shared" si="26"/>
        <v/>
      </c>
      <c r="V50" s="16"/>
      <c r="W50" s="34"/>
      <c r="X50" s="35"/>
      <c r="Z50" s="74"/>
      <c r="AA50" s="130" t="str" cm="1">
        <f t="array" ref="AA50">HEX2ASCII(AB50)&amp;HEX2ASCII(AC50)&amp;HEX2ASCII(AD50)&amp;HEX2ASCII(AE50)&amp;HEX2ASCII(AF50)&amp;HEX2ASCII(AG50)&amp;HEX2ASCII(AH50)&amp;HEX2ASCII(AI50)</f>
        <v/>
      </c>
      <c r="AB50" s="147"/>
      <c r="AC50" s="148"/>
      <c r="AD50" s="148"/>
      <c r="AE50" s="148"/>
      <c r="AF50" s="148"/>
      <c r="AG50" s="148"/>
      <c r="AH50" s="148"/>
      <c r="AI50" s="149"/>
    </row>
    <row r="51" spans="11:35">
      <c r="K51" s="85"/>
      <c r="L51" s="54" t="str">
        <f t="shared" si="13"/>
        <v/>
      </c>
      <c r="M51" s="38" t="str">
        <f t="shared" si="25"/>
        <v>012B</v>
      </c>
      <c r="N51" s="69">
        <f t="shared" si="15"/>
        <v>299</v>
      </c>
      <c r="O51" s="96"/>
      <c r="P51" s="97"/>
      <c r="Q51" s="98"/>
      <c r="R51" s="135"/>
      <c r="U51" s="48" t="str">
        <f t="shared" si="26"/>
        <v/>
      </c>
      <c r="V51" s="16"/>
      <c r="W51" s="34"/>
      <c r="X51" s="35"/>
      <c r="Z51" s="74"/>
      <c r="AA51" s="130" t="str" cm="1">
        <f t="array" ref="AA51">HEX2ASCII(AB51)&amp;HEX2ASCII(AC51)&amp;HEX2ASCII(AD51)&amp;HEX2ASCII(AE51)&amp;HEX2ASCII(AF51)&amp;HEX2ASCII(AG51)&amp;HEX2ASCII(AH51)&amp;HEX2ASCII(AI51)</f>
        <v/>
      </c>
      <c r="AB51" s="147"/>
      <c r="AC51" s="148"/>
      <c r="AD51" s="148"/>
      <c r="AE51" s="148"/>
      <c r="AF51" s="148"/>
      <c r="AG51" s="148"/>
      <c r="AH51" s="148"/>
      <c r="AI51" s="149"/>
    </row>
    <row r="52" spans="11:35">
      <c r="K52" s="85"/>
      <c r="L52" s="54" t="str">
        <f t="shared" si="13"/>
        <v/>
      </c>
      <c r="M52" s="38" t="str">
        <f t="shared" si="25"/>
        <v>012C</v>
      </c>
      <c r="N52" s="69">
        <f t="shared" si="15"/>
        <v>300</v>
      </c>
      <c r="O52" s="96"/>
      <c r="P52" s="97"/>
      <c r="Q52" s="98"/>
      <c r="R52" s="135"/>
      <c r="U52" s="48" t="str">
        <f t="shared" si="26"/>
        <v/>
      </c>
      <c r="V52" s="16"/>
      <c r="W52" s="34"/>
      <c r="X52" s="35"/>
      <c r="Z52" s="74"/>
      <c r="AA52" s="130" t="str" cm="1">
        <f t="array" ref="AA52">HEX2ASCII(AB52)&amp;HEX2ASCII(AC52)&amp;HEX2ASCII(AD52)&amp;HEX2ASCII(AE52)&amp;HEX2ASCII(AF52)&amp;HEX2ASCII(AG52)&amp;HEX2ASCII(AH52)&amp;HEX2ASCII(AI52)</f>
        <v/>
      </c>
      <c r="AB52" s="147"/>
      <c r="AC52" s="148"/>
      <c r="AD52" s="148"/>
      <c r="AE52" s="148"/>
      <c r="AF52" s="148"/>
      <c r="AG52" s="148"/>
      <c r="AH52" s="148"/>
      <c r="AI52" s="149"/>
    </row>
    <row r="53" spans="11:35">
      <c r="K53" s="85"/>
      <c r="L53" s="54" t="str">
        <f t="shared" si="13"/>
        <v/>
      </c>
      <c r="M53" s="38" t="str">
        <f t="shared" si="25"/>
        <v>012D</v>
      </c>
      <c r="N53" s="69">
        <f t="shared" si="15"/>
        <v>301</v>
      </c>
      <c r="O53" s="96"/>
      <c r="P53" s="97"/>
      <c r="Q53" s="98"/>
      <c r="R53" s="135"/>
      <c r="U53" s="48" t="str">
        <f t="shared" si="26"/>
        <v/>
      </c>
      <c r="V53" s="16"/>
      <c r="W53" s="34"/>
      <c r="X53" s="35"/>
      <c r="Z53" s="74"/>
      <c r="AA53" s="130" t="str" cm="1">
        <f t="array" ref="AA53">HEX2ASCII(AB53)&amp;HEX2ASCII(AC53)&amp;HEX2ASCII(AD53)&amp;HEX2ASCII(AE53)&amp;HEX2ASCII(AF53)&amp;HEX2ASCII(AG53)&amp;HEX2ASCII(AH53)&amp;HEX2ASCII(AI53)</f>
        <v/>
      </c>
      <c r="AB53" s="147"/>
      <c r="AC53" s="148"/>
      <c r="AD53" s="148"/>
      <c r="AE53" s="148"/>
      <c r="AF53" s="148"/>
      <c r="AG53" s="148"/>
      <c r="AH53" s="148"/>
      <c r="AI53" s="149"/>
    </row>
    <row r="54" spans="11:35">
      <c r="K54" s="85"/>
      <c r="L54" s="54" t="str">
        <f t="shared" si="13"/>
        <v/>
      </c>
      <c r="M54" s="38" t="str">
        <f t="shared" si="25"/>
        <v>012E</v>
      </c>
      <c r="N54" s="69">
        <f t="shared" si="15"/>
        <v>302</v>
      </c>
      <c r="O54" s="96"/>
      <c r="P54" s="97"/>
      <c r="Q54" s="98"/>
      <c r="R54" s="135"/>
      <c r="U54" s="48" t="str">
        <f t="shared" si="26"/>
        <v/>
      </c>
      <c r="V54" s="16"/>
      <c r="W54" s="34"/>
      <c r="X54" s="35"/>
      <c r="Z54" s="74"/>
      <c r="AA54" s="130" t="str" cm="1">
        <f t="array" ref="AA54">HEX2ASCII(AB54)&amp;HEX2ASCII(AC54)&amp;HEX2ASCII(AD54)&amp;HEX2ASCII(AE54)&amp;HEX2ASCII(AF54)&amp;HEX2ASCII(AG54)&amp;HEX2ASCII(AH54)&amp;HEX2ASCII(AI54)</f>
        <v/>
      </c>
      <c r="AB54" s="147"/>
      <c r="AC54" s="148"/>
      <c r="AD54" s="148"/>
      <c r="AE54" s="148"/>
      <c r="AF54" s="148"/>
      <c r="AG54" s="148"/>
      <c r="AH54" s="148"/>
      <c r="AI54" s="149"/>
    </row>
    <row r="55" spans="11:35">
      <c r="K55" s="85"/>
      <c r="L55" s="54" t="str">
        <f t="shared" si="13"/>
        <v/>
      </c>
      <c r="M55" s="38" t="str">
        <f t="shared" si="25"/>
        <v>012F</v>
      </c>
      <c r="N55" s="69">
        <f t="shared" si="15"/>
        <v>303</v>
      </c>
      <c r="O55" s="96"/>
      <c r="P55" s="97"/>
      <c r="Q55" s="98"/>
      <c r="R55" s="135"/>
      <c r="U55" s="48" t="str">
        <f t="shared" si="26"/>
        <v/>
      </c>
      <c r="V55" s="16"/>
      <c r="W55" s="34"/>
      <c r="X55" s="35"/>
      <c r="Z55" s="74"/>
      <c r="AA55" s="130" t="str" cm="1">
        <f t="array" ref="AA55">HEX2ASCII(AB55)&amp;HEX2ASCII(AC55)&amp;HEX2ASCII(AD55)&amp;HEX2ASCII(AE55)&amp;HEX2ASCII(AF55)&amp;HEX2ASCII(AG55)&amp;HEX2ASCII(AH55)&amp;HEX2ASCII(AI55)</f>
        <v/>
      </c>
      <c r="AB55" s="147"/>
      <c r="AC55" s="148"/>
      <c r="AD55" s="148"/>
      <c r="AE55" s="148"/>
      <c r="AF55" s="148"/>
      <c r="AG55" s="148"/>
      <c r="AH55" s="148"/>
      <c r="AI55" s="149"/>
    </row>
    <row r="56" spans="11:35">
      <c r="K56" s="85"/>
      <c r="L56" s="54" t="str">
        <f t="shared" si="13"/>
        <v/>
      </c>
      <c r="M56" s="38" t="str">
        <f t="shared" si="25"/>
        <v>0130</v>
      </c>
      <c r="N56" s="69">
        <f t="shared" si="15"/>
        <v>304</v>
      </c>
      <c r="O56" s="96"/>
      <c r="P56" s="97"/>
      <c r="Q56" s="98"/>
      <c r="R56" s="135"/>
      <c r="U56" s="48" t="str">
        <f t="shared" si="26"/>
        <v/>
      </c>
      <c r="V56" s="16"/>
      <c r="W56" s="34"/>
      <c r="X56" s="35"/>
      <c r="Z56" s="74"/>
      <c r="AA56" s="130" t="str" cm="1">
        <f t="array" ref="AA56">HEX2ASCII(AB56)&amp;HEX2ASCII(AC56)&amp;HEX2ASCII(AD56)&amp;HEX2ASCII(AE56)&amp;HEX2ASCII(AF56)&amp;HEX2ASCII(AG56)&amp;HEX2ASCII(AH56)&amp;HEX2ASCII(AI56)</f>
        <v/>
      </c>
      <c r="AB56" s="147"/>
      <c r="AC56" s="148"/>
      <c r="AD56" s="148"/>
      <c r="AE56" s="148"/>
      <c r="AF56" s="148"/>
      <c r="AG56" s="148"/>
      <c r="AH56" s="148"/>
      <c r="AI56" s="149"/>
    </row>
    <row r="57" spans="11:35">
      <c r="K57" s="85"/>
      <c r="L57" s="54" t="str">
        <f t="shared" si="13"/>
        <v/>
      </c>
      <c r="M57" s="38" t="str">
        <f t="shared" si="25"/>
        <v>0131</v>
      </c>
      <c r="N57" s="69">
        <f t="shared" si="15"/>
        <v>305</v>
      </c>
      <c r="O57" s="96"/>
      <c r="P57" s="97"/>
      <c r="Q57" s="98"/>
      <c r="R57" s="135"/>
      <c r="U57" s="48" t="str">
        <f t="shared" si="26"/>
        <v/>
      </c>
      <c r="V57" s="16"/>
      <c r="W57" s="34"/>
      <c r="X57" s="35"/>
      <c r="Z57" s="74"/>
      <c r="AA57" s="130" t="str" cm="1">
        <f t="array" ref="AA57">HEX2ASCII(AB57)&amp;HEX2ASCII(AC57)&amp;HEX2ASCII(AD57)&amp;HEX2ASCII(AE57)&amp;HEX2ASCII(AF57)&amp;HEX2ASCII(AG57)&amp;HEX2ASCII(AH57)&amp;HEX2ASCII(AI57)</f>
        <v/>
      </c>
      <c r="AB57" s="147"/>
      <c r="AC57" s="148"/>
      <c r="AD57" s="148"/>
      <c r="AE57" s="148"/>
      <c r="AF57" s="148"/>
      <c r="AG57" s="148"/>
      <c r="AH57" s="148"/>
      <c r="AI57" s="149"/>
    </row>
    <row r="58" spans="11:35">
      <c r="K58" s="85"/>
      <c r="L58" s="54" t="str">
        <f t="shared" si="13"/>
        <v/>
      </c>
      <c r="M58" s="38" t="str">
        <f t="shared" si="25"/>
        <v>0132</v>
      </c>
      <c r="N58" s="69">
        <f t="shared" si="15"/>
        <v>306</v>
      </c>
      <c r="O58" s="96"/>
      <c r="P58" s="97"/>
      <c r="Q58" s="98"/>
      <c r="R58" s="135"/>
      <c r="U58" s="48" t="str">
        <f t="shared" si="26"/>
        <v/>
      </c>
      <c r="V58" s="16"/>
      <c r="W58" s="34"/>
      <c r="X58" s="35"/>
      <c r="Z58" s="74"/>
      <c r="AA58" s="130" t="str" cm="1">
        <f t="array" ref="AA58">HEX2ASCII(AB58)&amp;HEX2ASCII(AC58)&amp;HEX2ASCII(AD58)&amp;HEX2ASCII(AE58)&amp;HEX2ASCII(AF58)&amp;HEX2ASCII(AG58)&amp;HEX2ASCII(AH58)&amp;HEX2ASCII(AI58)</f>
        <v/>
      </c>
      <c r="AB58" s="147"/>
      <c r="AC58" s="148"/>
      <c r="AD58" s="148"/>
      <c r="AE58" s="148"/>
      <c r="AF58" s="148"/>
      <c r="AG58" s="148"/>
      <c r="AH58" s="148"/>
      <c r="AI58" s="149"/>
    </row>
    <row r="59" spans="11:35">
      <c r="K59" s="85"/>
      <c r="L59" s="54" t="str">
        <f t="shared" si="13"/>
        <v/>
      </c>
      <c r="M59" s="38" t="str">
        <f t="shared" si="25"/>
        <v>0133</v>
      </c>
      <c r="N59" s="69">
        <f t="shared" si="15"/>
        <v>307</v>
      </c>
      <c r="O59" s="96"/>
      <c r="P59" s="97"/>
      <c r="Q59" s="98"/>
      <c r="R59" s="135"/>
      <c r="U59" s="48" t="str">
        <f t="shared" si="26"/>
        <v/>
      </c>
      <c r="V59" s="16"/>
      <c r="W59" s="34"/>
      <c r="X59" s="35"/>
      <c r="Z59" s="74"/>
      <c r="AA59" s="130" t="str" cm="1">
        <f t="array" ref="AA59">HEX2ASCII(AB59)&amp;HEX2ASCII(AC59)&amp;HEX2ASCII(AD59)&amp;HEX2ASCII(AE59)&amp;HEX2ASCII(AF59)&amp;HEX2ASCII(AG59)&amp;HEX2ASCII(AH59)&amp;HEX2ASCII(AI59)</f>
        <v/>
      </c>
      <c r="AB59" s="147"/>
      <c r="AC59" s="148"/>
      <c r="AD59" s="148"/>
      <c r="AE59" s="148"/>
      <c r="AF59" s="148"/>
      <c r="AG59" s="148"/>
      <c r="AH59" s="148"/>
      <c r="AI59" s="149"/>
    </row>
    <row r="60" spans="11:35">
      <c r="K60" s="85"/>
      <c r="L60" s="54" t="str">
        <f t="shared" si="13"/>
        <v/>
      </c>
      <c r="M60" s="38" t="str">
        <f t="shared" si="25"/>
        <v>0134</v>
      </c>
      <c r="N60" s="69">
        <f t="shared" si="15"/>
        <v>308</v>
      </c>
      <c r="O60" s="96"/>
      <c r="P60" s="97"/>
      <c r="Q60" s="98"/>
      <c r="R60" s="135"/>
      <c r="U60" s="48" t="str">
        <f t="shared" si="26"/>
        <v/>
      </c>
      <c r="V60" s="16"/>
      <c r="W60" s="34"/>
      <c r="X60" s="35"/>
      <c r="Z60" s="74"/>
      <c r="AA60" s="130" t="str" cm="1">
        <f t="array" ref="AA60">HEX2ASCII(AB60)&amp;HEX2ASCII(AC60)&amp;HEX2ASCII(AD60)&amp;HEX2ASCII(AE60)&amp;HEX2ASCII(AF60)&amp;HEX2ASCII(AG60)&amp;HEX2ASCII(AH60)&amp;HEX2ASCII(AI60)</f>
        <v/>
      </c>
      <c r="AB60" s="147"/>
      <c r="AC60" s="148"/>
      <c r="AD60" s="148"/>
      <c r="AE60" s="148"/>
      <c r="AF60" s="148"/>
      <c r="AG60" s="148"/>
      <c r="AH60" s="148"/>
      <c r="AI60" s="149"/>
    </row>
    <row r="61" spans="11:35">
      <c r="K61" s="85"/>
      <c r="L61" s="54" t="str">
        <f t="shared" si="13"/>
        <v/>
      </c>
      <c r="M61" s="38" t="str">
        <f t="shared" si="25"/>
        <v>0135</v>
      </c>
      <c r="N61" s="69">
        <f t="shared" si="15"/>
        <v>309</v>
      </c>
      <c r="O61" s="96"/>
      <c r="P61" s="97"/>
      <c r="Q61" s="98"/>
      <c r="R61" s="135"/>
      <c r="U61" s="48" t="str">
        <f t="shared" si="26"/>
        <v/>
      </c>
      <c r="V61" s="16"/>
      <c r="W61" s="34"/>
      <c r="X61" s="35"/>
      <c r="Z61" s="74"/>
      <c r="AA61" s="130" t="str" cm="1">
        <f t="array" ref="AA61">HEX2ASCII(AB61)&amp;HEX2ASCII(AC61)&amp;HEX2ASCII(AD61)&amp;HEX2ASCII(AE61)&amp;HEX2ASCII(AF61)&amp;HEX2ASCII(AG61)&amp;HEX2ASCII(AH61)&amp;HEX2ASCII(AI61)</f>
        <v/>
      </c>
      <c r="AB61" s="147"/>
      <c r="AC61" s="148"/>
      <c r="AD61" s="148"/>
      <c r="AE61" s="148"/>
      <c r="AF61" s="148"/>
      <c r="AG61" s="148"/>
      <c r="AH61" s="148"/>
      <c r="AI61" s="149"/>
    </row>
    <row r="62" spans="11:35">
      <c r="K62" s="85"/>
      <c r="L62" s="54" t="str">
        <f t="shared" si="13"/>
        <v/>
      </c>
      <c r="M62" s="38" t="str">
        <f t="shared" si="25"/>
        <v>0136</v>
      </c>
      <c r="N62" s="69">
        <f t="shared" si="15"/>
        <v>310</v>
      </c>
      <c r="O62" s="96"/>
      <c r="P62" s="97"/>
      <c r="Q62" s="98"/>
      <c r="R62" s="135"/>
      <c r="U62" s="48" t="str">
        <f t="shared" si="26"/>
        <v/>
      </c>
      <c r="V62" s="16"/>
      <c r="W62" s="34"/>
      <c r="X62" s="35"/>
      <c r="Z62" s="74"/>
      <c r="AA62" s="130" t="str" cm="1">
        <f t="array" ref="AA62">HEX2ASCII(AB62)&amp;HEX2ASCII(AC62)&amp;HEX2ASCII(AD62)&amp;HEX2ASCII(AE62)&amp;HEX2ASCII(AF62)&amp;HEX2ASCII(AG62)&amp;HEX2ASCII(AH62)&amp;HEX2ASCII(AI62)</f>
        <v/>
      </c>
      <c r="AB62" s="147"/>
      <c r="AC62" s="148"/>
      <c r="AD62" s="148"/>
      <c r="AE62" s="148"/>
      <c r="AF62" s="148"/>
      <c r="AG62" s="148"/>
      <c r="AH62" s="148"/>
      <c r="AI62" s="149"/>
    </row>
    <row r="63" spans="11:35">
      <c r="K63" s="85"/>
      <c r="L63" s="54" t="str">
        <f t="shared" si="13"/>
        <v/>
      </c>
      <c r="M63" s="38" t="str">
        <f t="shared" si="25"/>
        <v>0137</v>
      </c>
      <c r="N63" s="69">
        <f t="shared" si="15"/>
        <v>311</v>
      </c>
      <c r="O63" s="96"/>
      <c r="P63" s="97"/>
      <c r="Q63" s="98"/>
      <c r="R63" s="135"/>
      <c r="U63" s="48" t="str">
        <f t="shared" si="26"/>
        <v/>
      </c>
      <c r="V63" s="16"/>
      <c r="W63" s="34"/>
      <c r="X63" s="35"/>
      <c r="Z63" s="74"/>
      <c r="AA63" s="130" t="str" cm="1">
        <f t="array" ref="AA63">HEX2ASCII(AB63)&amp;HEX2ASCII(AC63)&amp;HEX2ASCII(AD63)&amp;HEX2ASCII(AE63)&amp;HEX2ASCII(AF63)&amp;HEX2ASCII(AG63)&amp;HEX2ASCII(AH63)&amp;HEX2ASCII(AI63)</f>
        <v/>
      </c>
      <c r="AB63" s="147"/>
      <c r="AC63" s="148"/>
      <c r="AD63" s="148"/>
      <c r="AE63" s="148"/>
      <c r="AF63" s="148"/>
      <c r="AG63" s="148"/>
      <c r="AH63" s="148"/>
      <c r="AI63" s="149"/>
    </row>
    <row r="64" spans="11:35">
      <c r="K64" s="85"/>
      <c r="L64" s="54" t="str">
        <f t="shared" si="13"/>
        <v/>
      </c>
      <c r="M64" s="38" t="str">
        <f t="shared" si="25"/>
        <v>0138</v>
      </c>
      <c r="N64" s="69">
        <f t="shared" si="15"/>
        <v>312</v>
      </c>
      <c r="O64" s="96"/>
      <c r="P64" s="97"/>
      <c r="Q64" s="98"/>
      <c r="R64" s="135"/>
      <c r="U64" s="48" t="str">
        <f t="shared" si="26"/>
        <v/>
      </c>
      <c r="V64" s="16"/>
      <c r="W64" s="34"/>
      <c r="X64" s="35"/>
      <c r="Z64" s="74"/>
      <c r="AA64" s="130" t="str" cm="1">
        <f t="array" ref="AA64">HEX2ASCII(AB64)&amp;HEX2ASCII(AC64)&amp;HEX2ASCII(AD64)&amp;HEX2ASCII(AE64)&amp;HEX2ASCII(AF64)&amp;HEX2ASCII(AG64)&amp;HEX2ASCII(AH64)&amp;HEX2ASCII(AI64)</f>
        <v/>
      </c>
      <c r="AB64" s="147"/>
      <c r="AC64" s="148"/>
      <c r="AD64" s="148"/>
      <c r="AE64" s="148"/>
      <c r="AF64" s="148"/>
      <c r="AG64" s="148"/>
      <c r="AH64" s="148"/>
      <c r="AI64" s="149"/>
    </row>
    <row r="65" spans="11:35">
      <c r="K65" s="85"/>
      <c r="L65" s="54" t="str">
        <f t="shared" si="13"/>
        <v/>
      </c>
      <c r="M65" s="38" t="str">
        <f t="shared" si="25"/>
        <v>0139</v>
      </c>
      <c r="N65" s="69">
        <f t="shared" si="15"/>
        <v>313</v>
      </c>
      <c r="O65" s="96"/>
      <c r="P65" s="97"/>
      <c r="Q65" s="98"/>
      <c r="R65" s="135"/>
      <c r="U65" s="48" t="str">
        <f t="shared" si="26"/>
        <v/>
      </c>
      <c r="V65" s="16"/>
      <c r="W65" s="34"/>
      <c r="X65" s="35"/>
      <c r="Z65" s="74"/>
      <c r="AA65" s="130" t="str" cm="1">
        <f t="array" ref="AA65">HEX2ASCII(AB65)&amp;HEX2ASCII(AC65)&amp;HEX2ASCII(AD65)&amp;HEX2ASCII(AE65)&amp;HEX2ASCII(AF65)&amp;HEX2ASCII(AG65)&amp;HEX2ASCII(AH65)&amp;HEX2ASCII(AI65)</f>
        <v/>
      </c>
      <c r="AB65" s="147"/>
      <c r="AC65" s="148"/>
      <c r="AD65" s="148"/>
      <c r="AE65" s="148"/>
      <c r="AF65" s="148"/>
      <c r="AG65" s="148"/>
      <c r="AH65" s="148"/>
      <c r="AI65" s="149"/>
    </row>
    <row r="66" spans="11:35">
      <c r="K66" s="85"/>
      <c r="L66" s="54" t="str">
        <f t="shared" si="13"/>
        <v/>
      </c>
      <c r="M66" s="38" t="str">
        <f t="shared" si="25"/>
        <v>013A</v>
      </c>
      <c r="N66" s="69">
        <f t="shared" si="15"/>
        <v>314</v>
      </c>
      <c r="O66" s="96"/>
      <c r="P66" s="97"/>
      <c r="Q66" s="98"/>
      <c r="R66" s="135"/>
      <c r="U66" s="48" t="str">
        <f t="shared" si="26"/>
        <v/>
      </c>
      <c r="V66" s="16"/>
      <c r="W66" s="34"/>
      <c r="X66" s="35"/>
      <c r="Z66" s="74"/>
      <c r="AA66" s="130" t="str" cm="1">
        <f t="array" ref="AA66">HEX2ASCII(AB66)&amp;HEX2ASCII(AC66)&amp;HEX2ASCII(AD66)&amp;HEX2ASCII(AE66)&amp;HEX2ASCII(AF66)&amp;HEX2ASCII(AG66)&amp;HEX2ASCII(AH66)&amp;HEX2ASCII(AI66)</f>
        <v/>
      </c>
      <c r="AB66" s="147"/>
      <c r="AC66" s="148"/>
      <c r="AD66" s="148"/>
      <c r="AE66" s="148"/>
      <c r="AF66" s="148"/>
      <c r="AG66" s="148"/>
      <c r="AH66" s="148"/>
      <c r="AI66" s="149"/>
    </row>
    <row r="67" spans="11:35">
      <c r="K67" s="85"/>
      <c r="L67" s="54" t="str">
        <f t="shared" si="13"/>
        <v/>
      </c>
      <c r="M67" s="38" t="str">
        <f t="shared" si="25"/>
        <v>013B</v>
      </c>
      <c r="N67" s="69">
        <f t="shared" si="15"/>
        <v>315</v>
      </c>
      <c r="O67" s="96"/>
      <c r="P67" s="97"/>
      <c r="Q67" s="98"/>
      <c r="R67" s="135"/>
      <c r="U67" s="48" t="str">
        <f t="shared" si="26"/>
        <v/>
      </c>
      <c r="V67" s="16"/>
      <c r="W67" s="34"/>
      <c r="X67" s="35"/>
      <c r="Z67" s="74"/>
      <c r="AA67" s="130" t="str" cm="1">
        <f t="array" ref="AA67">HEX2ASCII(AB67)&amp;HEX2ASCII(AC67)&amp;HEX2ASCII(AD67)&amp;HEX2ASCII(AE67)&amp;HEX2ASCII(AF67)&amp;HEX2ASCII(AG67)&amp;HEX2ASCII(AH67)&amp;HEX2ASCII(AI67)</f>
        <v/>
      </c>
      <c r="AB67" s="147"/>
      <c r="AC67" s="148"/>
      <c r="AD67" s="148"/>
      <c r="AE67" s="148"/>
      <c r="AF67" s="148"/>
      <c r="AG67" s="148"/>
      <c r="AH67" s="148"/>
      <c r="AI67" s="149"/>
    </row>
    <row r="68" spans="11:35">
      <c r="K68" s="85"/>
      <c r="L68" s="54" t="str">
        <f t="shared" si="13"/>
        <v/>
      </c>
      <c r="M68" s="38" t="str">
        <f t="shared" si="25"/>
        <v>013C</v>
      </c>
      <c r="N68" s="69">
        <f t="shared" si="15"/>
        <v>316</v>
      </c>
      <c r="O68" s="96"/>
      <c r="P68" s="97"/>
      <c r="Q68" s="98"/>
      <c r="R68" s="135"/>
      <c r="U68" s="48" t="str">
        <f t="shared" si="26"/>
        <v/>
      </c>
      <c r="V68" s="16"/>
      <c r="W68" s="34"/>
      <c r="X68" s="35"/>
      <c r="Z68" s="74"/>
      <c r="AA68" s="130" t="str" cm="1">
        <f t="array" ref="AA68">HEX2ASCII(AB68)&amp;HEX2ASCII(AC68)&amp;HEX2ASCII(AD68)&amp;HEX2ASCII(AE68)&amp;HEX2ASCII(AF68)&amp;HEX2ASCII(AG68)&amp;HEX2ASCII(AH68)&amp;HEX2ASCII(AI68)</f>
        <v/>
      </c>
      <c r="AB68" s="147"/>
      <c r="AC68" s="148"/>
      <c r="AD68" s="148"/>
      <c r="AE68" s="148"/>
      <c r="AF68" s="148"/>
      <c r="AG68" s="148"/>
      <c r="AH68" s="148"/>
      <c r="AI68" s="149"/>
    </row>
    <row r="69" spans="11:35">
      <c r="K69" s="85"/>
      <c r="L69" s="54" t="str">
        <f t="shared" si="13"/>
        <v/>
      </c>
      <c r="M69" s="38" t="str">
        <f t="shared" si="25"/>
        <v>013D</v>
      </c>
      <c r="N69" s="69">
        <f t="shared" si="15"/>
        <v>317</v>
      </c>
      <c r="O69" s="96"/>
      <c r="P69" s="97"/>
      <c r="Q69" s="98"/>
      <c r="R69" s="135"/>
      <c r="U69" s="48" t="str">
        <f t="shared" si="26"/>
        <v/>
      </c>
      <c r="V69" s="16"/>
      <c r="W69" s="34"/>
      <c r="X69" s="35"/>
      <c r="Z69" s="74"/>
      <c r="AA69" s="130" t="str" cm="1">
        <f t="array" ref="AA69">HEX2ASCII(AB69)&amp;HEX2ASCII(AC69)&amp;HEX2ASCII(AD69)&amp;HEX2ASCII(AE69)&amp;HEX2ASCII(AF69)&amp;HEX2ASCII(AG69)&amp;HEX2ASCII(AH69)&amp;HEX2ASCII(AI69)</f>
        <v/>
      </c>
      <c r="AB69" s="147"/>
      <c r="AC69" s="148"/>
      <c r="AD69" s="148"/>
      <c r="AE69" s="148"/>
      <c r="AF69" s="148"/>
      <c r="AG69" s="148"/>
      <c r="AH69" s="148"/>
      <c r="AI69" s="149"/>
    </row>
    <row r="70" spans="11:35">
      <c r="K70" s="85"/>
      <c r="L70" s="54" t="str">
        <f t="shared" si="13"/>
        <v/>
      </c>
      <c r="M70" s="38" t="str">
        <f t="shared" si="25"/>
        <v>013E</v>
      </c>
      <c r="N70" s="69">
        <f t="shared" si="15"/>
        <v>318</v>
      </c>
      <c r="O70" s="96"/>
      <c r="P70" s="97"/>
      <c r="Q70" s="98"/>
      <c r="R70" s="135"/>
      <c r="U70" s="48" t="str">
        <f t="shared" si="26"/>
        <v/>
      </c>
      <c r="V70" s="16"/>
      <c r="W70" s="34"/>
      <c r="X70" s="35"/>
      <c r="Z70" s="74"/>
      <c r="AA70" s="130" t="str" cm="1">
        <f t="array" ref="AA70">HEX2ASCII(AB70)&amp;HEX2ASCII(AC70)&amp;HEX2ASCII(AD70)&amp;HEX2ASCII(AE70)&amp;HEX2ASCII(AF70)&amp;HEX2ASCII(AG70)&amp;HEX2ASCII(AH70)&amp;HEX2ASCII(AI70)</f>
        <v/>
      </c>
      <c r="AB70" s="147"/>
      <c r="AC70" s="148"/>
      <c r="AD70" s="148"/>
      <c r="AE70" s="148"/>
      <c r="AF70" s="148"/>
      <c r="AG70" s="148"/>
      <c r="AH70" s="148"/>
      <c r="AI70" s="149"/>
    </row>
    <row r="71" spans="11:35">
      <c r="K71" s="85"/>
      <c r="L71" s="54" t="str">
        <f t="shared" si="13"/>
        <v/>
      </c>
      <c r="M71" s="38" t="str">
        <f t="shared" si="25"/>
        <v>013F</v>
      </c>
      <c r="N71" s="69">
        <f t="shared" si="15"/>
        <v>319</v>
      </c>
      <c r="O71" s="96"/>
      <c r="P71" s="97"/>
      <c r="Q71" s="98"/>
      <c r="R71" s="135"/>
      <c r="U71" s="48" t="str">
        <f t="shared" si="26"/>
        <v/>
      </c>
      <c r="V71" s="16"/>
      <c r="W71" s="34"/>
      <c r="X71" s="35"/>
      <c r="Z71" s="74"/>
      <c r="AA71" s="130" t="str" cm="1">
        <f t="array" ref="AA71">HEX2ASCII(AB71)&amp;HEX2ASCII(AC71)&amp;HEX2ASCII(AD71)&amp;HEX2ASCII(AE71)&amp;HEX2ASCII(AF71)&amp;HEX2ASCII(AG71)&amp;HEX2ASCII(AH71)&amp;HEX2ASCII(AI71)</f>
        <v/>
      </c>
      <c r="AB71" s="147"/>
      <c r="AC71" s="148"/>
      <c r="AD71" s="148"/>
      <c r="AE71" s="148"/>
      <c r="AF71" s="148"/>
      <c r="AG71" s="148"/>
      <c r="AH71" s="148"/>
      <c r="AI71" s="149"/>
    </row>
    <row r="72" spans="11:35">
      <c r="K72" s="85"/>
      <c r="L72" s="54" t="str">
        <f t="shared" si="13"/>
        <v/>
      </c>
      <c r="M72" s="38" t="str">
        <f t="shared" si="25"/>
        <v>0140</v>
      </c>
      <c r="N72" s="69">
        <f t="shared" si="15"/>
        <v>320</v>
      </c>
      <c r="O72" s="96"/>
      <c r="P72" s="97"/>
      <c r="Q72" s="98"/>
      <c r="R72" s="135"/>
      <c r="U72" s="48" t="str">
        <f t="shared" si="26"/>
        <v/>
      </c>
      <c r="V72" s="16"/>
      <c r="W72" s="34"/>
      <c r="X72" s="35"/>
      <c r="Z72" s="74"/>
      <c r="AA72" s="130" t="str" cm="1">
        <f t="array" ref="AA72">HEX2ASCII(AB72)&amp;HEX2ASCII(AC72)&amp;HEX2ASCII(AD72)&amp;HEX2ASCII(AE72)&amp;HEX2ASCII(AF72)&amp;HEX2ASCII(AG72)&amp;HEX2ASCII(AH72)&amp;HEX2ASCII(AI72)</f>
        <v/>
      </c>
      <c r="AB72" s="147"/>
      <c r="AC72" s="148"/>
      <c r="AD72" s="148"/>
      <c r="AE72" s="148"/>
      <c r="AF72" s="148"/>
      <c r="AG72" s="148"/>
      <c r="AH72" s="148"/>
      <c r="AI72" s="149"/>
    </row>
    <row r="73" spans="11:35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0141</v>
      </c>
      <c r="N73" s="69">
        <f t="shared" si="15"/>
        <v>321</v>
      </c>
      <c r="O73" s="96"/>
      <c r="P73" s="97"/>
      <c r="Q73" s="98"/>
      <c r="R73" s="135"/>
      <c r="U73" s="48" t="str">
        <f t="shared" ref="U73:U136" si="28">IF(V73&gt;0,RIGHT("0000"&amp;DEC2HEX(V73),4),"")</f>
        <v/>
      </c>
      <c r="V73" s="16"/>
      <c r="W73" s="34"/>
      <c r="X73" s="35"/>
      <c r="Z73" s="74"/>
      <c r="AA73" s="130" t="str" cm="1">
        <f t="array" ref="AA73">HEX2ASCII(AB73)&amp;HEX2ASCII(AC73)&amp;HEX2ASCII(AD73)&amp;HEX2ASCII(AE73)&amp;HEX2ASCII(AF73)&amp;HEX2ASCII(AG73)&amp;HEX2ASCII(AH73)&amp;HEX2ASCII(AI73)</f>
        <v/>
      </c>
      <c r="AB73" s="147"/>
      <c r="AC73" s="148"/>
      <c r="AD73" s="148"/>
      <c r="AE73" s="148"/>
      <c r="AF73" s="148"/>
      <c r="AG73" s="148"/>
      <c r="AH73" s="148"/>
      <c r="AI73" s="149"/>
    </row>
    <row r="74" spans="11:35">
      <c r="K74" s="85"/>
      <c r="L74" s="54" t="str">
        <f t="shared" si="27"/>
        <v/>
      </c>
      <c r="M74" s="38" t="str">
        <f t="shared" si="25"/>
        <v>0142</v>
      </c>
      <c r="N74" s="69">
        <f t="shared" ref="N74:N137" si="29">N73+0*COUNTA(P73:R73)+1</f>
        <v>322</v>
      </c>
      <c r="O74" s="96"/>
      <c r="P74" s="97"/>
      <c r="Q74" s="98"/>
      <c r="R74" s="135"/>
      <c r="U74" s="48" t="str">
        <f t="shared" si="28"/>
        <v/>
      </c>
      <c r="V74" s="16"/>
      <c r="W74" s="34"/>
      <c r="X74" s="35"/>
      <c r="Z74" s="74"/>
      <c r="AA74" s="130" t="str" cm="1">
        <f t="array" ref="AA74">HEX2ASCII(AB74)&amp;HEX2ASCII(AC74)&amp;HEX2ASCII(AD74)&amp;HEX2ASCII(AE74)&amp;HEX2ASCII(AF74)&amp;HEX2ASCII(AG74)&amp;HEX2ASCII(AH74)&amp;HEX2ASCII(AI74)</f>
        <v/>
      </c>
      <c r="AB74" s="147"/>
      <c r="AC74" s="148"/>
      <c r="AD74" s="148"/>
      <c r="AE74" s="148"/>
      <c r="AF74" s="148"/>
      <c r="AG74" s="148"/>
      <c r="AH74" s="148"/>
      <c r="AI74" s="149"/>
    </row>
    <row r="75" spans="11:35">
      <c r="K75" s="85"/>
      <c r="L75" s="54" t="str">
        <f t="shared" si="27"/>
        <v/>
      </c>
      <c r="M75" s="38" t="str">
        <f t="shared" si="25"/>
        <v>0143</v>
      </c>
      <c r="N75" s="69">
        <f t="shared" si="29"/>
        <v>323</v>
      </c>
      <c r="O75" s="96"/>
      <c r="P75" s="97"/>
      <c r="Q75" s="98"/>
      <c r="R75" s="135"/>
      <c r="U75" s="48" t="str">
        <f t="shared" si="28"/>
        <v/>
      </c>
      <c r="V75" s="16"/>
      <c r="W75" s="34"/>
      <c r="X75" s="35"/>
      <c r="Z75" s="74"/>
      <c r="AA75" s="130" t="str" cm="1">
        <f t="array" ref="AA75">HEX2ASCII(AB75)&amp;HEX2ASCII(AC75)&amp;HEX2ASCII(AD75)&amp;HEX2ASCII(AE75)&amp;HEX2ASCII(AF75)&amp;HEX2ASCII(AG75)&amp;HEX2ASCII(AH75)&amp;HEX2ASCII(AI75)</f>
        <v/>
      </c>
      <c r="AB75" s="147"/>
      <c r="AC75" s="148"/>
      <c r="AD75" s="148"/>
      <c r="AE75" s="148"/>
      <c r="AF75" s="148"/>
      <c r="AG75" s="148"/>
      <c r="AH75" s="148"/>
      <c r="AI75" s="149"/>
    </row>
    <row r="76" spans="11:35">
      <c r="K76" s="85"/>
      <c r="L76" s="54" t="str">
        <f t="shared" si="27"/>
        <v/>
      </c>
      <c r="M76" s="38" t="str">
        <f t="shared" si="25"/>
        <v>0144</v>
      </c>
      <c r="N76" s="69">
        <f t="shared" si="29"/>
        <v>324</v>
      </c>
      <c r="O76" s="96"/>
      <c r="P76" s="97"/>
      <c r="Q76" s="98"/>
      <c r="R76" s="135"/>
      <c r="U76" s="48" t="str">
        <f t="shared" si="28"/>
        <v/>
      </c>
      <c r="V76" s="16"/>
      <c r="W76" s="34"/>
      <c r="X76" s="35"/>
      <c r="Z76" s="74"/>
      <c r="AA76" s="130" t="str" cm="1">
        <f t="array" ref="AA76">HEX2ASCII(AB76)&amp;HEX2ASCII(AC76)&amp;HEX2ASCII(AD76)&amp;HEX2ASCII(AE76)&amp;HEX2ASCII(AF76)&amp;HEX2ASCII(AG76)&amp;HEX2ASCII(AH76)&amp;HEX2ASCII(AI76)</f>
        <v/>
      </c>
      <c r="AB76" s="147"/>
      <c r="AC76" s="148"/>
      <c r="AD76" s="148"/>
      <c r="AE76" s="148"/>
      <c r="AF76" s="148"/>
      <c r="AG76" s="148"/>
      <c r="AH76" s="148"/>
      <c r="AI76" s="149"/>
    </row>
    <row r="77" spans="11:35">
      <c r="K77" s="85"/>
      <c r="L77" s="54" t="str">
        <f t="shared" si="27"/>
        <v/>
      </c>
      <c r="M77" s="38" t="str">
        <f t="shared" si="25"/>
        <v>0145</v>
      </c>
      <c r="N77" s="69">
        <f t="shared" si="29"/>
        <v>325</v>
      </c>
      <c r="O77" s="96"/>
      <c r="P77" s="97"/>
      <c r="Q77" s="98"/>
      <c r="R77" s="135"/>
      <c r="U77" s="48" t="str">
        <f t="shared" si="28"/>
        <v/>
      </c>
      <c r="V77" s="16"/>
      <c r="W77" s="34"/>
      <c r="X77" s="35"/>
      <c r="Z77" s="74"/>
      <c r="AA77" s="130" t="str" cm="1">
        <f t="array" ref="AA77">HEX2ASCII(AB77)&amp;HEX2ASCII(AC77)&amp;HEX2ASCII(AD77)&amp;HEX2ASCII(AE77)&amp;HEX2ASCII(AF77)&amp;HEX2ASCII(AG77)&amp;HEX2ASCII(AH77)&amp;HEX2ASCII(AI77)</f>
        <v/>
      </c>
      <c r="AB77" s="147"/>
      <c r="AC77" s="148"/>
      <c r="AD77" s="148"/>
      <c r="AE77" s="148"/>
      <c r="AF77" s="148"/>
      <c r="AG77" s="148"/>
      <c r="AH77" s="148"/>
      <c r="AI77" s="149"/>
    </row>
    <row r="78" spans="11:35">
      <c r="K78" s="85"/>
      <c r="L78" s="54" t="str">
        <f t="shared" si="27"/>
        <v/>
      </c>
      <c r="M78" s="38" t="str">
        <f t="shared" si="25"/>
        <v>0146</v>
      </c>
      <c r="N78" s="69">
        <f t="shared" si="29"/>
        <v>326</v>
      </c>
      <c r="O78" s="96"/>
      <c r="P78" s="97"/>
      <c r="Q78" s="98"/>
      <c r="R78" s="135"/>
      <c r="U78" s="48" t="str">
        <f t="shared" si="28"/>
        <v/>
      </c>
      <c r="V78" s="16"/>
      <c r="W78" s="34"/>
      <c r="X78" s="35"/>
      <c r="Z78" s="74"/>
      <c r="AA78" s="130" t="str" cm="1">
        <f t="array" ref="AA78">HEX2ASCII(AB78)&amp;HEX2ASCII(AC78)&amp;HEX2ASCII(AD78)&amp;HEX2ASCII(AE78)&amp;HEX2ASCII(AF78)&amp;HEX2ASCII(AG78)&amp;HEX2ASCII(AH78)&amp;HEX2ASCII(AI78)</f>
        <v/>
      </c>
      <c r="AB78" s="147"/>
      <c r="AC78" s="148"/>
      <c r="AD78" s="148"/>
      <c r="AE78" s="148"/>
      <c r="AF78" s="148"/>
      <c r="AG78" s="148"/>
      <c r="AH78" s="148"/>
      <c r="AI78" s="149"/>
    </row>
    <row r="79" spans="11:35">
      <c r="K79" s="85"/>
      <c r="L79" s="54" t="str">
        <f t="shared" si="27"/>
        <v/>
      </c>
      <c r="M79" s="38" t="str">
        <f t="shared" si="25"/>
        <v>0147</v>
      </c>
      <c r="N79" s="69">
        <f t="shared" si="29"/>
        <v>327</v>
      </c>
      <c r="O79" s="96"/>
      <c r="P79" s="97"/>
      <c r="Q79" s="98"/>
      <c r="R79" s="135"/>
      <c r="U79" s="48" t="str">
        <f t="shared" si="28"/>
        <v/>
      </c>
      <c r="V79" s="16"/>
      <c r="W79" s="34"/>
      <c r="X79" s="35"/>
      <c r="Z79" s="74"/>
      <c r="AA79" s="130" t="str" cm="1">
        <f t="array" ref="AA79">HEX2ASCII(AB79)&amp;HEX2ASCII(AC79)&amp;HEX2ASCII(AD79)&amp;HEX2ASCII(AE79)&amp;HEX2ASCII(AF79)&amp;HEX2ASCII(AG79)&amp;HEX2ASCII(AH79)&amp;HEX2ASCII(AI79)</f>
        <v/>
      </c>
      <c r="AB79" s="147"/>
      <c r="AC79" s="148"/>
      <c r="AD79" s="148"/>
      <c r="AE79" s="148"/>
      <c r="AF79" s="148"/>
      <c r="AG79" s="148"/>
      <c r="AH79" s="148"/>
      <c r="AI79" s="149"/>
    </row>
    <row r="80" spans="11:35">
      <c r="K80" s="85"/>
      <c r="L80" s="54" t="str">
        <f t="shared" si="27"/>
        <v/>
      </c>
      <c r="M80" s="38" t="str">
        <f t="shared" si="25"/>
        <v>0148</v>
      </c>
      <c r="N80" s="69">
        <f t="shared" si="29"/>
        <v>328</v>
      </c>
      <c r="O80" s="96"/>
      <c r="P80" s="97"/>
      <c r="Q80" s="98"/>
      <c r="R80" s="135"/>
      <c r="U80" s="48" t="str">
        <f t="shared" si="28"/>
        <v/>
      </c>
      <c r="V80" s="16"/>
      <c r="W80" s="34"/>
      <c r="X80" s="35"/>
      <c r="Z80" s="74"/>
      <c r="AA80" s="130" t="str" cm="1">
        <f t="array" ref="AA80">HEX2ASCII(AB80)&amp;HEX2ASCII(AC80)&amp;HEX2ASCII(AD80)&amp;HEX2ASCII(AE80)&amp;HEX2ASCII(AF80)&amp;HEX2ASCII(AG80)&amp;HEX2ASCII(AH80)&amp;HEX2ASCII(AI80)</f>
        <v/>
      </c>
      <c r="AB80" s="147"/>
      <c r="AC80" s="148"/>
      <c r="AD80" s="148"/>
      <c r="AE80" s="148"/>
      <c r="AF80" s="148"/>
      <c r="AG80" s="148"/>
      <c r="AH80" s="148"/>
      <c r="AI80" s="149"/>
    </row>
    <row r="81" spans="11:35">
      <c r="K81" s="85"/>
      <c r="L81" s="54" t="str">
        <f t="shared" si="27"/>
        <v/>
      </c>
      <c r="M81" s="38" t="str">
        <f t="shared" si="25"/>
        <v>0149</v>
      </c>
      <c r="N81" s="69">
        <f t="shared" si="29"/>
        <v>329</v>
      </c>
      <c r="O81" s="96"/>
      <c r="P81" s="97"/>
      <c r="Q81" s="98"/>
      <c r="R81" s="135"/>
      <c r="U81" s="48" t="str">
        <f t="shared" si="28"/>
        <v/>
      </c>
      <c r="V81" s="16"/>
      <c r="W81" s="34"/>
      <c r="X81" s="35"/>
      <c r="Z81" s="74"/>
      <c r="AA81" s="130" t="str" cm="1">
        <f t="array" ref="AA81">HEX2ASCII(AB81)&amp;HEX2ASCII(AC81)&amp;HEX2ASCII(AD81)&amp;HEX2ASCII(AE81)&amp;HEX2ASCII(AF81)&amp;HEX2ASCII(AG81)&amp;HEX2ASCII(AH81)&amp;HEX2ASCII(AI81)</f>
        <v/>
      </c>
      <c r="AB81" s="147"/>
      <c r="AC81" s="148"/>
      <c r="AD81" s="148"/>
      <c r="AE81" s="148"/>
      <c r="AF81" s="148"/>
      <c r="AG81" s="148"/>
      <c r="AH81" s="148"/>
      <c r="AI81" s="149"/>
    </row>
    <row r="82" spans="11:35">
      <c r="K82" s="85"/>
      <c r="L82" s="54" t="str">
        <f t="shared" si="27"/>
        <v/>
      </c>
      <c r="M82" s="38" t="str">
        <f t="shared" si="25"/>
        <v>014A</v>
      </c>
      <c r="N82" s="69">
        <f t="shared" si="29"/>
        <v>330</v>
      </c>
      <c r="O82" s="96"/>
      <c r="P82" s="97"/>
      <c r="Q82" s="98"/>
      <c r="R82" s="135"/>
      <c r="U82" s="48" t="str">
        <f t="shared" si="28"/>
        <v/>
      </c>
      <c r="V82" s="16"/>
      <c r="W82" s="34"/>
      <c r="X82" s="35"/>
      <c r="Z82" s="74"/>
      <c r="AA82" s="130" t="str" cm="1">
        <f t="array" ref="AA82">HEX2ASCII(AB82)&amp;HEX2ASCII(AC82)&amp;HEX2ASCII(AD82)&amp;HEX2ASCII(AE82)&amp;HEX2ASCII(AF82)&amp;HEX2ASCII(AG82)&amp;HEX2ASCII(AH82)&amp;HEX2ASCII(AI82)</f>
        <v/>
      </c>
      <c r="AB82" s="147"/>
      <c r="AC82" s="148"/>
      <c r="AD82" s="148"/>
      <c r="AE82" s="148"/>
      <c r="AF82" s="148"/>
      <c r="AG82" s="148"/>
      <c r="AH82" s="148"/>
      <c r="AI82" s="149"/>
    </row>
    <row r="83" spans="11:35">
      <c r="K83" s="85"/>
      <c r="L83" s="54" t="str">
        <f t="shared" si="27"/>
        <v/>
      </c>
      <c r="M83" s="38" t="str">
        <f t="shared" si="25"/>
        <v>014B</v>
      </c>
      <c r="N83" s="69">
        <f t="shared" si="29"/>
        <v>331</v>
      </c>
      <c r="O83" s="96"/>
      <c r="P83" s="97"/>
      <c r="Q83" s="98"/>
      <c r="R83" s="135"/>
      <c r="U83" s="48" t="str">
        <f t="shared" si="28"/>
        <v/>
      </c>
      <c r="V83" s="16"/>
      <c r="W83" s="34"/>
      <c r="X83" s="35"/>
      <c r="Z83" s="74"/>
      <c r="AA83" s="130" t="str" cm="1">
        <f t="array" ref="AA83">HEX2ASCII(AB83)&amp;HEX2ASCII(AC83)&amp;HEX2ASCII(AD83)&amp;HEX2ASCII(AE83)&amp;HEX2ASCII(AF83)&amp;HEX2ASCII(AG83)&amp;HEX2ASCII(AH83)&amp;HEX2ASCII(AI83)</f>
        <v/>
      </c>
      <c r="AB83" s="147"/>
      <c r="AC83" s="148"/>
      <c r="AD83" s="148"/>
      <c r="AE83" s="148"/>
      <c r="AF83" s="148"/>
      <c r="AG83" s="148"/>
      <c r="AH83" s="148"/>
      <c r="AI83" s="149"/>
    </row>
    <row r="84" spans="11:35">
      <c r="K84" s="85"/>
      <c r="L84" s="54" t="str">
        <f t="shared" si="27"/>
        <v/>
      </c>
      <c r="M84" s="38" t="str">
        <f t="shared" si="25"/>
        <v>014C</v>
      </c>
      <c r="N84" s="69">
        <f t="shared" si="29"/>
        <v>332</v>
      </c>
      <c r="O84" s="96"/>
      <c r="P84" s="97"/>
      <c r="Q84" s="98"/>
      <c r="R84" s="135"/>
      <c r="U84" s="48" t="str">
        <f t="shared" si="28"/>
        <v/>
      </c>
      <c r="V84" s="16"/>
      <c r="W84" s="34"/>
      <c r="X84" s="35"/>
      <c r="Z84" s="74"/>
      <c r="AA84" s="130" t="str" cm="1">
        <f t="array" ref="AA84">HEX2ASCII(AB84)&amp;HEX2ASCII(AC84)&amp;HEX2ASCII(AD84)&amp;HEX2ASCII(AE84)&amp;HEX2ASCII(AF84)&amp;HEX2ASCII(AG84)&amp;HEX2ASCII(AH84)&amp;HEX2ASCII(AI84)</f>
        <v/>
      </c>
      <c r="AB84" s="147"/>
      <c r="AC84" s="148"/>
      <c r="AD84" s="148"/>
      <c r="AE84" s="148"/>
      <c r="AF84" s="148"/>
      <c r="AG84" s="148"/>
      <c r="AH84" s="148"/>
      <c r="AI84" s="149"/>
    </row>
    <row r="85" spans="11:35">
      <c r="K85" s="85"/>
      <c r="L85" s="54" t="str">
        <f t="shared" si="27"/>
        <v/>
      </c>
      <c r="M85" s="38" t="str">
        <f t="shared" si="25"/>
        <v>014D</v>
      </c>
      <c r="N85" s="69">
        <f t="shared" si="29"/>
        <v>333</v>
      </c>
      <c r="O85" s="96"/>
      <c r="P85" s="97"/>
      <c r="Q85" s="98"/>
      <c r="R85" s="135"/>
      <c r="U85" s="48" t="str">
        <f t="shared" si="28"/>
        <v/>
      </c>
      <c r="V85" s="16"/>
      <c r="W85" s="34"/>
      <c r="X85" s="35"/>
      <c r="Z85" s="74"/>
      <c r="AA85" s="130" t="str" cm="1">
        <f t="array" ref="AA85">HEX2ASCII(AB85)&amp;HEX2ASCII(AC85)&amp;HEX2ASCII(AD85)&amp;HEX2ASCII(AE85)&amp;HEX2ASCII(AF85)&amp;HEX2ASCII(AG85)&amp;HEX2ASCII(AH85)&amp;HEX2ASCII(AI85)</f>
        <v/>
      </c>
      <c r="AB85" s="147"/>
      <c r="AC85" s="148"/>
      <c r="AD85" s="148"/>
      <c r="AE85" s="148"/>
      <c r="AF85" s="148"/>
      <c r="AG85" s="148"/>
      <c r="AH85" s="148"/>
      <c r="AI85" s="149"/>
    </row>
    <row r="86" spans="11:35">
      <c r="K86" s="85"/>
      <c r="L86" s="54" t="str">
        <f t="shared" si="27"/>
        <v/>
      </c>
      <c r="M86" s="38" t="str">
        <f t="shared" si="25"/>
        <v>014E</v>
      </c>
      <c r="N86" s="69">
        <f t="shared" si="29"/>
        <v>334</v>
      </c>
      <c r="O86" s="96"/>
      <c r="P86" s="97"/>
      <c r="Q86" s="98"/>
      <c r="R86" s="135"/>
      <c r="U86" s="48" t="str">
        <f t="shared" si="28"/>
        <v/>
      </c>
      <c r="V86" s="16"/>
      <c r="W86" s="34"/>
      <c r="X86" s="35"/>
      <c r="Z86" s="74"/>
      <c r="AA86" s="130" t="str" cm="1">
        <f t="array" ref="AA86">HEX2ASCII(AB86)&amp;HEX2ASCII(AC86)&amp;HEX2ASCII(AD86)&amp;HEX2ASCII(AE86)&amp;HEX2ASCII(AF86)&amp;HEX2ASCII(AG86)&amp;HEX2ASCII(AH86)&amp;HEX2ASCII(AI86)</f>
        <v/>
      </c>
      <c r="AB86" s="147"/>
      <c r="AC86" s="148"/>
      <c r="AD86" s="148"/>
      <c r="AE86" s="148"/>
      <c r="AF86" s="148"/>
      <c r="AG86" s="148"/>
      <c r="AH86" s="148"/>
      <c r="AI86" s="149"/>
    </row>
    <row r="87" spans="11:35">
      <c r="K87" s="85"/>
      <c r="L87" s="54" t="str">
        <f t="shared" si="27"/>
        <v/>
      </c>
      <c r="M87" s="38" t="str">
        <f t="shared" si="25"/>
        <v>014F</v>
      </c>
      <c r="N87" s="69">
        <f t="shared" si="29"/>
        <v>335</v>
      </c>
      <c r="O87" s="96"/>
      <c r="P87" s="97"/>
      <c r="Q87" s="98"/>
      <c r="R87" s="135"/>
      <c r="U87" s="48" t="str">
        <f t="shared" si="28"/>
        <v/>
      </c>
      <c r="V87" s="16"/>
      <c r="W87" s="34"/>
      <c r="X87" s="35"/>
      <c r="Z87" s="74"/>
      <c r="AA87" s="130" t="str" cm="1">
        <f t="array" ref="AA87">HEX2ASCII(AB87)&amp;HEX2ASCII(AC87)&amp;HEX2ASCII(AD87)&amp;HEX2ASCII(AE87)&amp;HEX2ASCII(AF87)&amp;HEX2ASCII(AG87)&amp;HEX2ASCII(AH87)&amp;HEX2ASCII(AI87)</f>
        <v/>
      </c>
      <c r="AB87" s="147"/>
      <c r="AC87" s="148"/>
      <c r="AD87" s="148"/>
      <c r="AE87" s="148"/>
      <c r="AF87" s="148"/>
      <c r="AG87" s="148"/>
      <c r="AH87" s="148"/>
      <c r="AI87" s="149"/>
    </row>
    <row r="88" spans="11:35">
      <c r="K88" s="85"/>
      <c r="L88" s="54" t="str">
        <f t="shared" si="27"/>
        <v/>
      </c>
      <c r="M88" s="38" t="str">
        <f t="shared" si="25"/>
        <v>0150</v>
      </c>
      <c r="N88" s="69">
        <f t="shared" si="29"/>
        <v>336</v>
      </c>
      <c r="O88" s="96"/>
      <c r="P88" s="97"/>
      <c r="Q88" s="98"/>
      <c r="R88" s="135"/>
      <c r="U88" s="48" t="str">
        <f t="shared" si="28"/>
        <v/>
      </c>
      <c r="V88" s="16"/>
      <c r="W88" s="34"/>
      <c r="X88" s="35"/>
      <c r="Z88" s="74"/>
      <c r="AA88" s="130" t="str" cm="1">
        <f t="array" ref="AA88">HEX2ASCII(AB88)&amp;HEX2ASCII(AC88)&amp;HEX2ASCII(AD88)&amp;HEX2ASCII(AE88)&amp;HEX2ASCII(AF88)&amp;HEX2ASCII(AG88)&amp;HEX2ASCII(AH88)&amp;HEX2ASCII(AI88)</f>
        <v/>
      </c>
      <c r="AB88" s="147"/>
      <c r="AC88" s="148"/>
      <c r="AD88" s="148"/>
      <c r="AE88" s="148"/>
      <c r="AF88" s="148"/>
      <c r="AG88" s="148"/>
      <c r="AH88" s="148"/>
      <c r="AI88" s="149"/>
    </row>
    <row r="89" spans="11:35">
      <c r="K89" s="85"/>
      <c r="L89" s="54" t="str">
        <f t="shared" si="27"/>
        <v/>
      </c>
      <c r="M89" s="38" t="str">
        <f t="shared" si="25"/>
        <v>0151</v>
      </c>
      <c r="N89" s="69">
        <f t="shared" si="29"/>
        <v>337</v>
      </c>
      <c r="O89" s="96"/>
      <c r="P89" s="97"/>
      <c r="Q89" s="98"/>
      <c r="R89" s="135"/>
      <c r="U89" s="48" t="str">
        <f t="shared" si="28"/>
        <v/>
      </c>
      <c r="V89" s="16"/>
      <c r="W89" s="34"/>
      <c r="X89" s="35"/>
      <c r="Z89" s="74"/>
      <c r="AA89" s="130" t="str" cm="1">
        <f t="array" ref="AA89">HEX2ASCII(AB89)&amp;HEX2ASCII(AC89)&amp;HEX2ASCII(AD89)&amp;HEX2ASCII(AE89)&amp;HEX2ASCII(AF89)&amp;HEX2ASCII(AG89)&amp;HEX2ASCII(AH89)&amp;HEX2ASCII(AI89)</f>
        <v/>
      </c>
      <c r="AB89" s="147"/>
      <c r="AC89" s="148"/>
      <c r="AD89" s="148"/>
      <c r="AE89" s="148"/>
      <c r="AF89" s="148"/>
      <c r="AG89" s="148"/>
      <c r="AH89" s="148"/>
      <c r="AI89" s="149"/>
    </row>
    <row r="90" spans="11:35">
      <c r="K90" s="85"/>
      <c r="L90" s="54" t="str">
        <f t="shared" si="27"/>
        <v/>
      </c>
      <c r="M90" s="38" t="str">
        <f t="shared" si="25"/>
        <v>0152</v>
      </c>
      <c r="N90" s="69">
        <f t="shared" si="29"/>
        <v>338</v>
      </c>
      <c r="O90" s="96"/>
      <c r="P90" s="97"/>
      <c r="Q90" s="98"/>
      <c r="R90" s="135"/>
      <c r="U90" s="48" t="str">
        <f t="shared" si="28"/>
        <v/>
      </c>
      <c r="V90" s="16"/>
      <c r="W90" s="34"/>
      <c r="X90" s="35"/>
      <c r="Z90" s="74"/>
      <c r="AA90" s="130" t="str" cm="1">
        <f t="array" ref="AA90">HEX2ASCII(AB90)&amp;HEX2ASCII(AC90)&amp;HEX2ASCII(AD90)&amp;HEX2ASCII(AE90)&amp;HEX2ASCII(AF90)&amp;HEX2ASCII(AG90)&amp;HEX2ASCII(AH90)&amp;HEX2ASCII(AI90)</f>
        <v/>
      </c>
      <c r="AB90" s="147"/>
      <c r="AC90" s="148"/>
      <c r="AD90" s="148"/>
      <c r="AE90" s="148"/>
      <c r="AF90" s="148"/>
      <c r="AG90" s="148"/>
      <c r="AH90" s="148"/>
      <c r="AI90" s="149"/>
    </row>
    <row r="91" spans="11:35">
      <c r="K91" s="85"/>
      <c r="L91" s="54" t="str">
        <f t="shared" si="27"/>
        <v/>
      </c>
      <c r="M91" s="38" t="str">
        <f t="shared" si="25"/>
        <v>0153</v>
      </c>
      <c r="N91" s="69">
        <f t="shared" si="29"/>
        <v>339</v>
      </c>
      <c r="O91" s="96"/>
      <c r="P91" s="97"/>
      <c r="Q91" s="98"/>
      <c r="R91" s="135"/>
      <c r="U91" s="48" t="str">
        <f t="shared" si="28"/>
        <v/>
      </c>
      <c r="V91" s="16"/>
      <c r="W91" s="34"/>
      <c r="X91" s="35"/>
      <c r="Z91" s="74"/>
      <c r="AA91" s="130" t="str" cm="1">
        <f t="array" ref="AA91">HEX2ASCII(AB91)&amp;HEX2ASCII(AC91)&amp;HEX2ASCII(AD91)&amp;HEX2ASCII(AE91)&amp;HEX2ASCII(AF91)&amp;HEX2ASCII(AG91)&amp;HEX2ASCII(AH91)&amp;HEX2ASCII(AI91)</f>
        <v/>
      </c>
      <c r="AB91" s="147"/>
      <c r="AC91" s="148"/>
      <c r="AD91" s="148"/>
      <c r="AE91" s="148"/>
      <c r="AF91" s="148"/>
      <c r="AG91" s="148"/>
      <c r="AH91" s="148"/>
      <c r="AI91" s="149"/>
    </row>
    <row r="92" spans="11:35">
      <c r="K92" s="85"/>
      <c r="L92" s="54" t="str">
        <f t="shared" si="27"/>
        <v/>
      </c>
      <c r="M92" s="38" t="str">
        <f t="shared" si="25"/>
        <v>0154</v>
      </c>
      <c r="N92" s="69">
        <f t="shared" si="29"/>
        <v>340</v>
      </c>
      <c r="O92" s="96"/>
      <c r="P92" s="97"/>
      <c r="Q92" s="98"/>
      <c r="R92" s="135"/>
      <c r="U92" s="48" t="str">
        <f t="shared" si="28"/>
        <v/>
      </c>
      <c r="V92" s="16"/>
      <c r="W92" s="34"/>
      <c r="X92" s="35"/>
      <c r="Z92" s="74"/>
      <c r="AA92" s="130" t="str" cm="1">
        <f t="array" ref="AA92">HEX2ASCII(AB92)&amp;HEX2ASCII(AC92)&amp;HEX2ASCII(AD92)&amp;HEX2ASCII(AE92)&amp;HEX2ASCII(AF92)&amp;HEX2ASCII(AG92)&amp;HEX2ASCII(AH92)&amp;HEX2ASCII(AI92)</f>
        <v/>
      </c>
      <c r="AB92" s="147"/>
      <c r="AC92" s="148"/>
      <c r="AD92" s="148"/>
      <c r="AE92" s="148"/>
      <c r="AF92" s="148"/>
      <c r="AG92" s="148"/>
      <c r="AH92" s="148"/>
      <c r="AI92" s="149"/>
    </row>
    <row r="93" spans="11:35">
      <c r="K93" s="85"/>
      <c r="L93" s="54" t="str">
        <f t="shared" si="27"/>
        <v/>
      </c>
      <c r="M93" s="38" t="str">
        <f t="shared" ref="M93:M156" si="30">IFERROR(RIGHT("0000"&amp;DEC2HEX(N93),4),"")</f>
        <v>0155</v>
      </c>
      <c r="N93" s="69">
        <f t="shared" si="29"/>
        <v>341</v>
      </c>
      <c r="O93" s="96"/>
      <c r="P93" s="97"/>
      <c r="Q93" s="98"/>
      <c r="R93" s="135"/>
      <c r="U93" s="48" t="str">
        <f t="shared" si="28"/>
        <v/>
      </c>
      <c r="V93" s="16"/>
      <c r="W93" s="34"/>
      <c r="X93" s="35"/>
      <c r="Z93" s="74"/>
      <c r="AA93" s="130" t="str" cm="1">
        <f t="array" ref="AA93">HEX2ASCII(AB93)&amp;HEX2ASCII(AC93)&amp;HEX2ASCII(AD93)&amp;HEX2ASCII(AE93)&amp;HEX2ASCII(AF93)&amp;HEX2ASCII(AG93)&amp;HEX2ASCII(AH93)&amp;HEX2ASCII(AI93)</f>
        <v/>
      </c>
      <c r="AB93" s="147"/>
      <c r="AC93" s="148"/>
      <c r="AD93" s="148"/>
      <c r="AE93" s="148"/>
      <c r="AF93" s="148"/>
      <c r="AG93" s="148"/>
      <c r="AH93" s="148"/>
      <c r="AI93" s="149"/>
    </row>
    <row r="94" spans="11:35">
      <c r="K94" s="85"/>
      <c r="L94" s="54" t="str">
        <f t="shared" si="27"/>
        <v/>
      </c>
      <c r="M94" s="38" t="str">
        <f t="shared" si="30"/>
        <v>0156</v>
      </c>
      <c r="N94" s="69">
        <f t="shared" si="29"/>
        <v>342</v>
      </c>
      <c r="O94" s="96"/>
      <c r="P94" s="97"/>
      <c r="Q94" s="98"/>
      <c r="R94" s="135"/>
      <c r="U94" s="48" t="str">
        <f t="shared" si="28"/>
        <v/>
      </c>
      <c r="V94" s="16"/>
      <c r="W94" s="34"/>
      <c r="X94" s="35"/>
      <c r="Z94" s="74"/>
      <c r="AA94" s="130" t="str" cm="1">
        <f t="array" ref="AA94">HEX2ASCII(AB94)&amp;HEX2ASCII(AC94)&amp;HEX2ASCII(AD94)&amp;HEX2ASCII(AE94)&amp;HEX2ASCII(AF94)&amp;HEX2ASCII(AG94)&amp;HEX2ASCII(AH94)&amp;HEX2ASCII(AI94)</f>
        <v/>
      </c>
      <c r="AB94" s="147"/>
      <c r="AC94" s="148"/>
      <c r="AD94" s="148"/>
      <c r="AE94" s="148"/>
      <c r="AF94" s="148"/>
      <c r="AG94" s="148"/>
      <c r="AH94" s="148"/>
      <c r="AI94" s="149"/>
    </row>
    <row r="95" spans="11:35">
      <c r="K95" s="85"/>
      <c r="L95" s="54" t="str">
        <f t="shared" si="27"/>
        <v/>
      </c>
      <c r="M95" s="38" t="str">
        <f t="shared" si="30"/>
        <v>0157</v>
      </c>
      <c r="N95" s="69">
        <f t="shared" si="29"/>
        <v>343</v>
      </c>
      <c r="O95" s="96"/>
      <c r="P95" s="97"/>
      <c r="Q95" s="98"/>
      <c r="R95" s="135"/>
      <c r="U95" s="48" t="str">
        <f t="shared" si="28"/>
        <v/>
      </c>
      <c r="V95" s="16"/>
      <c r="W95" s="34"/>
      <c r="X95" s="35"/>
      <c r="Z95" s="74"/>
      <c r="AA95" s="130" t="str" cm="1">
        <f t="array" ref="AA95">HEX2ASCII(AB95)&amp;HEX2ASCII(AC95)&amp;HEX2ASCII(AD95)&amp;HEX2ASCII(AE95)&amp;HEX2ASCII(AF95)&amp;HEX2ASCII(AG95)&amp;HEX2ASCII(AH95)&amp;HEX2ASCII(AI95)</f>
        <v/>
      </c>
      <c r="AB95" s="147"/>
      <c r="AC95" s="148"/>
      <c r="AD95" s="148"/>
      <c r="AE95" s="148"/>
      <c r="AF95" s="148"/>
      <c r="AG95" s="148"/>
      <c r="AH95" s="148"/>
      <c r="AI95" s="149"/>
    </row>
    <row r="96" spans="11:35">
      <c r="K96" s="85"/>
      <c r="L96" s="54" t="str">
        <f t="shared" si="27"/>
        <v/>
      </c>
      <c r="M96" s="38" t="str">
        <f t="shared" si="30"/>
        <v>0158</v>
      </c>
      <c r="N96" s="69">
        <f t="shared" si="29"/>
        <v>344</v>
      </c>
      <c r="O96" s="96"/>
      <c r="P96" s="97"/>
      <c r="Q96" s="98"/>
      <c r="R96" s="135"/>
      <c r="U96" s="48" t="str">
        <f t="shared" si="28"/>
        <v/>
      </c>
      <c r="V96" s="16"/>
      <c r="W96" s="34"/>
      <c r="X96" s="35"/>
      <c r="Z96" s="74"/>
      <c r="AA96" s="130" t="str" cm="1">
        <f t="array" ref="AA96">HEX2ASCII(AB96)&amp;HEX2ASCII(AC96)&amp;HEX2ASCII(AD96)&amp;HEX2ASCII(AE96)&amp;HEX2ASCII(AF96)&amp;HEX2ASCII(AG96)&amp;HEX2ASCII(AH96)&amp;HEX2ASCII(AI96)</f>
        <v/>
      </c>
      <c r="AB96" s="147"/>
      <c r="AC96" s="148"/>
      <c r="AD96" s="148"/>
      <c r="AE96" s="148"/>
      <c r="AF96" s="148"/>
      <c r="AG96" s="148"/>
      <c r="AH96" s="148"/>
      <c r="AI96" s="149"/>
    </row>
    <row r="97" spans="11:35">
      <c r="K97" s="85"/>
      <c r="L97" s="54" t="str">
        <f t="shared" si="27"/>
        <v/>
      </c>
      <c r="M97" s="38" t="str">
        <f t="shared" si="30"/>
        <v>0159</v>
      </c>
      <c r="N97" s="69">
        <f t="shared" si="29"/>
        <v>345</v>
      </c>
      <c r="O97" s="96"/>
      <c r="P97" s="97"/>
      <c r="Q97" s="98"/>
      <c r="R97" s="135"/>
      <c r="U97" s="48" t="str">
        <f t="shared" si="28"/>
        <v/>
      </c>
      <c r="V97" s="16"/>
      <c r="W97" s="34"/>
      <c r="X97" s="35"/>
      <c r="Z97" s="74"/>
      <c r="AA97" s="130" t="str" cm="1">
        <f t="array" ref="AA97">HEX2ASCII(AB97)&amp;HEX2ASCII(AC97)&amp;HEX2ASCII(AD97)&amp;HEX2ASCII(AE97)&amp;HEX2ASCII(AF97)&amp;HEX2ASCII(AG97)&amp;HEX2ASCII(AH97)&amp;HEX2ASCII(AI97)</f>
        <v/>
      </c>
      <c r="AB97" s="147"/>
      <c r="AC97" s="148"/>
      <c r="AD97" s="148"/>
      <c r="AE97" s="148"/>
      <c r="AF97" s="148"/>
      <c r="AG97" s="148"/>
      <c r="AH97" s="148"/>
      <c r="AI97" s="149"/>
    </row>
    <row r="98" spans="11:35">
      <c r="K98" s="85"/>
      <c r="L98" s="54" t="str">
        <f t="shared" si="27"/>
        <v/>
      </c>
      <c r="M98" s="38" t="str">
        <f t="shared" si="30"/>
        <v>015A</v>
      </c>
      <c r="N98" s="69">
        <f t="shared" si="29"/>
        <v>346</v>
      </c>
      <c r="O98" s="96"/>
      <c r="P98" s="97"/>
      <c r="Q98" s="98"/>
      <c r="R98" s="135"/>
      <c r="U98" s="48" t="str">
        <f t="shared" si="28"/>
        <v/>
      </c>
      <c r="V98" s="16"/>
      <c r="W98" s="34"/>
      <c r="X98" s="35"/>
      <c r="Z98" s="74"/>
      <c r="AA98" s="130" t="str" cm="1">
        <f t="array" ref="AA98">HEX2ASCII(AB98)&amp;HEX2ASCII(AC98)&amp;HEX2ASCII(AD98)&amp;HEX2ASCII(AE98)&amp;HEX2ASCII(AF98)&amp;HEX2ASCII(AG98)&amp;HEX2ASCII(AH98)&amp;HEX2ASCII(AI98)</f>
        <v/>
      </c>
      <c r="AB98" s="147"/>
      <c r="AC98" s="148"/>
      <c r="AD98" s="148"/>
      <c r="AE98" s="148"/>
      <c r="AF98" s="148"/>
      <c r="AG98" s="148"/>
      <c r="AH98" s="148"/>
      <c r="AI98" s="149"/>
    </row>
    <row r="99" spans="11:35">
      <c r="K99" s="85"/>
      <c r="L99" s="54" t="str">
        <f t="shared" si="27"/>
        <v/>
      </c>
      <c r="M99" s="38" t="str">
        <f t="shared" si="30"/>
        <v>015B</v>
      </c>
      <c r="N99" s="69">
        <f t="shared" si="29"/>
        <v>347</v>
      </c>
      <c r="O99" s="96"/>
      <c r="P99" s="97"/>
      <c r="Q99" s="98"/>
      <c r="R99" s="135"/>
      <c r="U99" s="48" t="str">
        <f t="shared" si="28"/>
        <v/>
      </c>
      <c r="V99" s="16"/>
      <c r="W99" s="34"/>
      <c r="X99" s="35"/>
      <c r="Z99" s="74"/>
      <c r="AA99" s="130" t="str" cm="1">
        <f t="array" ref="AA99">HEX2ASCII(AB99)&amp;HEX2ASCII(AC99)&amp;HEX2ASCII(AD99)&amp;HEX2ASCII(AE99)&amp;HEX2ASCII(AF99)&amp;HEX2ASCII(AG99)&amp;HEX2ASCII(AH99)&amp;HEX2ASCII(AI99)</f>
        <v/>
      </c>
      <c r="AB99" s="147"/>
      <c r="AC99" s="148"/>
      <c r="AD99" s="148"/>
      <c r="AE99" s="148"/>
      <c r="AF99" s="148"/>
      <c r="AG99" s="148"/>
      <c r="AH99" s="148"/>
      <c r="AI99" s="149"/>
    </row>
    <row r="100" spans="11:35">
      <c r="K100" s="85"/>
      <c r="L100" s="54" t="str">
        <f t="shared" si="27"/>
        <v/>
      </c>
      <c r="M100" s="38" t="str">
        <f t="shared" si="30"/>
        <v>015C</v>
      </c>
      <c r="N100" s="69">
        <f t="shared" si="29"/>
        <v>348</v>
      </c>
      <c r="O100" s="96"/>
      <c r="P100" s="97"/>
      <c r="Q100" s="98"/>
      <c r="R100" s="135"/>
      <c r="U100" s="48" t="str">
        <f t="shared" si="28"/>
        <v/>
      </c>
      <c r="V100" s="16"/>
      <c r="W100" s="34"/>
      <c r="X100" s="35"/>
      <c r="Z100" s="74"/>
      <c r="AA100" s="130" t="str" cm="1">
        <f t="array" ref="AA100">HEX2ASCII(AB100)&amp;HEX2ASCII(AC100)&amp;HEX2ASCII(AD100)&amp;HEX2ASCII(AE100)&amp;HEX2ASCII(AF100)&amp;HEX2ASCII(AG100)&amp;HEX2ASCII(AH100)&amp;HEX2ASCII(AI100)</f>
        <v/>
      </c>
      <c r="AB100" s="147"/>
      <c r="AC100" s="148"/>
      <c r="AD100" s="148"/>
      <c r="AE100" s="148"/>
      <c r="AF100" s="148"/>
      <c r="AG100" s="148"/>
      <c r="AH100" s="148"/>
      <c r="AI100" s="149"/>
    </row>
    <row r="101" spans="11:35">
      <c r="K101" s="85"/>
      <c r="L101" s="54" t="str">
        <f t="shared" si="27"/>
        <v/>
      </c>
      <c r="M101" s="38" t="str">
        <f t="shared" si="30"/>
        <v>015D</v>
      </c>
      <c r="N101" s="69">
        <f t="shared" si="29"/>
        <v>349</v>
      </c>
      <c r="O101" s="96"/>
      <c r="P101" s="97"/>
      <c r="Q101" s="98"/>
      <c r="R101" s="135"/>
      <c r="U101" s="48" t="str">
        <f t="shared" si="28"/>
        <v/>
      </c>
      <c r="V101" s="16"/>
      <c r="W101" s="34"/>
      <c r="X101" s="35"/>
      <c r="Z101" s="74"/>
      <c r="AA101" s="130" t="str" cm="1">
        <f t="array" ref="AA101">HEX2ASCII(AB101)&amp;HEX2ASCII(AC101)&amp;HEX2ASCII(AD101)&amp;HEX2ASCII(AE101)&amp;HEX2ASCII(AF101)&amp;HEX2ASCII(AG101)&amp;HEX2ASCII(AH101)&amp;HEX2ASCII(AI101)</f>
        <v/>
      </c>
      <c r="AB101" s="147"/>
      <c r="AC101" s="148"/>
      <c r="AD101" s="148"/>
      <c r="AE101" s="148"/>
      <c r="AF101" s="148"/>
      <c r="AG101" s="148"/>
      <c r="AH101" s="148"/>
      <c r="AI101" s="149"/>
    </row>
    <row r="102" spans="11:35">
      <c r="K102" s="85"/>
      <c r="L102" s="54" t="str">
        <f t="shared" si="27"/>
        <v/>
      </c>
      <c r="M102" s="38" t="str">
        <f t="shared" si="30"/>
        <v>015E</v>
      </c>
      <c r="N102" s="69">
        <f t="shared" si="29"/>
        <v>350</v>
      </c>
      <c r="O102" s="96"/>
      <c r="P102" s="97"/>
      <c r="Q102" s="98"/>
      <c r="R102" s="135"/>
      <c r="U102" s="48" t="str">
        <f t="shared" si="28"/>
        <v/>
      </c>
      <c r="V102" s="16"/>
      <c r="W102" s="34"/>
      <c r="X102" s="35"/>
      <c r="Z102" s="74"/>
      <c r="AA102" s="130" t="str" cm="1">
        <f t="array" ref="AA102">HEX2ASCII(AB102)&amp;HEX2ASCII(AC102)&amp;HEX2ASCII(AD102)&amp;HEX2ASCII(AE102)&amp;HEX2ASCII(AF102)&amp;HEX2ASCII(AG102)&amp;HEX2ASCII(AH102)&amp;HEX2ASCII(AI102)</f>
        <v/>
      </c>
      <c r="AB102" s="147"/>
      <c r="AC102" s="148"/>
      <c r="AD102" s="148"/>
      <c r="AE102" s="148"/>
      <c r="AF102" s="148"/>
      <c r="AG102" s="148"/>
      <c r="AH102" s="148"/>
      <c r="AI102" s="149"/>
    </row>
    <row r="103" spans="11:35">
      <c r="K103" s="85"/>
      <c r="L103" s="54" t="str">
        <f t="shared" si="27"/>
        <v/>
      </c>
      <c r="M103" s="38" t="str">
        <f t="shared" si="30"/>
        <v>015F</v>
      </c>
      <c r="N103" s="69">
        <f t="shared" si="29"/>
        <v>351</v>
      </c>
      <c r="O103" s="96"/>
      <c r="P103" s="97"/>
      <c r="Q103" s="98"/>
      <c r="R103" s="135"/>
      <c r="U103" s="48" t="str">
        <f t="shared" si="28"/>
        <v/>
      </c>
      <c r="V103" s="16"/>
      <c r="W103" s="34"/>
      <c r="X103" s="35"/>
      <c r="Z103" s="74"/>
      <c r="AA103" s="130" t="str" cm="1">
        <f t="array" ref="AA103">HEX2ASCII(AB103)&amp;HEX2ASCII(AC103)&amp;HEX2ASCII(AD103)&amp;HEX2ASCII(AE103)&amp;HEX2ASCII(AF103)&amp;HEX2ASCII(AG103)&amp;HEX2ASCII(AH103)&amp;HEX2ASCII(AI103)</f>
        <v/>
      </c>
      <c r="AB103" s="147"/>
      <c r="AC103" s="148"/>
      <c r="AD103" s="148"/>
      <c r="AE103" s="148"/>
      <c r="AF103" s="148"/>
      <c r="AG103" s="148"/>
      <c r="AH103" s="148"/>
      <c r="AI103" s="149"/>
    </row>
    <row r="104" spans="11:35">
      <c r="K104" s="85"/>
      <c r="L104" s="54" t="str">
        <f t="shared" si="27"/>
        <v/>
      </c>
      <c r="M104" s="38" t="str">
        <f t="shared" si="30"/>
        <v>0160</v>
      </c>
      <c r="N104" s="69">
        <f t="shared" si="29"/>
        <v>352</v>
      </c>
      <c r="O104" s="96"/>
      <c r="P104" s="97"/>
      <c r="Q104" s="98"/>
      <c r="R104" s="135"/>
      <c r="U104" s="48" t="str">
        <f t="shared" si="28"/>
        <v/>
      </c>
      <c r="V104" s="16"/>
      <c r="W104" s="34"/>
      <c r="X104" s="35"/>
      <c r="Z104" s="74"/>
      <c r="AA104" s="130" t="str" cm="1">
        <f t="array" ref="AA104">HEX2ASCII(AB104)&amp;HEX2ASCII(AC104)&amp;HEX2ASCII(AD104)&amp;HEX2ASCII(AE104)&amp;HEX2ASCII(AF104)&amp;HEX2ASCII(AG104)&amp;HEX2ASCII(AH104)&amp;HEX2ASCII(AI104)</f>
        <v/>
      </c>
      <c r="AB104" s="147"/>
      <c r="AC104" s="148"/>
      <c r="AD104" s="148"/>
      <c r="AE104" s="148"/>
      <c r="AF104" s="148"/>
      <c r="AG104" s="148"/>
      <c r="AH104" s="148"/>
      <c r="AI104" s="149"/>
    </row>
    <row r="105" spans="11:35">
      <c r="K105" s="85"/>
      <c r="L105" s="54" t="str">
        <f t="shared" si="27"/>
        <v/>
      </c>
      <c r="M105" s="38" t="str">
        <f t="shared" si="30"/>
        <v>0161</v>
      </c>
      <c r="N105" s="69">
        <f t="shared" si="29"/>
        <v>353</v>
      </c>
      <c r="O105" s="96"/>
      <c r="P105" s="97"/>
      <c r="Q105" s="98"/>
      <c r="R105" s="135"/>
      <c r="U105" s="48" t="str">
        <f t="shared" si="28"/>
        <v/>
      </c>
      <c r="V105" s="16"/>
      <c r="W105" s="34"/>
      <c r="X105" s="35"/>
      <c r="Z105" s="74"/>
      <c r="AA105" s="130" t="str" cm="1">
        <f t="array" ref="AA105">HEX2ASCII(AB105)&amp;HEX2ASCII(AC105)&amp;HEX2ASCII(AD105)&amp;HEX2ASCII(AE105)&amp;HEX2ASCII(AF105)&amp;HEX2ASCII(AG105)&amp;HEX2ASCII(AH105)&amp;HEX2ASCII(AI105)</f>
        <v/>
      </c>
      <c r="AB105" s="147"/>
      <c r="AC105" s="148"/>
      <c r="AD105" s="148"/>
      <c r="AE105" s="148"/>
      <c r="AF105" s="148"/>
      <c r="AG105" s="148"/>
      <c r="AH105" s="148"/>
      <c r="AI105" s="149"/>
    </row>
    <row r="106" spans="11:35">
      <c r="K106" s="85"/>
      <c r="L106" s="54" t="str">
        <f t="shared" si="27"/>
        <v/>
      </c>
      <c r="M106" s="38" t="str">
        <f t="shared" si="30"/>
        <v>0162</v>
      </c>
      <c r="N106" s="69">
        <f t="shared" si="29"/>
        <v>354</v>
      </c>
      <c r="O106" s="96"/>
      <c r="P106" s="97"/>
      <c r="Q106" s="98"/>
      <c r="R106" s="135"/>
      <c r="U106" s="48" t="str">
        <f t="shared" si="28"/>
        <v/>
      </c>
      <c r="V106" s="16"/>
      <c r="W106" s="34"/>
      <c r="X106" s="35"/>
      <c r="Z106" s="74"/>
      <c r="AA106" s="130" t="str" cm="1">
        <f t="array" ref="AA106">HEX2ASCII(AB106)&amp;HEX2ASCII(AC106)&amp;HEX2ASCII(AD106)&amp;HEX2ASCII(AE106)&amp;HEX2ASCII(AF106)&amp;HEX2ASCII(AG106)&amp;HEX2ASCII(AH106)&amp;HEX2ASCII(AI106)</f>
        <v/>
      </c>
      <c r="AB106" s="147"/>
      <c r="AC106" s="148"/>
      <c r="AD106" s="148"/>
      <c r="AE106" s="148"/>
      <c r="AF106" s="148"/>
      <c r="AG106" s="148"/>
      <c r="AH106" s="148"/>
      <c r="AI106" s="149"/>
    </row>
    <row r="107" spans="11:35">
      <c r="K107" s="85"/>
      <c r="L107" s="54" t="str">
        <f t="shared" si="27"/>
        <v/>
      </c>
      <c r="M107" s="38" t="str">
        <f t="shared" si="30"/>
        <v>0163</v>
      </c>
      <c r="N107" s="69">
        <f t="shared" si="29"/>
        <v>355</v>
      </c>
      <c r="O107" s="96"/>
      <c r="P107" s="97"/>
      <c r="Q107" s="98"/>
      <c r="R107" s="135"/>
      <c r="U107" s="48" t="str">
        <f t="shared" si="28"/>
        <v/>
      </c>
      <c r="V107" s="16"/>
      <c r="W107" s="34"/>
      <c r="X107" s="35"/>
      <c r="Z107" s="74"/>
      <c r="AA107" s="130" t="str" cm="1">
        <f t="array" ref="AA107">HEX2ASCII(AB107)&amp;HEX2ASCII(AC107)&amp;HEX2ASCII(AD107)&amp;HEX2ASCII(AE107)&amp;HEX2ASCII(AF107)&amp;HEX2ASCII(AG107)&amp;HEX2ASCII(AH107)&amp;HEX2ASCII(AI107)</f>
        <v/>
      </c>
      <c r="AB107" s="147"/>
      <c r="AC107" s="148"/>
      <c r="AD107" s="148"/>
      <c r="AE107" s="148"/>
      <c r="AF107" s="148"/>
      <c r="AG107" s="148"/>
      <c r="AH107" s="148"/>
      <c r="AI107" s="149"/>
    </row>
    <row r="108" spans="11:35">
      <c r="K108" s="85"/>
      <c r="L108" s="54" t="str">
        <f t="shared" si="27"/>
        <v/>
      </c>
      <c r="M108" s="38" t="str">
        <f t="shared" si="30"/>
        <v>0164</v>
      </c>
      <c r="N108" s="69">
        <f t="shared" si="29"/>
        <v>356</v>
      </c>
      <c r="O108" s="96"/>
      <c r="P108" s="97"/>
      <c r="Q108" s="98"/>
      <c r="R108" s="135"/>
      <c r="U108" s="48" t="str">
        <f t="shared" si="28"/>
        <v/>
      </c>
      <c r="V108" s="16"/>
      <c r="W108" s="34"/>
      <c r="X108" s="35"/>
      <c r="Z108" s="74"/>
      <c r="AA108" s="130" t="str" cm="1">
        <f t="array" ref="AA108">HEX2ASCII(AB108)&amp;HEX2ASCII(AC108)&amp;HEX2ASCII(AD108)&amp;HEX2ASCII(AE108)&amp;HEX2ASCII(AF108)&amp;HEX2ASCII(AG108)&amp;HEX2ASCII(AH108)&amp;HEX2ASCII(AI108)</f>
        <v/>
      </c>
      <c r="AB108" s="147"/>
      <c r="AC108" s="148"/>
      <c r="AD108" s="148"/>
      <c r="AE108" s="148"/>
      <c r="AF108" s="148"/>
      <c r="AG108" s="148"/>
      <c r="AH108" s="148"/>
      <c r="AI108" s="149"/>
    </row>
    <row r="109" spans="11:35">
      <c r="K109" s="85"/>
      <c r="L109" s="54" t="str">
        <f t="shared" si="27"/>
        <v/>
      </c>
      <c r="M109" s="38" t="str">
        <f t="shared" si="30"/>
        <v>0165</v>
      </c>
      <c r="N109" s="69">
        <f t="shared" si="29"/>
        <v>357</v>
      </c>
      <c r="O109" s="96"/>
      <c r="P109" s="97"/>
      <c r="Q109" s="98"/>
      <c r="R109" s="135"/>
      <c r="U109" s="48" t="str">
        <f t="shared" si="28"/>
        <v/>
      </c>
      <c r="V109" s="16"/>
      <c r="W109" s="34"/>
      <c r="X109" s="35"/>
      <c r="Z109" s="74"/>
      <c r="AA109" s="130" t="str" cm="1">
        <f t="array" ref="AA109">HEX2ASCII(AB109)&amp;HEX2ASCII(AC109)&amp;HEX2ASCII(AD109)&amp;HEX2ASCII(AE109)&amp;HEX2ASCII(AF109)&amp;HEX2ASCII(AG109)&amp;HEX2ASCII(AH109)&amp;HEX2ASCII(AI109)</f>
        <v/>
      </c>
      <c r="AB109" s="147"/>
      <c r="AC109" s="148"/>
      <c r="AD109" s="148"/>
      <c r="AE109" s="148"/>
      <c r="AF109" s="148"/>
      <c r="AG109" s="148"/>
      <c r="AH109" s="148"/>
      <c r="AI109" s="149"/>
    </row>
    <row r="110" spans="11:35">
      <c r="K110" s="85"/>
      <c r="L110" s="54" t="str">
        <f t="shared" si="27"/>
        <v/>
      </c>
      <c r="M110" s="38" t="str">
        <f t="shared" si="30"/>
        <v>0166</v>
      </c>
      <c r="N110" s="69">
        <f t="shared" si="29"/>
        <v>358</v>
      </c>
      <c r="O110" s="96"/>
      <c r="P110" s="97"/>
      <c r="Q110" s="98"/>
      <c r="R110" s="135"/>
      <c r="U110" s="48" t="str">
        <f t="shared" si="28"/>
        <v/>
      </c>
      <c r="V110" s="16"/>
      <c r="W110" s="34"/>
      <c r="X110" s="35"/>
      <c r="Z110" s="74"/>
      <c r="AA110" s="130" t="str" cm="1">
        <f t="array" ref="AA110">HEX2ASCII(AB110)&amp;HEX2ASCII(AC110)&amp;HEX2ASCII(AD110)&amp;HEX2ASCII(AE110)&amp;HEX2ASCII(AF110)&amp;HEX2ASCII(AG110)&amp;HEX2ASCII(AH110)&amp;HEX2ASCII(AI110)</f>
        <v/>
      </c>
      <c r="AB110" s="147"/>
      <c r="AC110" s="148"/>
      <c r="AD110" s="148"/>
      <c r="AE110" s="148"/>
      <c r="AF110" s="148"/>
      <c r="AG110" s="148"/>
      <c r="AH110" s="148"/>
      <c r="AI110" s="149"/>
    </row>
    <row r="111" spans="11:35">
      <c r="K111" s="85"/>
      <c r="L111" s="54" t="str">
        <f t="shared" si="27"/>
        <v/>
      </c>
      <c r="M111" s="38" t="str">
        <f t="shared" si="30"/>
        <v>0167</v>
      </c>
      <c r="N111" s="69">
        <f t="shared" si="29"/>
        <v>359</v>
      </c>
      <c r="O111" s="96"/>
      <c r="P111" s="97"/>
      <c r="Q111" s="98"/>
      <c r="R111" s="135"/>
      <c r="U111" s="48" t="str">
        <f t="shared" si="28"/>
        <v/>
      </c>
      <c r="V111" s="16"/>
      <c r="W111" s="34"/>
      <c r="X111" s="35"/>
      <c r="Z111" s="74"/>
      <c r="AA111" s="130" t="str" cm="1">
        <f t="array" ref="AA111">HEX2ASCII(AB111)&amp;HEX2ASCII(AC111)&amp;HEX2ASCII(AD111)&amp;HEX2ASCII(AE111)&amp;HEX2ASCII(AF111)&amp;HEX2ASCII(AG111)&amp;HEX2ASCII(AH111)&amp;HEX2ASCII(AI111)</f>
        <v/>
      </c>
      <c r="AB111" s="147"/>
      <c r="AC111" s="148"/>
      <c r="AD111" s="148"/>
      <c r="AE111" s="148"/>
      <c r="AF111" s="148"/>
      <c r="AG111" s="148"/>
      <c r="AH111" s="148"/>
      <c r="AI111" s="149"/>
    </row>
    <row r="112" spans="11:35">
      <c r="K112" s="85"/>
      <c r="L112" s="54" t="str">
        <f t="shared" si="27"/>
        <v/>
      </c>
      <c r="M112" s="38" t="str">
        <f t="shared" si="30"/>
        <v>0168</v>
      </c>
      <c r="N112" s="69">
        <f t="shared" si="29"/>
        <v>360</v>
      </c>
      <c r="O112" s="96"/>
      <c r="P112" s="97"/>
      <c r="Q112" s="98"/>
      <c r="R112" s="135"/>
      <c r="U112" s="48" t="str">
        <f t="shared" si="28"/>
        <v/>
      </c>
      <c r="V112" s="16"/>
      <c r="W112" s="34"/>
      <c r="X112" s="35"/>
      <c r="Z112" s="74"/>
      <c r="AA112" s="130" t="str" cm="1">
        <f t="array" ref="AA112">HEX2ASCII(AB112)&amp;HEX2ASCII(AC112)&amp;HEX2ASCII(AD112)&amp;HEX2ASCII(AE112)&amp;HEX2ASCII(AF112)&amp;HEX2ASCII(AG112)&amp;HEX2ASCII(AH112)&amp;HEX2ASCII(AI112)</f>
        <v/>
      </c>
      <c r="AB112" s="147"/>
      <c r="AC112" s="148"/>
      <c r="AD112" s="148"/>
      <c r="AE112" s="148"/>
      <c r="AF112" s="148"/>
      <c r="AG112" s="148"/>
      <c r="AH112" s="148"/>
      <c r="AI112" s="149"/>
    </row>
    <row r="113" spans="11:35">
      <c r="K113" s="85"/>
      <c r="L113" s="54" t="str">
        <f t="shared" si="27"/>
        <v/>
      </c>
      <c r="M113" s="38" t="str">
        <f t="shared" si="30"/>
        <v>0169</v>
      </c>
      <c r="N113" s="69">
        <f t="shared" si="29"/>
        <v>361</v>
      </c>
      <c r="O113" s="96"/>
      <c r="P113" s="97"/>
      <c r="Q113" s="98"/>
      <c r="R113" s="135"/>
      <c r="U113" s="48" t="str">
        <f t="shared" si="28"/>
        <v/>
      </c>
      <c r="V113" s="16"/>
      <c r="W113" s="34"/>
      <c r="X113" s="35"/>
      <c r="Z113" s="74"/>
      <c r="AA113" s="130" t="str" cm="1">
        <f t="array" ref="AA113">HEX2ASCII(AB113)&amp;HEX2ASCII(AC113)&amp;HEX2ASCII(AD113)&amp;HEX2ASCII(AE113)&amp;HEX2ASCII(AF113)&amp;HEX2ASCII(AG113)&amp;HEX2ASCII(AH113)&amp;HEX2ASCII(AI113)</f>
        <v/>
      </c>
      <c r="AB113" s="147"/>
      <c r="AC113" s="148"/>
      <c r="AD113" s="148"/>
      <c r="AE113" s="148"/>
      <c r="AF113" s="148"/>
      <c r="AG113" s="148"/>
      <c r="AH113" s="148"/>
      <c r="AI113" s="149"/>
    </row>
    <row r="114" spans="11:35">
      <c r="K114" s="85"/>
      <c r="L114" s="54" t="str">
        <f t="shared" si="27"/>
        <v/>
      </c>
      <c r="M114" s="38" t="str">
        <f t="shared" si="30"/>
        <v>016A</v>
      </c>
      <c r="N114" s="69">
        <f t="shared" si="29"/>
        <v>362</v>
      </c>
      <c r="O114" s="96"/>
      <c r="P114" s="97"/>
      <c r="Q114" s="98"/>
      <c r="R114" s="135"/>
      <c r="U114" s="48" t="str">
        <f t="shared" si="28"/>
        <v/>
      </c>
      <c r="V114" s="16"/>
      <c r="W114" s="34"/>
      <c r="X114" s="35"/>
      <c r="Z114" s="74"/>
      <c r="AA114" s="130" t="str" cm="1">
        <f t="array" ref="AA114">HEX2ASCII(AB114)&amp;HEX2ASCII(AC114)&amp;HEX2ASCII(AD114)&amp;HEX2ASCII(AE114)&amp;HEX2ASCII(AF114)&amp;HEX2ASCII(AG114)&amp;HEX2ASCII(AH114)&amp;HEX2ASCII(AI114)</f>
        <v/>
      </c>
      <c r="AB114" s="147"/>
      <c r="AC114" s="148"/>
      <c r="AD114" s="148"/>
      <c r="AE114" s="148"/>
      <c r="AF114" s="148"/>
      <c r="AG114" s="148"/>
      <c r="AH114" s="148"/>
      <c r="AI114" s="149"/>
    </row>
    <row r="115" spans="11:35">
      <c r="K115" s="85"/>
      <c r="L115" s="54" t="str">
        <f t="shared" si="27"/>
        <v/>
      </c>
      <c r="M115" s="38" t="str">
        <f t="shared" si="30"/>
        <v>016B</v>
      </c>
      <c r="N115" s="69">
        <f t="shared" si="29"/>
        <v>363</v>
      </c>
      <c r="O115" s="96"/>
      <c r="P115" s="97"/>
      <c r="Q115" s="98"/>
      <c r="R115" s="135"/>
      <c r="U115" s="48" t="str">
        <f t="shared" si="28"/>
        <v/>
      </c>
      <c r="V115" s="16"/>
      <c r="W115" s="34"/>
      <c r="X115" s="35"/>
      <c r="Z115" s="74"/>
      <c r="AA115" s="130" t="str" cm="1">
        <f t="array" ref="AA115">HEX2ASCII(AB115)&amp;HEX2ASCII(AC115)&amp;HEX2ASCII(AD115)&amp;HEX2ASCII(AE115)&amp;HEX2ASCII(AF115)&amp;HEX2ASCII(AG115)&amp;HEX2ASCII(AH115)&amp;HEX2ASCII(AI115)</f>
        <v/>
      </c>
      <c r="AB115" s="147"/>
      <c r="AC115" s="148"/>
      <c r="AD115" s="148"/>
      <c r="AE115" s="148"/>
      <c r="AF115" s="148"/>
      <c r="AG115" s="148"/>
      <c r="AH115" s="148"/>
      <c r="AI115" s="149"/>
    </row>
    <row r="116" spans="11:35">
      <c r="K116" s="85"/>
      <c r="L116" s="54" t="str">
        <f t="shared" si="27"/>
        <v/>
      </c>
      <c r="M116" s="38" t="str">
        <f t="shared" si="30"/>
        <v>016C</v>
      </c>
      <c r="N116" s="69">
        <f t="shared" si="29"/>
        <v>364</v>
      </c>
      <c r="O116" s="96"/>
      <c r="P116" s="97"/>
      <c r="Q116" s="98"/>
      <c r="R116" s="135"/>
      <c r="U116" s="48" t="str">
        <f t="shared" si="28"/>
        <v/>
      </c>
      <c r="V116" s="16"/>
      <c r="W116" s="34"/>
      <c r="X116" s="35"/>
      <c r="Z116" s="74"/>
      <c r="AA116" s="130" t="str" cm="1">
        <f t="array" ref="AA116">HEX2ASCII(AB116)&amp;HEX2ASCII(AC116)&amp;HEX2ASCII(AD116)&amp;HEX2ASCII(AE116)&amp;HEX2ASCII(AF116)&amp;HEX2ASCII(AG116)&amp;HEX2ASCII(AH116)&amp;HEX2ASCII(AI116)</f>
        <v/>
      </c>
      <c r="AB116" s="147"/>
      <c r="AC116" s="148"/>
      <c r="AD116" s="148"/>
      <c r="AE116" s="148"/>
      <c r="AF116" s="148"/>
      <c r="AG116" s="148"/>
      <c r="AH116" s="148"/>
      <c r="AI116" s="149"/>
    </row>
    <row r="117" spans="11:35">
      <c r="K117" s="85"/>
      <c r="L117" s="54" t="str">
        <f t="shared" si="27"/>
        <v/>
      </c>
      <c r="M117" s="38" t="str">
        <f t="shared" si="30"/>
        <v>016D</v>
      </c>
      <c r="N117" s="69">
        <f t="shared" si="29"/>
        <v>365</v>
      </c>
      <c r="O117" s="96"/>
      <c r="P117" s="97"/>
      <c r="Q117" s="98"/>
      <c r="R117" s="135"/>
      <c r="U117" s="48" t="str">
        <f t="shared" si="28"/>
        <v/>
      </c>
      <c r="V117" s="16"/>
      <c r="W117" s="34"/>
      <c r="X117" s="35"/>
      <c r="Z117" s="74"/>
      <c r="AA117" s="130" t="str" cm="1">
        <f t="array" ref="AA117">HEX2ASCII(AB117)&amp;HEX2ASCII(AC117)&amp;HEX2ASCII(AD117)&amp;HEX2ASCII(AE117)&amp;HEX2ASCII(AF117)&amp;HEX2ASCII(AG117)&amp;HEX2ASCII(AH117)&amp;HEX2ASCII(AI117)</f>
        <v/>
      </c>
      <c r="AB117" s="147"/>
      <c r="AC117" s="148"/>
      <c r="AD117" s="148"/>
      <c r="AE117" s="148"/>
      <c r="AF117" s="148"/>
      <c r="AG117" s="148"/>
      <c r="AH117" s="148"/>
      <c r="AI117" s="149"/>
    </row>
    <row r="118" spans="11:35">
      <c r="K118" s="85"/>
      <c r="L118" s="54" t="str">
        <f t="shared" si="27"/>
        <v/>
      </c>
      <c r="M118" s="38" t="str">
        <f t="shared" si="30"/>
        <v>016E</v>
      </c>
      <c r="N118" s="69">
        <f t="shared" si="29"/>
        <v>366</v>
      </c>
      <c r="O118" s="96"/>
      <c r="P118" s="97"/>
      <c r="Q118" s="98"/>
      <c r="R118" s="135"/>
      <c r="U118" s="48" t="str">
        <f t="shared" si="28"/>
        <v/>
      </c>
      <c r="V118" s="16"/>
      <c r="W118" s="34"/>
      <c r="X118" s="35"/>
      <c r="Z118" s="74"/>
      <c r="AA118" s="130" t="str" cm="1">
        <f t="array" ref="AA118">HEX2ASCII(AB118)&amp;HEX2ASCII(AC118)&amp;HEX2ASCII(AD118)&amp;HEX2ASCII(AE118)&amp;HEX2ASCII(AF118)&amp;HEX2ASCII(AG118)&amp;HEX2ASCII(AH118)&amp;HEX2ASCII(AI118)</f>
        <v/>
      </c>
      <c r="AB118" s="147"/>
      <c r="AC118" s="148"/>
      <c r="AD118" s="148"/>
      <c r="AE118" s="148"/>
      <c r="AF118" s="148"/>
      <c r="AG118" s="148"/>
      <c r="AH118" s="148"/>
      <c r="AI118" s="149"/>
    </row>
    <row r="119" spans="11:35">
      <c r="K119" s="85"/>
      <c r="L119" s="54" t="str">
        <f t="shared" si="27"/>
        <v/>
      </c>
      <c r="M119" s="38" t="str">
        <f t="shared" si="30"/>
        <v>016F</v>
      </c>
      <c r="N119" s="69">
        <f t="shared" si="29"/>
        <v>367</v>
      </c>
      <c r="O119" s="96"/>
      <c r="P119" s="97"/>
      <c r="Q119" s="98"/>
      <c r="R119" s="135"/>
      <c r="U119" s="48" t="str">
        <f t="shared" si="28"/>
        <v/>
      </c>
      <c r="V119" s="16"/>
      <c r="W119" s="34"/>
      <c r="X119" s="35"/>
      <c r="Z119" s="74"/>
      <c r="AA119" s="130" t="str" cm="1">
        <f t="array" ref="AA119">HEX2ASCII(AB119)&amp;HEX2ASCII(AC119)&amp;HEX2ASCII(AD119)&amp;HEX2ASCII(AE119)&amp;HEX2ASCII(AF119)&amp;HEX2ASCII(AG119)&amp;HEX2ASCII(AH119)&amp;HEX2ASCII(AI119)</f>
        <v/>
      </c>
      <c r="AB119" s="147"/>
      <c r="AC119" s="148"/>
      <c r="AD119" s="148"/>
      <c r="AE119" s="148"/>
      <c r="AF119" s="148"/>
      <c r="AG119" s="148"/>
      <c r="AH119" s="148"/>
      <c r="AI119" s="149"/>
    </row>
    <row r="120" spans="11:35">
      <c r="K120" s="85"/>
      <c r="L120" s="54" t="str">
        <f t="shared" si="27"/>
        <v/>
      </c>
      <c r="M120" s="38" t="str">
        <f t="shared" si="30"/>
        <v>0170</v>
      </c>
      <c r="N120" s="69">
        <f t="shared" si="29"/>
        <v>368</v>
      </c>
      <c r="O120" s="96"/>
      <c r="P120" s="97"/>
      <c r="Q120" s="98"/>
      <c r="R120" s="135"/>
      <c r="U120" s="48" t="str">
        <f t="shared" si="28"/>
        <v/>
      </c>
      <c r="V120" s="16"/>
      <c r="W120" s="34"/>
      <c r="X120" s="35"/>
      <c r="Z120" s="74"/>
      <c r="AA120" s="130" t="str" cm="1">
        <f t="array" ref="AA120">HEX2ASCII(AB120)&amp;HEX2ASCII(AC120)&amp;HEX2ASCII(AD120)&amp;HEX2ASCII(AE120)&amp;HEX2ASCII(AF120)&amp;HEX2ASCII(AG120)&amp;HEX2ASCII(AH120)&amp;HEX2ASCII(AI120)</f>
        <v/>
      </c>
      <c r="AB120" s="147"/>
      <c r="AC120" s="148"/>
      <c r="AD120" s="148"/>
      <c r="AE120" s="148"/>
      <c r="AF120" s="148"/>
      <c r="AG120" s="148"/>
      <c r="AH120" s="148"/>
      <c r="AI120" s="149"/>
    </row>
    <row r="121" spans="11:35">
      <c r="K121" s="85"/>
      <c r="L121" s="54" t="str">
        <f t="shared" si="27"/>
        <v/>
      </c>
      <c r="M121" s="38" t="str">
        <f t="shared" si="30"/>
        <v>0171</v>
      </c>
      <c r="N121" s="69">
        <f t="shared" si="29"/>
        <v>369</v>
      </c>
      <c r="O121" s="96"/>
      <c r="P121" s="97"/>
      <c r="Q121" s="98"/>
      <c r="R121" s="135"/>
      <c r="U121" s="48" t="str">
        <f t="shared" si="28"/>
        <v/>
      </c>
      <c r="V121" s="16"/>
      <c r="W121" s="34"/>
      <c r="X121" s="35"/>
      <c r="Z121" s="74"/>
      <c r="AA121" s="130" t="str" cm="1">
        <f t="array" ref="AA121">HEX2ASCII(AB121)&amp;HEX2ASCII(AC121)&amp;HEX2ASCII(AD121)&amp;HEX2ASCII(AE121)&amp;HEX2ASCII(AF121)&amp;HEX2ASCII(AG121)&amp;HEX2ASCII(AH121)&amp;HEX2ASCII(AI121)</f>
        <v/>
      </c>
      <c r="AB121" s="147"/>
      <c r="AC121" s="148"/>
      <c r="AD121" s="148"/>
      <c r="AE121" s="148"/>
      <c r="AF121" s="148"/>
      <c r="AG121" s="148"/>
      <c r="AH121" s="148"/>
      <c r="AI121" s="149"/>
    </row>
    <row r="122" spans="11:35">
      <c r="K122" s="85"/>
      <c r="L122" s="54" t="str">
        <f t="shared" si="27"/>
        <v/>
      </c>
      <c r="M122" s="38" t="str">
        <f t="shared" si="30"/>
        <v>0172</v>
      </c>
      <c r="N122" s="69">
        <f t="shared" si="29"/>
        <v>370</v>
      </c>
      <c r="O122" s="96"/>
      <c r="P122" s="97"/>
      <c r="Q122" s="98"/>
      <c r="R122" s="135"/>
      <c r="U122" s="48" t="str">
        <f t="shared" si="28"/>
        <v/>
      </c>
      <c r="V122" s="16"/>
      <c r="W122" s="34"/>
      <c r="X122" s="35"/>
      <c r="Z122" s="74"/>
      <c r="AA122" s="130" t="str" cm="1">
        <f t="array" ref="AA122">HEX2ASCII(AB122)&amp;HEX2ASCII(AC122)&amp;HEX2ASCII(AD122)&amp;HEX2ASCII(AE122)&amp;HEX2ASCII(AF122)&amp;HEX2ASCII(AG122)&amp;HEX2ASCII(AH122)&amp;HEX2ASCII(AI122)</f>
        <v/>
      </c>
      <c r="AB122" s="147"/>
      <c r="AC122" s="148"/>
      <c r="AD122" s="148"/>
      <c r="AE122" s="148"/>
      <c r="AF122" s="148"/>
      <c r="AG122" s="148"/>
      <c r="AH122" s="148"/>
      <c r="AI122" s="149"/>
    </row>
    <row r="123" spans="11:35">
      <c r="K123" s="85"/>
      <c r="L123" s="54" t="str">
        <f t="shared" si="27"/>
        <v/>
      </c>
      <c r="M123" s="38" t="str">
        <f t="shared" si="30"/>
        <v>0173</v>
      </c>
      <c r="N123" s="69">
        <f t="shared" si="29"/>
        <v>371</v>
      </c>
      <c r="O123" s="96"/>
      <c r="P123" s="97"/>
      <c r="Q123" s="98"/>
      <c r="R123" s="135"/>
      <c r="U123" s="48" t="str">
        <f t="shared" si="28"/>
        <v/>
      </c>
      <c r="V123" s="16"/>
      <c r="W123" s="34"/>
      <c r="X123" s="35"/>
      <c r="Z123" s="74"/>
      <c r="AA123" s="130" t="str" cm="1">
        <f t="array" ref="AA123">HEX2ASCII(AB123)&amp;HEX2ASCII(AC123)&amp;HEX2ASCII(AD123)&amp;HEX2ASCII(AE123)&amp;HEX2ASCII(AF123)&amp;HEX2ASCII(AG123)&amp;HEX2ASCII(AH123)&amp;HEX2ASCII(AI123)</f>
        <v/>
      </c>
      <c r="AB123" s="147"/>
      <c r="AC123" s="148"/>
      <c r="AD123" s="148"/>
      <c r="AE123" s="148"/>
      <c r="AF123" s="148"/>
      <c r="AG123" s="148"/>
      <c r="AH123" s="148"/>
      <c r="AI123" s="149"/>
    </row>
    <row r="124" spans="11:35">
      <c r="K124" s="85"/>
      <c r="L124" s="54" t="str">
        <f t="shared" si="27"/>
        <v/>
      </c>
      <c r="M124" s="38" t="str">
        <f t="shared" si="30"/>
        <v>0174</v>
      </c>
      <c r="N124" s="69">
        <f t="shared" si="29"/>
        <v>372</v>
      </c>
      <c r="O124" s="96"/>
      <c r="P124" s="97"/>
      <c r="Q124" s="98"/>
      <c r="R124" s="135"/>
      <c r="U124" s="48" t="str">
        <f t="shared" si="28"/>
        <v/>
      </c>
      <c r="V124" s="16"/>
      <c r="W124" s="34"/>
      <c r="X124" s="35"/>
      <c r="Z124" s="74"/>
      <c r="AA124" s="130" t="str" cm="1">
        <f t="array" ref="AA124">HEX2ASCII(AB124)&amp;HEX2ASCII(AC124)&amp;HEX2ASCII(AD124)&amp;HEX2ASCII(AE124)&amp;HEX2ASCII(AF124)&amp;HEX2ASCII(AG124)&amp;HEX2ASCII(AH124)&amp;HEX2ASCII(AI124)</f>
        <v/>
      </c>
      <c r="AB124" s="147"/>
      <c r="AC124" s="148"/>
      <c r="AD124" s="148"/>
      <c r="AE124" s="148"/>
      <c r="AF124" s="148"/>
      <c r="AG124" s="148"/>
      <c r="AH124" s="148"/>
      <c r="AI124" s="149"/>
    </row>
    <row r="125" spans="11:35">
      <c r="K125" s="85"/>
      <c r="L125" s="54" t="str">
        <f t="shared" si="27"/>
        <v/>
      </c>
      <c r="M125" s="38" t="str">
        <f t="shared" si="30"/>
        <v>0175</v>
      </c>
      <c r="N125" s="69">
        <f t="shared" si="29"/>
        <v>373</v>
      </c>
      <c r="O125" s="96"/>
      <c r="P125" s="97"/>
      <c r="Q125" s="98"/>
      <c r="R125" s="135"/>
      <c r="U125" s="48" t="str">
        <f t="shared" si="28"/>
        <v/>
      </c>
      <c r="V125" s="16"/>
      <c r="W125" s="34"/>
      <c r="X125" s="35"/>
      <c r="Z125" s="74"/>
      <c r="AA125" s="130" t="str" cm="1">
        <f t="array" ref="AA125">HEX2ASCII(AB125)&amp;HEX2ASCII(AC125)&amp;HEX2ASCII(AD125)&amp;HEX2ASCII(AE125)&amp;HEX2ASCII(AF125)&amp;HEX2ASCII(AG125)&amp;HEX2ASCII(AH125)&amp;HEX2ASCII(AI125)</f>
        <v/>
      </c>
      <c r="AB125" s="147"/>
      <c r="AC125" s="148"/>
      <c r="AD125" s="148"/>
      <c r="AE125" s="148"/>
      <c r="AF125" s="148"/>
      <c r="AG125" s="148"/>
      <c r="AH125" s="148"/>
      <c r="AI125" s="149"/>
    </row>
    <row r="126" spans="11:35">
      <c r="K126" s="85"/>
      <c r="L126" s="54" t="str">
        <f t="shared" si="27"/>
        <v/>
      </c>
      <c r="M126" s="38" t="str">
        <f t="shared" si="30"/>
        <v>0176</v>
      </c>
      <c r="N126" s="69">
        <f t="shared" si="29"/>
        <v>374</v>
      </c>
      <c r="O126" s="96"/>
      <c r="P126" s="97"/>
      <c r="Q126" s="98"/>
      <c r="R126" s="135"/>
      <c r="U126" s="48" t="str">
        <f t="shared" si="28"/>
        <v/>
      </c>
      <c r="V126" s="16"/>
      <c r="W126" s="34"/>
      <c r="X126" s="35"/>
      <c r="Z126" s="74"/>
      <c r="AA126" s="130" t="str" cm="1">
        <f t="array" ref="AA126">HEX2ASCII(AB126)&amp;HEX2ASCII(AC126)&amp;HEX2ASCII(AD126)&amp;HEX2ASCII(AE126)&amp;HEX2ASCII(AF126)&amp;HEX2ASCII(AG126)&amp;HEX2ASCII(AH126)&amp;HEX2ASCII(AI126)</f>
        <v/>
      </c>
      <c r="AB126" s="147"/>
      <c r="AC126" s="148"/>
      <c r="AD126" s="148"/>
      <c r="AE126" s="148"/>
      <c r="AF126" s="148"/>
      <c r="AG126" s="148"/>
      <c r="AH126" s="148"/>
      <c r="AI126" s="149"/>
    </row>
    <row r="127" spans="11:35">
      <c r="K127" s="85"/>
      <c r="L127" s="54" t="str">
        <f t="shared" si="27"/>
        <v/>
      </c>
      <c r="M127" s="38" t="str">
        <f t="shared" si="30"/>
        <v>0177</v>
      </c>
      <c r="N127" s="69">
        <f t="shared" si="29"/>
        <v>375</v>
      </c>
      <c r="O127" s="96"/>
      <c r="P127" s="97"/>
      <c r="Q127" s="98"/>
      <c r="R127" s="135"/>
      <c r="U127" s="48" t="str">
        <f t="shared" si="28"/>
        <v/>
      </c>
      <c r="V127" s="16"/>
      <c r="W127" s="34"/>
      <c r="X127" s="35"/>
      <c r="Z127" s="74"/>
      <c r="AA127" s="130" t="str" cm="1">
        <f t="array" ref="AA127">HEX2ASCII(AB127)&amp;HEX2ASCII(AC127)&amp;HEX2ASCII(AD127)&amp;HEX2ASCII(AE127)&amp;HEX2ASCII(AF127)&amp;HEX2ASCII(AG127)&amp;HEX2ASCII(AH127)&amp;HEX2ASCII(AI127)</f>
        <v/>
      </c>
      <c r="AB127" s="147"/>
      <c r="AC127" s="148"/>
      <c r="AD127" s="148"/>
      <c r="AE127" s="148"/>
      <c r="AF127" s="148"/>
      <c r="AG127" s="148"/>
      <c r="AH127" s="148"/>
      <c r="AI127" s="149"/>
    </row>
    <row r="128" spans="11:35">
      <c r="K128" s="85"/>
      <c r="L128" s="54" t="str">
        <f t="shared" si="27"/>
        <v/>
      </c>
      <c r="M128" s="38" t="str">
        <f t="shared" si="30"/>
        <v>0178</v>
      </c>
      <c r="N128" s="69">
        <f t="shared" si="29"/>
        <v>376</v>
      </c>
      <c r="O128" s="96"/>
      <c r="P128" s="97"/>
      <c r="Q128" s="98"/>
      <c r="R128" s="135"/>
      <c r="U128" s="48" t="str">
        <f t="shared" si="28"/>
        <v/>
      </c>
      <c r="V128" s="16"/>
      <c r="W128" s="34"/>
      <c r="X128" s="35"/>
      <c r="Z128" s="74"/>
      <c r="AA128" s="130" t="str" cm="1">
        <f t="array" ref="AA128">HEX2ASCII(AB128)&amp;HEX2ASCII(AC128)&amp;HEX2ASCII(AD128)&amp;HEX2ASCII(AE128)&amp;HEX2ASCII(AF128)&amp;HEX2ASCII(AG128)&amp;HEX2ASCII(AH128)&amp;HEX2ASCII(AI128)</f>
        <v/>
      </c>
      <c r="AB128" s="147"/>
      <c r="AC128" s="148"/>
      <c r="AD128" s="148"/>
      <c r="AE128" s="148"/>
      <c r="AF128" s="148"/>
      <c r="AG128" s="148"/>
      <c r="AH128" s="148"/>
      <c r="AI128" s="149"/>
    </row>
    <row r="129" spans="11:35">
      <c r="K129" s="85"/>
      <c r="L129" s="54" t="str">
        <f t="shared" si="27"/>
        <v/>
      </c>
      <c r="M129" s="38" t="str">
        <f t="shared" si="30"/>
        <v>0179</v>
      </c>
      <c r="N129" s="69">
        <f t="shared" si="29"/>
        <v>377</v>
      </c>
      <c r="O129" s="96"/>
      <c r="P129" s="97"/>
      <c r="Q129" s="98"/>
      <c r="R129" s="135"/>
      <c r="U129" s="48" t="str">
        <f t="shared" si="28"/>
        <v/>
      </c>
      <c r="V129" s="16"/>
      <c r="W129" s="34"/>
      <c r="X129" s="35"/>
      <c r="Z129" s="74"/>
      <c r="AA129" s="130" t="str" cm="1">
        <f t="array" ref="AA129">HEX2ASCII(AB129)&amp;HEX2ASCII(AC129)&amp;HEX2ASCII(AD129)&amp;HEX2ASCII(AE129)&amp;HEX2ASCII(AF129)&amp;HEX2ASCII(AG129)&amp;HEX2ASCII(AH129)&amp;HEX2ASCII(AI129)</f>
        <v/>
      </c>
      <c r="AB129" s="147"/>
      <c r="AC129" s="148"/>
      <c r="AD129" s="148"/>
      <c r="AE129" s="148"/>
      <c r="AF129" s="148"/>
      <c r="AG129" s="148"/>
      <c r="AH129" s="148"/>
      <c r="AI129" s="149"/>
    </row>
    <row r="130" spans="11:35">
      <c r="K130" s="85"/>
      <c r="L130" s="54" t="str">
        <f t="shared" si="27"/>
        <v/>
      </c>
      <c r="M130" s="38" t="str">
        <f t="shared" si="30"/>
        <v>017A</v>
      </c>
      <c r="N130" s="69">
        <f t="shared" si="29"/>
        <v>378</v>
      </c>
      <c r="O130" s="96"/>
      <c r="P130" s="97"/>
      <c r="Q130" s="98"/>
      <c r="R130" s="135"/>
      <c r="U130" s="48" t="str">
        <f t="shared" si="28"/>
        <v/>
      </c>
      <c r="V130" s="16"/>
      <c r="W130" s="34"/>
      <c r="X130" s="35"/>
      <c r="Z130" s="74"/>
      <c r="AA130" s="130" t="str" cm="1">
        <f t="array" ref="AA130">HEX2ASCII(AB130)&amp;HEX2ASCII(AC130)&amp;HEX2ASCII(AD130)&amp;HEX2ASCII(AE130)&amp;HEX2ASCII(AF130)&amp;HEX2ASCII(AG130)&amp;HEX2ASCII(AH130)&amp;HEX2ASCII(AI130)</f>
        <v/>
      </c>
      <c r="AB130" s="147"/>
      <c r="AC130" s="148"/>
      <c r="AD130" s="148"/>
      <c r="AE130" s="148"/>
      <c r="AF130" s="148"/>
      <c r="AG130" s="148"/>
      <c r="AH130" s="148"/>
      <c r="AI130" s="149"/>
    </row>
    <row r="131" spans="11:35">
      <c r="K131" s="85"/>
      <c r="L131" s="54" t="str">
        <f t="shared" si="27"/>
        <v/>
      </c>
      <c r="M131" s="38" t="str">
        <f t="shared" si="30"/>
        <v>017B</v>
      </c>
      <c r="N131" s="69">
        <f t="shared" si="29"/>
        <v>379</v>
      </c>
      <c r="O131" s="96"/>
      <c r="P131" s="97"/>
      <c r="Q131" s="98"/>
      <c r="R131" s="135"/>
      <c r="U131" s="48" t="str">
        <f t="shared" si="28"/>
        <v/>
      </c>
      <c r="V131" s="16"/>
      <c r="W131" s="34"/>
      <c r="X131" s="35"/>
      <c r="Z131" s="74"/>
      <c r="AA131" s="130" t="str" cm="1">
        <f t="array" ref="AA131">HEX2ASCII(AB131)&amp;HEX2ASCII(AC131)&amp;HEX2ASCII(AD131)&amp;HEX2ASCII(AE131)&amp;HEX2ASCII(AF131)&amp;HEX2ASCII(AG131)&amp;HEX2ASCII(AH131)&amp;HEX2ASCII(AI131)</f>
        <v/>
      </c>
      <c r="AB131" s="147"/>
      <c r="AC131" s="148"/>
      <c r="AD131" s="148"/>
      <c r="AE131" s="148"/>
      <c r="AF131" s="148"/>
      <c r="AG131" s="148"/>
      <c r="AH131" s="148"/>
      <c r="AI131" s="149"/>
    </row>
    <row r="132" spans="11:35">
      <c r="K132" s="85"/>
      <c r="L132" s="54" t="str">
        <f t="shared" si="27"/>
        <v/>
      </c>
      <c r="M132" s="38" t="str">
        <f t="shared" si="30"/>
        <v>017C</v>
      </c>
      <c r="N132" s="69">
        <f t="shared" si="29"/>
        <v>380</v>
      </c>
      <c r="O132" s="96"/>
      <c r="P132" s="97"/>
      <c r="Q132" s="98"/>
      <c r="R132" s="135"/>
      <c r="U132" s="48" t="str">
        <f t="shared" si="28"/>
        <v/>
      </c>
      <c r="V132" s="16"/>
      <c r="W132" s="34"/>
      <c r="X132" s="35"/>
      <c r="Z132" s="74"/>
      <c r="AA132" s="130" t="str" cm="1">
        <f t="array" ref="AA132">HEX2ASCII(AB132)&amp;HEX2ASCII(AC132)&amp;HEX2ASCII(AD132)&amp;HEX2ASCII(AE132)&amp;HEX2ASCII(AF132)&amp;HEX2ASCII(AG132)&amp;HEX2ASCII(AH132)&amp;HEX2ASCII(AI132)</f>
        <v/>
      </c>
      <c r="AB132" s="147"/>
      <c r="AC132" s="148"/>
      <c r="AD132" s="148"/>
      <c r="AE132" s="148"/>
      <c r="AF132" s="148"/>
      <c r="AG132" s="148"/>
      <c r="AH132" s="148"/>
      <c r="AI132" s="149"/>
    </row>
    <row r="133" spans="11:35">
      <c r="K133" s="85"/>
      <c r="L133" s="54" t="str">
        <f t="shared" si="27"/>
        <v/>
      </c>
      <c r="M133" s="38" t="str">
        <f t="shared" si="30"/>
        <v>017D</v>
      </c>
      <c r="N133" s="69">
        <f t="shared" si="29"/>
        <v>381</v>
      </c>
      <c r="O133" s="96"/>
      <c r="P133" s="97"/>
      <c r="Q133" s="98"/>
      <c r="R133" s="135"/>
      <c r="U133" s="48" t="str">
        <f t="shared" si="28"/>
        <v/>
      </c>
      <c r="V133" s="16"/>
      <c r="W133" s="34"/>
      <c r="X133" s="35"/>
      <c r="Z133" s="74"/>
      <c r="AA133" s="130" t="str" cm="1">
        <f t="array" ref="AA133">HEX2ASCII(AB133)&amp;HEX2ASCII(AC133)&amp;HEX2ASCII(AD133)&amp;HEX2ASCII(AE133)&amp;HEX2ASCII(AF133)&amp;HEX2ASCII(AG133)&amp;HEX2ASCII(AH133)&amp;HEX2ASCII(AI133)</f>
        <v/>
      </c>
      <c r="AB133" s="147"/>
      <c r="AC133" s="148"/>
      <c r="AD133" s="148"/>
      <c r="AE133" s="148"/>
      <c r="AF133" s="148"/>
      <c r="AG133" s="148"/>
      <c r="AH133" s="148"/>
      <c r="AI133" s="149"/>
    </row>
    <row r="134" spans="11:35">
      <c r="K134" s="85"/>
      <c r="L134" s="54" t="str">
        <f t="shared" si="27"/>
        <v/>
      </c>
      <c r="M134" s="38" t="str">
        <f t="shared" si="30"/>
        <v>017E</v>
      </c>
      <c r="N134" s="69">
        <f t="shared" si="29"/>
        <v>382</v>
      </c>
      <c r="O134" s="96"/>
      <c r="P134" s="97"/>
      <c r="Q134" s="98"/>
      <c r="R134" s="135"/>
      <c r="U134" s="48" t="str">
        <f t="shared" si="28"/>
        <v/>
      </c>
      <c r="V134" s="16"/>
      <c r="W134" s="34"/>
      <c r="X134" s="35"/>
      <c r="Z134" s="74"/>
      <c r="AA134" s="130" t="str" cm="1">
        <f t="array" ref="AA134">HEX2ASCII(AB134)&amp;HEX2ASCII(AC134)&amp;HEX2ASCII(AD134)&amp;HEX2ASCII(AE134)&amp;HEX2ASCII(AF134)&amp;HEX2ASCII(AG134)&amp;HEX2ASCII(AH134)&amp;HEX2ASCII(AI134)</f>
        <v/>
      </c>
      <c r="AB134" s="147"/>
      <c r="AC134" s="148"/>
      <c r="AD134" s="148"/>
      <c r="AE134" s="148"/>
      <c r="AF134" s="148"/>
      <c r="AG134" s="148"/>
      <c r="AH134" s="148"/>
      <c r="AI134" s="149"/>
    </row>
    <row r="135" spans="11:35">
      <c r="K135" s="85"/>
      <c r="L135" s="54" t="str">
        <f t="shared" si="27"/>
        <v/>
      </c>
      <c r="M135" s="38" t="str">
        <f t="shared" si="30"/>
        <v>017F</v>
      </c>
      <c r="N135" s="69">
        <f t="shared" si="29"/>
        <v>383</v>
      </c>
      <c r="O135" s="96"/>
      <c r="P135" s="97"/>
      <c r="Q135" s="98"/>
      <c r="R135" s="135"/>
      <c r="U135" s="48" t="str">
        <f t="shared" si="28"/>
        <v/>
      </c>
      <c r="V135" s="16"/>
      <c r="W135" s="34"/>
      <c r="X135" s="35"/>
      <c r="Z135" s="74"/>
      <c r="AA135" s="130" t="str" cm="1">
        <f t="array" ref="AA135">HEX2ASCII(AB135)&amp;HEX2ASCII(AC135)&amp;HEX2ASCII(AD135)&amp;HEX2ASCII(AE135)&amp;HEX2ASCII(AF135)&amp;HEX2ASCII(AG135)&amp;HEX2ASCII(AH135)&amp;HEX2ASCII(AI135)</f>
        <v/>
      </c>
      <c r="AB135" s="147"/>
      <c r="AC135" s="148"/>
      <c r="AD135" s="148"/>
      <c r="AE135" s="148"/>
      <c r="AF135" s="148"/>
      <c r="AG135" s="148"/>
      <c r="AH135" s="148"/>
      <c r="AI135" s="149"/>
    </row>
    <row r="136" spans="11:35">
      <c r="K136" s="85"/>
      <c r="L136" s="54" t="str">
        <f t="shared" si="27"/>
        <v/>
      </c>
      <c r="M136" s="38" t="str">
        <f t="shared" si="30"/>
        <v>0180</v>
      </c>
      <c r="N136" s="69">
        <f t="shared" si="29"/>
        <v>384</v>
      </c>
      <c r="O136" s="96"/>
      <c r="P136" s="97"/>
      <c r="Q136" s="98"/>
      <c r="R136" s="135"/>
      <c r="U136" s="48" t="str">
        <f t="shared" si="28"/>
        <v/>
      </c>
      <c r="V136" s="16"/>
      <c r="W136" s="34"/>
      <c r="X136" s="35"/>
      <c r="Z136" s="74"/>
      <c r="AA136" s="130" t="str" cm="1">
        <f t="array" ref="AA136">HEX2ASCII(AB136)&amp;HEX2ASCII(AC136)&amp;HEX2ASCII(AD136)&amp;HEX2ASCII(AE136)&amp;HEX2ASCII(AF136)&amp;HEX2ASCII(AG136)&amp;HEX2ASCII(AH136)&amp;HEX2ASCII(AI136)</f>
        <v/>
      </c>
      <c r="AB136" s="147"/>
      <c r="AC136" s="148"/>
      <c r="AD136" s="148"/>
      <c r="AE136" s="148"/>
      <c r="AF136" s="148"/>
      <c r="AG136" s="148"/>
      <c r="AH136" s="148"/>
      <c r="AI136" s="149"/>
    </row>
    <row r="137" spans="11:35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0181</v>
      </c>
      <c r="N137" s="69">
        <f t="shared" si="29"/>
        <v>385</v>
      </c>
      <c r="O137" s="96"/>
      <c r="P137" s="97"/>
      <c r="Q137" s="98"/>
      <c r="R137" s="135"/>
      <c r="U137" s="48" t="str">
        <f t="shared" ref="U137:U200" si="32">IF(V137&gt;0,RIGHT("0000"&amp;DEC2HEX(V137),4),"")</f>
        <v/>
      </c>
      <c r="V137" s="16"/>
      <c r="W137" s="34"/>
      <c r="X137" s="35"/>
      <c r="Z137" s="74"/>
      <c r="AA137" s="130" t="str" cm="1">
        <f t="array" ref="AA137">HEX2ASCII(AB137)&amp;HEX2ASCII(AC137)&amp;HEX2ASCII(AD137)&amp;HEX2ASCII(AE137)&amp;HEX2ASCII(AF137)&amp;HEX2ASCII(AG137)&amp;HEX2ASCII(AH137)&amp;HEX2ASCII(AI137)</f>
        <v/>
      </c>
      <c r="AB137" s="147"/>
      <c r="AC137" s="148"/>
      <c r="AD137" s="148"/>
      <c r="AE137" s="148"/>
      <c r="AF137" s="148"/>
      <c r="AG137" s="148"/>
      <c r="AH137" s="148"/>
      <c r="AI137" s="149"/>
    </row>
    <row r="138" spans="11:35">
      <c r="K138" s="85"/>
      <c r="L138" s="54" t="str">
        <f t="shared" si="31"/>
        <v/>
      </c>
      <c r="M138" s="38" t="str">
        <f t="shared" si="30"/>
        <v>0182</v>
      </c>
      <c r="N138" s="69">
        <f t="shared" ref="N138:N201" si="33">N137+0*COUNTA(P137:R137)+1</f>
        <v>386</v>
      </c>
      <c r="O138" s="96"/>
      <c r="P138" s="97"/>
      <c r="Q138" s="98"/>
      <c r="R138" s="135"/>
      <c r="U138" s="48" t="str">
        <f t="shared" si="32"/>
        <v/>
      </c>
      <c r="V138" s="16"/>
      <c r="W138" s="34"/>
      <c r="X138" s="35"/>
      <c r="Z138" s="74"/>
      <c r="AA138" s="130" t="str" cm="1">
        <f t="array" ref="AA138">HEX2ASCII(AB138)&amp;HEX2ASCII(AC138)&amp;HEX2ASCII(AD138)&amp;HEX2ASCII(AE138)&amp;HEX2ASCII(AF138)&amp;HEX2ASCII(AG138)&amp;HEX2ASCII(AH138)&amp;HEX2ASCII(AI138)</f>
        <v/>
      </c>
      <c r="AB138" s="147"/>
      <c r="AC138" s="148"/>
      <c r="AD138" s="148"/>
      <c r="AE138" s="148"/>
      <c r="AF138" s="148"/>
      <c r="AG138" s="148"/>
      <c r="AH138" s="148"/>
      <c r="AI138" s="149"/>
    </row>
    <row r="139" spans="11:35">
      <c r="K139" s="85"/>
      <c r="L139" s="54" t="str">
        <f t="shared" si="31"/>
        <v/>
      </c>
      <c r="M139" s="38" t="str">
        <f t="shared" si="30"/>
        <v>0183</v>
      </c>
      <c r="N139" s="69">
        <f t="shared" si="33"/>
        <v>387</v>
      </c>
      <c r="O139" s="96"/>
      <c r="P139" s="97"/>
      <c r="Q139" s="98"/>
      <c r="R139" s="135"/>
      <c r="U139" s="48" t="str">
        <f t="shared" si="32"/>
        <v/>
      </c>
      <c r="V139" s="16"/>
      <c r="W139" s="34"/>
      <c r="X139" s="35"/>
      <c r="Z139" s="74"/>
      <c r="AA139" s="130" t="str" cm="1">
        <f t="array" ref="AA139">HEX2ASCII(AB139)&amp;HEX2ASCII(AC139)&amp;HEX2ASCII(AD139)&amp;HEX2ASCII(AE139)&amp;HEX2ASCII(AF139)&amp;HEX2ASCII(AG139)&amp;HEX2ASCII(AH139)&amp;HEX2ASCII(AI139)</f>
        <v/>
      </c>
      <c r="AB139" s="147"/>
      <c r="AC139" s="148"/>
      <c r="AD139" s="148"/>
      <c r="AE139" s="148"/>
      <c r="AF139" s="148"/>
      <c r="AG139" s="148"/>
      <c r="AH139" s="148"/>
      <c r="AI139" s="149"/>
    </row>
    <row r="140" spans="11:35">
      <c r="K140" s="85"/>
      <c r="L140" s="54" t="str">
        <f t="shared" si="31"/>
        <v/>
      </c>
      <c r="M140" s="38" t="str">
        <f t="shared" si="30"/>
        <v>0184</v>
      </c>
      <c r="N140" s="69">
        <f t="shared" si="33"/>
        <v>388</v>
      </c>
      <c r="O140" s="96"/>
      <c r="P140" s="97"/>
      <c r="Q140" s="98"/>
      <c r="R140" s="135"/>
      <c r="U140" s="48" t="str">
        <f t="shared" si="32"/>
        <v/>
      </c>
      <c r="V140" s="16"/>
      <c r="W140" s="34"/>
      <c r="X140" s="35"/>
      <c r="Z140" s="74"/>
      <c r="AA140" s="130" t="str" cm="1">
        <f t="array" ref="AA140">HEX2ASCII(AB140)&amp;HEX2ASCII(AC140)&amp;HEX2ASCII(AD140)&amp;HEX2ASCII(AE140)&amp;HEX2ASCII(AF140)&amp;HEX2ASCII(AG140)&amp;HEX2ASCII(AH140)&amp;HEX2ASCII(AI140)</f>
        <v/>
      </c>
      <c r="AB140" s="147"/>
      <c r="AC140" s="148"/>
      <c r="AD140" s="148"/>
      <c r="AE140" s="148"/>
      <c r="AF140" s="148"/>
      <c r="AG140" s="148"/>
      <c r="AH140" s="148"/>
      <c r="AI140" s="149"/>
    </row>
    <row r="141" spans="11:35">
      <c r="K141" s="85"/>
      <c r="L141" s="54" t="str">
        <f t="shared" si="31"/>
        <v/>
      </c>
      <c r="M141" s="38" t="str">
        <f t="shared" si="30"/>
        <v>0185</v>
      </c>
      <c r="N141" s="69">
        <f t="shared" si="33"/>
        <v>389</v>
      </c>
      <c r="O141" s="96"/>
      <c r="P141" s="97"/>
      <c r="Q141" s="98"/>
      <c r="R141" s="135"/>
      <c r="U141" s="48" t="str">
        <f t="shared" si="32"/>
        <v/>
      </c>
      <c r="V141" s="16"/>
      <c r="W141" s="34"/>
      <c r="X141" s="35"/>
      <c r="Z141" s="74"/>
      <c r="AA141" s="130" t="str" cm="1">
        <f t="array" ref="AA141">HEX2ASCII(AB141)&amp;HEX2ASCII(AC141)&amp;HEX2ASCII(AD141)&amp;HEX2ASCII(AE141)&amp;HEX2ASCII(AF141)&amp;HEX2ASCII(AG141)&amp;HEX2ASCII(AH141)&amp;HEX2ASCII(AI141)</f>
        <v/>
      </c>
      <c r="AB141" s="147"/>
      <c r="AC141" s="148"/>
      <c r="AD141" s="148"/>
      <c r="AE141" s="148"/>
      <c r="AF141" s="148"/>
      <c r="AG141" s="148"/>
      <c r="AH141" s="148"/>
      <c r="AI141" s="149"/>
    </row>
    <row r="142" spans="11:35">
      <c r="K142" s="85"/>
      <c r="L142" s="54" t="str">
        <f t="shared" si="31"/>
        <v/>
      </c>
      <c r="M142" s="38" t="str">
        <f t="shared" si="30"/>
        <v>0186</v>
      </c>
      <c r="N142" s="69">
        <f t="shared" si="33"/>
        <v>390</v>
      </c>
      <c r="O142" s="96"/>
      <c r="P142" s="97"/>
      <c r="Q142" s="98"/>
      <c r="R142" s="135"/>
      <c r="U142" s="48" t="str">
        <f t="shared" si="32"/>
        <v/>
      </c>
      <c r="V142" s="16"/>
      <c r="W142" s="34"/>
      <c r="X142" s="35"/>
      <c r="Z142" s="74"/>
      <c r="AA142" s="130" t="str" cm="1">
        <f t="array" ref="AA142">HEX2ASCII(AB142)&amp;HEX2ASCII(AC142)&amp;HEX2ASCII(AD142)&amp;HEX2ASCII(AE142)&amp;HEX2ASCII(AF142)&amp;HEX2ASCII(AG142)&amp;HEX2ASCII(AH142)&amp;HEX2ASCII(AI142)</f>
        <v/>
      </c>
      <c r="AB142" s="147"/>
      <c r="AC142" s="148"/>
      <c r="AD142" s="148"/>
      <c r="AE142" s="148"/>
      <c r="AF142" s="148"/>
      <c r="AG142" s="148"/>
      <c r="AH142" s="148"/>
      <c r="AI142" s="149"/>
    </row>
    <row r="143" spans="11:35">
      <c r="K143" s="85"/>
      <c r="L143" s="54" t="str">
        <f t="shared" si="31"/>
        <v/>
      </c>
      <c r="M143" s="38" t="str">
        <f t="shared" si="30"/>
        <v>0187</v>
      </c>
      <c r="N143" s="69">
        <f t="shared" si="33"/>
        <v>391</v>
      </c>
      <c r="O143" s="96"/>
      <c r="P143" s="97"/>
      <c r="Q143" s="98"/>
      <c r="R143" s="135"/>
      <c r="U143" s="48" t="str">
        <f t="shared" si="32"/>
        <v/>
      </c>
      <c r="V143" s="16"/>
      <c r="W143" s="34"/>
      <c r="X143" s="35"/>
      <c r="Z143" s="74"/>
      <c r="AA143" s="130" t="str" cm="1">
        <f t="array" ref="AA143">HEX2ASCII(AB143)&amp;HEX2ASCII(AC143)&amp;HEX2ASCII(AD143)&amp;HEX2ASCII(AE143)&amp;HEX2ASCII(AF143)&amp;HEX2ASCII(AG143)&amp;HEX2ASCII(AH143)&amp;HEX2ASCII(AI143)</f>
        <v/>
      </c>
      <c r="AB143" s="147"/>
      <c r="AC143" s="148"/>
      <c r="AD143" s="148"/>
      <c r="AE143" s="148"/>
      <c r="AF143" s="148"/>
      <c r="AG143" s="148"/>
      <c r="AH143" s="148"/>
      <c r="AI143" s="149"/>
    </row>
    <row r="144" spans="11:35">
      <c r="K144" s="85"/>
      <c r="L144" s="54" t="str">
        <f t="shared" si="31"/>
        <v/>
      </c>
      <c r="M144" s="38" t="str">
        <f t="shared" si="30"/>
        <v>0188</v>
      </c>
      <c r="N144" s="69">
        <f t="shared" si="33"/>
        <v>392</v>
      </c>
      <c r="O144" s="96"/>
      <c r="P144" s="97"/>
      <c r="Q144" s="98"/>
      <c r="R144" s="135"/>
      <c r="U144" s="48" t="str">
        <f t="shared" si="32"/>
        <v/>
      </c>
      <c r="V144" s="16"/>
      <c r="W144" s="34"/>
      <c r="X144" s="35"/>
      <c r="Z144" s="74"/>
      <c r="AA144" s="130" t="str" cm="1">
        <f t="array" ref="AA144">HEX2ASCII(AB144)&amp;HEX2ASCII(AC144)&amp;HEX2ASCII(AD144)&amp;HEX2ASCII(AE144)&amp;HEX2ASCII(AF144)&amp;HEX2ASCII(AG144)&amp;HEX2ASCII(AH144)&amp;HEX2ASCII(AI144)</f>
        <v/>
      </c>
      <c r="AB144" s="147"/>
      <c r="AC144" s="148"/>
      <c r="AD144" s="148"/>
      <c r="AE144" s="148"/>
      <c r="AF144" s="148"/>
      <c r="AG144" s="148"/>
      <c r="AH144" s="148"/>
      <c r="AI144" s="149"/>
    </row>
    <row r="145" spans="11:35">
      <c r="K145" s="85"/>
      <c r="L145" s="54" t="str">
        <f t="shared" si="31"/>
        <v/>
      </c>
      <c r="M145" s="38" t="str">
        <f t="shared" si="30"/>
        <v>0189</v>
      </c>
      <c r="N145" s="69">
        <f t="shared" si="33"/>
        <v>393</v>
      </c>
      <c r="O145" s="96"/>
      <c r="P145" s="97"/>
      <c r="Q145" s="98"/>
      <c r="R145" s="135"/>
      <c r="U145" s="48" t="str">
        <f t="shared" si="32"/>
        <v/>
      </c>
      <c r="V145" s="16"/>
      <c r="W145" s="34"/>
      <c r="X145" s="35"/>
      <c r="Z145" s="74"/>
      <c r="AA145" s="130" t="str" cm="1">
        <f t="array" ref="AA145">HEX2ASCII(AB145)&amp;HEX2ASCII(AC145)&amp;HEX2ASCII(AD145)&amp;HEX2ASCII(AE145)&amp;HEX2ASCII(AF145)&amp;HEX2ASCII(AG145)&amp;HEX2ASCII(AH145)&amp;HEX2ASCII(AI145)</f>
        <v/>
      </c>
      <c r="AB145" s="147"/>
      <c r="AC145" s="148"/>
      <c r="AD145" s="148"/>
      <c r="AE145" s="148"/>
      <c r="AF145" s="148"/>
      <c r="AG145" s="148"/>
      <c r="AH145" s="148"/>
      <c r="AI145" s="149"/>
    </row>
    <row r="146" spans="11:35">
      <c r="K146" s="85"/>
      <c r="L146" s="54" t="str">
        <f t="shared" si="31"/>
        <v/>
      </c>
      <c r="M146" s="38" t="str">
        <f t="shared" si="30"/>
        <v>018A</v>
      </c>
      <c r="N146" s="69">
        <f t="shared" si="33"/>
        <v>394</v>
      </c>
      <c r="O146" s="96"/>
      <c r="P146" s="97"/>
      <c r="Q146" s="98"/>
      <c r="R146" s="135"/>
      <c r="U146" s="48" t="str">
        <f t="shared" si="32"/>
        <v/>
      </c>
      <c r="V146" s="16"/>
      <c r="W146" s="34"/>
      <c r="X146" s="35"/>
      <c r="Z146" s="74"/>
      <c r="AA146" s="130" t="str" cm="1">
        <f t="array" ref="AA146">HEX2ASCII(AB146)&amp;HEX2ASCII(AC146)&amp;HEX2ASCII(AD146)&amp;HEX2ASCII(AE146)&amp;HEX2ASCII(AF146)&amp;HEX2ASCII(AG146)&amp;HEX2ASCII(AH146)&amp;HEX2ASCII(AI146)</f>
        <v/>
      </c>
      <c r="AB146" s="147"/>
      <c r="AC146" s="148"/>
      <c r="AD146" s="148"/>
      <c r="AE146" s="148"/>
      <c r="AF146" s="148"/>
      <c r="AG146" s="148"/>
      <c r="AH146" s="148"/>
      <c r="AI146" s="149"/>
    </row>
    <row r="147" spans="11:35">
      <c r="K147" s="85"/>
      <c r="L147" s="54" t="str">
        <f t="shared" si="31"/>
        <v/>
      </c>
      <c r="M147" s="38" t="str">
        <f t="shared" si="30"/>
        <v>018B</v>
      </c>
      <c r="N147" s="69">
        <f t="shared" si="33"/>
        <v>395</v>
      </c>
      <c r="O147" s="96"/>
      <c r="P147" s="97"/>
      <c r="Q147" s="98"/>
      <c r="R147" s="135"/>
      <c r="U147" s="48" t="str">
        <f t="shared" si="32"/>
        <v/>
      </c>
      <c r="V147" s="16"/>
      <c r="W147" s="34"/>
      <c r="X147" s="35"/>
      <c r="Z147" s="74"/>
      <c r="AA147" s="130" t="str" cm="1">
        <f t="array" ref="AA147">HEX2ASCII(AB147)&amp;HEX2ASCII(AC147)&amp;HEX2ASCII(AD147)&amp;HEX2ASCII(AE147)&amp;HEX2ASCII(AF147)&amp;HEX2ASCII(AG147)&amp;HEX2ASCII(AH147)&amp;HEX2ASCII(AI147)</f>
        <v/>
      </c>
      <c r="AB147" s="147"/>
      <c r="AC147" s="148"/>
      <c r="AD147" s="148"/>
      <c r="AE147" s="148"/>
      <c r="AF147" s="148"/>
      <c r="AG147" s="148"/>
      <c r="AH147" s="148"/>
      <c r="AI147" s="149"/>
    </row>
    <row r="148" spans="11:35">
      <c r="K148" s="85"/>
      <c r="L148" s="54" t="str">
        <f t="shared" si="31"/>
        <v/>
      </c>
      <c r="M148" s="38" t="str">
        <f t="shared" si="30"/>
        <v>018C</v>
      </c>
      <c r="N148" s="69">
        <f t="shared" si="33"/>
        <v>396</v>
      </c>
      <c r="O148" s="96"/>
      <c r="P148" s="97"/>
      <c r="Q148" s="98"/>
      <c r="R148" s="135"/>
      <c r="U148" s="48" t="str">
        <f t="shared" si="32"/>
        <v/>
      </c>
      <c r="V148" s="16"/>
      <c r="W148" s="34"/>
      <c r="X148" s="35"/>
      <c r="Z148" s="74"/>
      <c r="AA148" s="130" t="str" cm="1">
        <f t="array" ref="AA148">HEX2ASCII(AB148)&amp;HEX2ASCII(AC148)&amp;HEX2ASCII(AD148)&amp;HEX2ASCII(AE148)&amp;HEX2ASCII(AF148)&amp;HEX2ASCII(AG148)&amp;HEX2ASCII(AH148)&amp;HEX2ASCII(AI148)</f>
        <v/>
      </c>
      <c r="AB148" s="147"/>
      <c r="AC148" s="148"/>
      <c r="AD148" s="148"/>
      <c r="AE148" s="148"/>
      <c r="AF148" s="148"/>
      <c r="AG148" s="148"/>
      <c r="AH148" s="148"/>
      <c r="AI148" s="149"/>
    </row>
    <row r="149" spans="11:35">
      <c r="K149" s="85"/>
      <c r="L149" s="54" t="str">
        <f t="shared" si="31"/>
        <v/>
      </c>
      <c r="M149" s="38" t="str">
        <f t="shared" si="30"/>
        <v>018D</v>
      </c>
      <c r="N149" s="69">
        <f t="shared" si="33"/>
        <v>397</v>
      </c>
      <c r="O149" s="96"/>
      <c r="P149" s="97"/>
      <c r="Q149" s="98"/>
      <c r="R149" s="135"/>
      <c r="U149" s="48" t="str">
        <f t="shared" si="32"/>
        <v/>
      </c>
      <c r="V149" s="16"/>
      <c r="W149" s="34"/>
      <c r="X149" s="35"/>
      <c r="Z149" s="74"/>
      <c r="AA149" s="130" t="str" cm="1">
        <f t="array" ref="AA149">HEX2ASCII(AB149)&amp;HEX2ASCII(AC149)&amp;HEX2ASCII(AD149)&amp;HEX2ASCII(AE149)&amp;HEX2ASCII(AF149)&amp;HEX2ASCII(AG149)&amp;HEX2ASCII(AH149)&amp;HEX2ASCII(AI149)</f>
        <v/>
      </c>
      <c r="AB149" s="147"/>
      <c r="AC149" s="148"/>
      <c r="AD149" s="148"/>
      <c r="AE149" s="148"/>
      <c r="AF149" s="148"/>
      <c r="AG149" s="148"/>
      <c r="AH149" s="148"/>
      <c r="AI149" s="149"/>
    </row>
    <row r="150" spans="11:35">
      <c r="K150" s="85"/>
      <c r="L150" s="54" t="str">
        <f t="shared" si="31"/>
        <v/>
      </c>
      <c r="M150" s="38" t="str">
        <f t="shared" si="30"/>
        <v>018E</v>
      </c>
      <c r="N150" s="69">
        <f t="shared" si="33"/>
        <v>398</v>
      </c>
      <c r="O150" s="96"/>
      <c r="P150" s="97"/>
      <c r="Q150" s="98"/>
      <c r="R150" s="135"/>
      <c r="U150" s="48" t="str">
        <f t="shared" si="32"/>
        <v/>
      </c>
      <c r="V150" s="16"/>
      <c r="W150" s="34"/>
      <c r="X150" s="35"/>
      <c r="Z150" s="74"/>
      <c r="AA150" s="130" t="str" cm="1">
        <f t="array" ref="AA150">HEX2ASCII(AB150)&amp;HEX2ASCII(AC150)&amp;HEX2ASCII(AD150)&amp;HEX2ASCII(AE150)&amp;HEX2ASCII(AF150)&amp;HEX2ASCII(AG150)&amp;HEX2ASCII(AH150)&amp;HEX2ASCII(AI150)</f>
        <v/>
      </c>
      <c r="AB150" s="147"/>
      <c r="AC150" s="148"/>
      <c r="AD150" s="148"/>
      <c r="AE150" s="148"/>
      <c r="AF150" s="148"/>
      <c r="AG150" s="148"/>
      <c r="AH150" s="148"/>
      <c r="AI150" s="149"/>
    </row>
    <row r="151" spans="11:35">
      <c r="K151" s="85"/>
      <c r="L151" s="54" t="str">
        <f t="shared" si="31"/>
        <v/>
      </c>
      <c r="M151" s="38" t="str">
        <f t="shared" si="30"/>
        <v>018F</v>
      </c>
      <c r="N151" s="69">
        <f t="shared" si="33"/>
        <v>399</v>
      </c>
      <c r="O151" s="96"/>
      <c r="P151" s="97"/>
      <c r="Q151" s="98"/>
      <c r="R151" s="135"/>
      <c r="U151" s="48" t="str">
        <f t="shared" si="32"/>
        <v/>
      </c>
      <c r="V151" s="16"/>
      <c r="W151" s="34"/>
      <c r="X151" s="35"/>
      <c r="Z151" s="74"/>
      <c r="AA151" s="130" t="str" cm="1">
        <f t="array" ref="AA151">HEX2ASCII(AB151)&amp;HEX2ASCII(AC151)&amp;HEX2ASCII(AD151)&amp;HEX2ASCII(AE151)&amp;HEX2ASCII(AF151)&amp;HEX2ASCII(AG151)&amp;HEX2ASCII(AH151)&amp;HEX2ASCII(AI151)</f>
        <v/>
      </c>
      <c r="AB151" s="147"/>
      <c r="AC151" s="148"/>
      <c r="AD151" s="148"/>
      <c r="AE151" s="148"/>
      <c r="AF151" s="148"/>
      <c r="AG151" s="148"/>
      <c r="AH151" s="148"/>
      <c r="AI151" s="149"/>
    </row>
    <row r="152" spans="11:35">
      <c r="K152" s="85"/>
      <c r="L152" s="54" t="str">
        <f t="shared" si="31"/>
        <v/>
      </c>
      <c r="M152" s="38" t="str">
        <f t="shared" si="30"/>
        <v>0190</v>
      </c>
      <c r="N152" s="69">
        <f t="shared" si="33"/>
        <v>400</v>
      </c>
      <c r="O152" s="96"/>
      <c r="P152" s="97"/>
      <c r="Q152" s="98"/>
      <c r="R152" s="135"/>
      <c r="U152" s="48" t="str">
        <f t="shared" si="32"/>
        <v/>
      </c>
      <c r="V152" s="16"/>
      <c r="W152" s="34"/>
      <c r="X152" s="35"/>
      <c r="Z152" s="74"/>
      <c r="AA152" s="130" t="str" cm="1">
        <f t="array" ref="AA152">HEX2ASCII(AB152)&amp;HEX2ASCII(AC152)&amp;HEX2ASCII(AD152)&amp;HEX2ASCII(AE152)&amp;HEX2ASCII(AF152)&amp;HEX2ASCII(AG152)&amp;HEX2ASCII(AH152)&amp;HEX2ASCII(AI152)</f>
        <v/>
      </c>
      <c r="AB152" s="147"/>
      <c r="AC152" s="148"/>
      <c r="AD152" s="148"/>
      <c r="AE152" s="148"/>
      <c r="AF152" s="148"/>
      <c r="AG152" s="148"/>
      <c r="AH152" s="148"/>
      <c r="AI152" s="149"/>
    </row>
    <row r="153" spans="11:35">
      <c r="K153" s="85"/>
      <c r="L153" s="54" t="str">
        <f t="shared" si="31"/>
        <v/>
      </c>
      <c r="M153" s="38" t="str">
        <f t="shared" si="30"/>
        <v>0191</v>
      </c>
      <c r="N153" s="69">
        <f t="shared" si="33"/>
        <v>401</v>
      </c>
      <c r="O153" s="96"/>
      <c r="P153" s="97"/>
      <c r="Q153" s="98"/>
      <c r="R153" s="135"/>
      <c r="U153" s="48" t="str">
        <f t="shared" si="32"/>
        <v/>
      </c>
      <c r="V153" s="16"/>
      <c r="W153" s="34"/>
      <c r="X153" s="35"/>
      <c r="Z153" s="74"/>
      <c r="AA153" s="130" t="str" cm="1">
        <f t="array" ref="AA153">HEX2ASCII(AB153)&amp;HEX2ASCII(AC153)&amp;HEX2ASCII(AD153)&amp;HEX2ASCII(AE153)&amp;HEX2ASCII(AF153)&amp;HEX2ASCII(AG153)&amp;HEX2ASCII(AH153)&amp;HEX2ASCII(AI153)</f>
        <v/>
      </c>
      <c r="AB153" s="147"/>
      <c r="AC153" s="148"/>
      <c r="AD153" s="148"/>
      <c r="AE153" s="148"/>
      <c r="AF153" s="148"/>
      <c r="AG153" s="148"/>
      <c r="AH153" s="148"/>
      <c r="AI153" s="149"/>
    </row>
    <row r="154" spans="11:35">
      <c r="K154" s="85"/>
      <c r="L154" s="54" t="str">
        <f t="shared" si="31"/>
        <v/>
      </c>
      <c r="M154" s="38" t="str">
        <f t="shared" si="30"/>
        <v>0192</v>
      </c>
      <c r="N154" s="69">
        <f t="shared" si="33"/>
        <v>402</v>
      </c>
      <c r="O154" s="96"/>
      <c r="P154" s="97"/>
      <c r="Q154" s="98"/>
      <c r="R154" s="135"/>
      <c r="U154" s="48" t="str">
        <f t="shared" si="32"/>
        <v/>
      </c>
      <c r="V154" s="16"/>
      <c r="W154" s="34"/>
      <c r="X154" s="35"/>
      <c r="Z154" s="74"/>
      <c r="AA154" s="130" t="str" cm="1">
        <f t="array" ref="AA154">HEX2ASCII(AB154)&amp;HEX2ASCII(AC154)&amp;HEX2ASCII(AD154)&amp;HEX2ASCII(AE154)&amp;HEX2ASCII(AF154)&amp;HEX2ASCII(AG154)&amp;HEX2ASCII(AH154)&amp;HEX2ASCII(AI154)</f>
        <v/>
      </c>
      <c r="AB154" s="147"/>
      <c r="AC154" s="148"/>
      <c r="AD154" s="148"/>
      <c r="AE154" s="148"/>
      <c r="AF154" s="148"/>
      <c r="AG154" s="148"/>
      <c r="AH154" s="148"/>
      <c r="AI154" s="149"/>
    </row>
    <row r="155" spans="11:35">
      <c r="K155" s="85"/>
      <c r="L155" s="54" t="str">
        <f t="shared" si="31"/>
        <v/>
      </c>
      <c r="M155" s="38" t="str">
        <f t="shared" si="30"/>
        <v>0193</v>
      </c>
      <c r="N155" s="69">
        <f t="shared" si="33"/>
        <v>403</v>
      </c>
      <c r="O155" s="96"/>
      <c r="P155" s="97"/>
      <c r="Q155" s="98"/>
      <c r="R155" s="135"/>
      <c r="U155" s="48" t="str">
        <f t="shared" si="32"/>
        <v/>
      </c>
      <c r="V155" s="16"/>
      <c r="W155" s="34"/>
      <c r="X155" s="35"/>
      <c r="Z155" s="74"/>
      <c r="AA155" s="130" t="str" cm="1">
        <f t="array" ref="AA155">HEX2ASCII(AB155)&amp;HEX2ASCII(AC155)&amp;HEX2ASCII(AD155)&amp;HEX2ASCII(AE155)&amp;HEX2ASCII(AF155)&amp;HEX2ASCII(AG155)&amp;HEX2ASCII(AH155)&amp;HEX2ASCII(AI155)</f>
        <v/>
      </c>
      <c r="AB155" s="147"/>
      <c r="AC155" s="148"/>
      <c r="AD155" s="148"/>
      <c r="AE155" s="148"/>
      <c r="AF155" s="148"/>
      <c r="AG155" s="148"/>
      <c r="AH155" s="148"/>
      <c r="AI155" s="149"/>
    </row>
    <row r="156" spans="11:35">
      <c r="K156" s="85"/>
      <c r="L156" s="54" t="str">
        <f t="shared" si="31"/>
        <v/>
      </c>
      <c r="M156" s="38" t="str">
        <f t="shared" si="30"/>
        <v>0194</v>
      </c>
      <c r="N156" s="69">
        <f t="shared" si="33"/>
        <v>404</v>
      </c>
      <c r="O156" s="96"/>
      <c r="P156" s="97"/>
      <c r="Q156" s="98"/>
      <c r="R156" s="135"/>
      <c r="U156" s="48" t="str">
        <f t="shared" si="32"/>
        <v/>
      </c>
      <c r="V156" s="16"/>
      <c r="W156" s="34"/>
      <c r="X156" s="35"/>
      <c r="Z156" s="74"/>
      <c r="AA156" s="130" t="str" cm="1">
        <f t="array" ref="AA156">HEX2ASCII(AB156)&amp;HEX2ASCII(AC156)&amp;HEX2ASCII(AD156)&amp;HEX2ASCII(AE156)&amp;HEX2ASCII(AF156)&amp;HEX2ASCII(AG156)&amp;HEX2ASCII(AH156)&amp;HEX2ASCII(AI156)</f>
        <v/>
      </c>
      <c r="AB156" s="147"/>
      <c r="AC156" s="148"/>
      <c r="AD156" s="148"/>
      <c r="AE156" s="148"/>
      <c r="AF156" s="148"/>
      <c r="AG156" s="148"/>
      <c r="AH156" s="148"/>
      <c r="AI156" s="149"/>
    </row>
    <row r="157" spans="11:35">
      <c r="K157" s="85"/>
      <c r="L157" s="54" t="str">
        <f t="shared" si="31"/>
        <v/>
      </c>
      <c r="M157" s="38" t="str">
        <f t="shared" ref="M157:M220" si="34">IFERROR(RIGHT("0000"&amp;DEC2HEX(N157),4),"")</f>
        <v>0195</v>
      </c>
      <c r="N157" s="69">
        <f t="shared" si="33"/>
        <v>405</v>
      </c>
      <c r="O157" s="96"/>
      <c r="P157" s="97"/>
      <c r="Q157" s="98"/>
      <c r="R157" s="135"/>
      <c r="U157" s="48" t="str">
        <f t="shared" si="32"/>
        <v/>
      </c>
      <c r="V157" s="16"/>
      <c r="W157" s="34"/>
      <c r="X157" s="35"/>
      <c r="Z157" s="74"/>
      <c r="AA157" s="130" t="str" cm="1">
        <f t="array" ref="AA157">HEX2ASCII(AB157)&amp;HEX2ASCII(AC157)&amp;HEX2ASCII(AD157)&amp;HEX2ASCII(AE157)&amp;HEX2ASCII(AF157)&amp;HEX2ASCII(AG157)&amp;HEX2ASCII(AH157)&amp;HEX2ASCII(AI157)</f>
        <v/>
      </c>
      <c r="AB157" s="147"/>
      <c r="AC157" s="148"/>
      <c r="AD157" s="148"/>
      <c r="AE157" s="148"/>
      <c r="AF157" s="148"/>
      <c r="AG157" s="148"/>
      <c r="AH157" s="148"/>
      <c r="AI157" s="149"/>
    </row>
    <row r="158" spans="11:35">
      <c r="K158" s="85"/>
      <c r="L158" s="54" t="str">
        <f t="shared" si="31"/>
        <v/>
      </c>
      <c r="M158" s="38" t="str">
        <f t="shared" si="34"/>
        <v>0196</v>
      </c>
      <c r="N158" s="69">
        <f t="shared" si="33"/>
        <v>406</v>
      </c>
      <c r="O158" s="96"/>
      <c r="P158" s="97"/>
      <c r="Q158" s="98"/>
      <c r="R158" s="135"/>
      <c r="U158" s="48" t="str">
        <f t="shared" si="32"/>
        <v/>
      </c>
      <c r="V158" s="16"/>
      <c r="W158" s="34"/>
      <c r="X158" s="35"/>
      <c r="Z158" s="74"/>
      <c r="AA158" s="130" t="str" cm="1">
        <f t="array" ref="AA158">HEX2ASCII(AB158)&amp;HEX2ASCII(AC158)&amp;HEX2ASCII(AD158)&amp;HEX2ASCII(AE158)&amp;HEX2ASCII(AF158)&amp;HEX2ASCII(AG158)&amp;HEX2ASCII(AH158)&amp;HEX2ASCII(AI158)</f>
        <v/>
      </c>
      <c r="AB158" s="147"/>
      <c r="AC158" s="148"/>
      <c r="AD158" s="148"/>
      <c r="AE158" s="148"/>
      <c r="AF158" s="148"/>
      <c r="AG158" s="148"/>
      <c r="AH158" s="148"/>
      <c r="AI158" s="149"/>
    </row>
    <row r="159" spans="11:35">
      <c r="K159" s="85"/>
      <c r="L159" s="54" t="str">
        <f t="shared" si="31"/>
        <v/>
      </c>
      <c r="M159" s="38" t="str">
        <f t="shared" si="34"/>
        <v>0197</v>
      </c>
      <c r="N159" s="69">
        <f t="shared" si="33"/>
        <v>407</v>
      </c>
      <c r="O159" s="96"/>
      <c r="P159" s="97"/>
      <c r="Q159" s="98"/>
      <c r="R159" s="135"/>
      <c r="U159" s="48" t="str">
        <f t="shared" si="32"/>
        <v/>
      </c>
      <c r="V159" s="16"/>
      <c r="W159" s="34"/>
      <c r="X159" s="35"/>
      <c r="Z159" s="74"/>
      <c r="AA159" s="130" t="str" cm="1">
        <f t="array" ref="AA159">HEX2ASCII(AB159)&amp;HEX2ASCII(AC159)&amp;HEX2ASCII(AD159)&amp;HEX2ASCII(AE159)&amp;HEX2ASCII(AF159)&amp;HEX2ASCII(AG159)&amp;HEX2ASCII(AH159)&amp;HEX2ASCII(AI159)</f>
        <v/>
      </c>
      <c r="AB159" s="147"/>
      <c r="AC159" s="148"/>
      <c r="AD159" s="148"/>
      <c r="AE159" s="148"/>
      <c r="AF159" s="148"/>
      <c r="AG159" s="148"/>
      <c r="AH159" s="148"/>
      <c r="AI159" s="149"/>
    </row>
    <row r="160" spans="11:35">
      <c r="K160" s="85"/>
      <c r="L160" s="54" t="str">
        <f t="shared" si="31"/>
        <v/>
      </c>
      <c r="M160" s="38" t="str">
        <f t="shared" si="34"/>
        <v>0198</v>
      </c>
      <c r="N160" s="69">
        <f t="shared" si="33"/>
        <v>408</v>
      </c>
      <c r="O160" s="96"/>
      <c r="P160" s="97"/>
      <c r="Q160" s="98"/>
      <c r="R160" s="135"/>
      <c r="U160" s="48" t="str">
        <f t="shared" si="32"/>
        <v/>
      </c>
      <c r="V160" s="16"/>
      <c r="W160" s="34"/>
      <c r="X160" s="35"/>
      <c r="Z160" s="74"/>
      <c r="AA160" s="130" t="str" cm="1">
        <f t="array" ref="AA160">HEX2ASCII(AB160)&amp;HEX2ASCII(AC160)&amp;HEX2ASCII(AD160)&amp;HEX2ASCII(AE160)&amp;HEX2ASCII(AF160)&amp;HEX2ASCII(AG160)&amp;HEX2ASCII(AH160)&amp;HEX2ASCII(AI160)</f>
        <v/>
      </c>
      <c r="AB160" s="147"/>
      <c r="AC160" s="148"/>
      <c r="AD160" s="148"/>
      <c r="AE160" s="148"/>
      <c r="AF160" s="148"/>
      <c r="AG160" s="148"/>
      <c r="AH160" s="148"/>
      <c r="AI160" s="149"/>
    </row>
    <row r="161" spans="11:35">
      <c r="K161" s="85"/>
      <c r="L161" s="54" t="str">
        <f t="shared" si="31"/>
        <v/>
      </c>
      <c r="M161" s="38" t="str">
        <f t="shared" si="34"/>
        <v>0199</v>
      </c>
      <c r="N161" s="69">
        <f t="shared" si="33"/>
        <v>409</v>
      </c>
      <c r="O161" s="96"/>
      <c r="P161" s="97"/>
      <c r="Q161" s="98"/>
      <c r="R161" s="135"/>
      <c r="U161" s="48" t="str">
        <f t="shared" si="32"/>
        <v/>
      </c>
      <c r="V161" s="16"/>
      <c r="W161" s="34"/>
      <c r="X161" s="35"/>
      <c r="Z161" s="74"/>
      <c r="AA161" s="130" t="str" cm="1">
        <f t="array" ref="AA161">HEX2ASCII(AB161)&amp;HEX2ASCII(AC161)&amp;HEX2ASCII(AD161)&amp;HEX2ASCII(AE161)&amp;HEX2ASCII(AF161)&amp;HEX2ASCII(AG161)&amp;HEX2ASCII(AH161)&amp;HEX2ASCII(AI161)</f>
        <v/>
      </c>
      <c r="AB161" s="147"/>
      <c r="AC161" s="148"/>
      <c r="AD161" s="148"/>
      <c r="AE161" s="148"/>
      <c r="AF161" s="148"/>
      <c r="AG161" s="148"/>
      <c r="AH161" s="148"/>
      <c r="AI161" s="149"/>
    </row>
    <row r="162" spans="11:35">
      <c r="K162" s="85"/>
      <c r="L162" s="54" t="str">
        <f t="shared" si="31"/>
        <v/>
      </c>
      <c r="M162" s="38" t="str">
        <f t="shared" si="34"/>
        <v>019A</v>
      </c>
      <c r="N162" s="69">
        <f t="shared" si="33"/>
        <v>410</v>
      </c>
      <c r="O162" s="96"/>
      <c r="P162" s="97"/>
      <c r="Q162" s="98"/>
      <c r="R162" s="135"/>
      <c r="U162" s="48" t="str">
        <f t="shared" si="32"/>
        <v/>
      </c>
      <c r="V162" s="16"/>
      <c r="W162" s="34"/>
      <c r="X162" s="35"/>
      <c r="Z162" s="74"/>
      <c r="AA162" s="130" t="str" cm="1">
        <f t="array" ref="AA162">HEX2ASCII(AB162)&amp;HEX2ASCII(AC162)&amp;HEX2ASCII(AD162)&amp;HEX2ASCII(AE162)&amp;HEX2ASCII(AF162)&amp;HEX2ASCII(AG162)&amp;HEX2ASCII(AH162)&amp;HEX2ASCII(AI162)</f>
        <v/>
      </c>
      <c r="AB162" s="147"/>
      <c r="AC162" s="148"/>
      <c r="AD162" s="148"/>
      <c r="AE162" s="148"/>
      <c r="AF162" s="148"/>
      <c r="AG162" s="148"/>
      <c r="AH162" s="148"/>
      <c r="AI162" s="149"/>
    </row>
    <row r="163" spans="11:35">
      <c r="K163" s="85"/>
      <c r="L163" s="54" t="str">
        <f t="shared" si="31"/>
        <v/>
      </c>
      <c r="M163" s="38" t="str">
        <f t="shared" si="34"/>
        <v>019B</v>
      </c>
      <c r="N163" s="69">
        <f t="shared" si="33"/>
        <v>411</v>
      </c>
      <c r="O163" s="96"/>
      <c r="P163" s="97"/>
      <c r="Q163" s="98"/>
      <c r="R163" s="135"/>
      <c r="U163" s="48" t="str">
        <f t="shared" si="32"/>
        <v/>
      </c>
      <c r="V163" s="16"/>
      <c r="W163" s="34"/>
      <c r="X163" s="35"/>
      <c r="Z163" s="74"/>
      <c r="AA163" s="130" t="str" cm="1">
        <f t="array" ref="AA163">HEX2ASCII(AB163)&amp;HEX2ASCII(AC163)&amp;HEX2ASCII(AD163)&amp;HEX2ASCII(AE163)&amp;HEX2ASCII(AF163)&amp;HEX2ASCII(AG163)&amp;HEX2ASCII(AH163)&amp;HEX2ASCII(AI163)</f>
        <v/>
      </c>
      <c r="AB163" s="147"/>
      <c r="AC163" s="148"/>
      <c r="AD163" s="148"/>
      <c r="AE163" s="148"/>
      <c r="AF163" s="148"/>
      <c r="AG163" s="148"/>
      <c r="AH163" s="148"/>
      <c r="AI163" s="149"/>
    </row>
    <row r="164" spans="11:35">
      <c r="K164" s="85"/>
      <c r="L164" s="54" t="str">
        <f t="shared" si="31"/>
        <v/>
      </c>
      <c r="M164" s="38" t="str">
        <f t="shared" si="34"/>
        <v>019C</v>
      </c>
      <c r="N164" s="69">
        <f t="shared" si="33"/>
        <v>412</v>
      </c>
      <c r="O164" s="96"/>
      <c r="P164" s="97"/>
      <c r="Q164" s="98"/>
      <c r="R164" s="135"/>
      <c r="U164" s="48" t="str">
        <f t="shared" si="32"/>
        <v/>
      </c>
      <c r="V164" s="16"/>
      <c r="W164" s="34"/>
      <c r="X164" s="35"/>
      <c r="Z164" s="74"/>
      <c r="AA164" s="130" t="str" cm="1">
        <f t="array" ref="AA164">HEX2ASCII(AB164)&amp;HEX2ASCII(AC164)&amp;HEX2ASCII(AD164)&amp;HEX2ASCII(AE164)&amp;HEX2ASCII(AF164)&amp;HEX2ASCII(AG164)&amp;HEX2ASCII(AH164)&amp;HEX2ASCII(AI164)</f>
        <v/>
      </c>
      <c r="AB164" s="147"/>
      <c r="AC164" s="148"/>
      <c r="AD164" s="148"/>
      <c r="AE164" s="148"/>
      <c r="AF164" s="148"/>
      <c r="AG164" s="148"/>
      <c r="AH164" s="148"/>
      <c r="AI164" s="149"/>
    </row>
    <row r="165" spans="11:35">
      <c r="K165" s="85"/>
      <c r="L165" s="54" t="str">
        <f t="shared" si="31"/>
        <v/>
      </c>
      <c r="M165" s="38" t="str">
        <f t="shared" si="34"/>
        <v>019D</v>
      </c>
      <c r="N165" s="69">
        <f t="shared" si="33"/>
        <v>413</v>
      </c>
      <c r="O165" s="96"/>
      <c r="P165" s="97"/>
      <c r="Q165" s="98"/>
      <c r="R165" s="135"/>
      <c r="U165" s="48" t="str">
        <f t="shared" si="32"/>
        <v/>
      </c>
      <c r="V165" s="16"/>
      <c r="W165" s="34"/>
      <c r="X165" s="35"/>
      <c r="Z165" s="74"/>
      <c r="AA165" s="130" t="str" cm="1">
        <f t="array" ref="AA165">HEX2ASCII(AB165)&amp;HEX2ASCII(AC165)&amp;HEX2ASCII(AD165)&amp;HEX2ASCII(AE165)&amp;HEX2ASCII(AF165)&amp;HEX2ASCII(AG165)&amp;HEX2ASCII(AH165)&amp;HEX2ASCII(AI165)</f>
        <v/>
      </c>
      <c r="AB165" s="147"/>
      <c r="AC165" s="148"/>
      <c r="AD165" s="148"/>
      <c r="AE165" s="148"/>
      <c r="AF165" s="148"/>
      <c r="AG165" s="148"/>
      <c r="AH165" s="148"/>
      <c r="AI165" s="149"/>
    </row>
    <row r="166" spans="11:35">
      <c r="K166" s="85"/>
      <c r="L166" s="54" t="str">
        <f t="shared" si="31"/>
        <v/>
      </c>
      <c r="M166" s="38" t="str">
        <f t="shared" si="34"/>
        <v>019E</v>
      </c>
      <c r="N166" s="69">
        <f t="shared" si="33"/>
        <v>414</v>
      </c>
      <c r="O166" s="96"/>
      <c r="P166" s="97"/>
      <c r="Q166" s="98"/>
      <c r="R166" s="135"/>
      <c r="U166" s="48" t="str">
        <f t="shared" si="32"/>
        <v/>
      </c>
      <c r="V166" s="16"/>
      <c r="W166" s="34"/>
      <c r="X166" s="35"/>
      <c r="Z166" s="74"/>
      <c r="AA166" s="130" t="str" cm="1">
        <f t="array" ref="AA166">HEX2ASCII(AB166)&amp;HEX2ASCII(AC166)&amp;HEX2ASCII(AD166)&amp;HEX2ASCII(AE166)&amp;HEX2ASCII(AF166)&amp;HEX2ASCII(AG166)&amp;HEX2ASCII(AH166)&amp;HEX2ASCII(AI166)</f>
        <v/>
      </c>
      <c r="AB166" s="147"/>
      <c r="AC166" s="148"/>
      <c r="AD166" s="148"/>
      <c r="AE166" s="148"/>
      <c r="AF166" s="148"/>
      <c r="AG166" s="148"/>
      <c r="AH166" s="148"/>
      <c r="AI166" s="149"/>
    </row>
    <row r="167" spans="11:35">
      <c r="K167" s="85"/>
      <c r="L167" s="54" t="str">
        <f t="shared" si="31"/>
        <v/>
      </c>
      <c r="M167" s="38" t="str">
        <f t="shared" si="34"/>
        <v>019F</v>
      </c>
      <c r="N167" s="69">
        <f t="shared" si="33"/>
        <v>415</v>
      </c>
      <c r="O167" s="96"/>
      <c r="P167" s="97"/>
      <c r="Q167" s="98"/>
      <c r="R167" s="135"/>
      <c r="U167" s="48" t="str">
        <f t="shared" si="32"/>
        <v/>
      </c>
      <c r="V167" s="16"/>
      <c r="W167" s="34"/>
      <c r="X167" s="35"/>
      <c r="Z167" s="74"/>
      <c r="AA167" s="130" t="str" cm="1">
        <f t="array" ref="AA167">HEX2ASCII(AB167)&amp;HEX2ASCII(AC167)&amp;HEX2ASCII(AD167)&amp;HEX2ASCII(AE167)&amp;HEX2ASCII(AF167)&amp;HEX2ASCII(AG167)&amp;HEX2ASCII(AH167)&amp;HEX2ASCII(AI167)</f>
        <v/>
      </c>
      <c r="AB167" s="147"/>
      <c r="AC167" s="148"/>
      <c r="AD167" s="148"/>
      <c r="AE167" s="148"/>
      <c r="AF167" s="148"/>
      <c r="AG167" s="148"/>
      <c r="AH167" s="148"/>
      <c r="AI167" s="149"/>
    </row>
    <row r="168" spans="11:35">
      <c r="K168" s="85"/>
      <c r="L168" s="54" t="str">
        <f t="shared" si="31"/>
        <v/>
      </c>
      <c r="M168" s="38" t="str">
        <f t="shared" si="34"/>
        <v>01A0</v>
      </c>
      <c r="N168" s="69">
        <f t="shared" si="33"/>
        <v>416</v>
      </c>
      <c r="O168" s="96"/>
      <c r="P168" s="97"/>
      <c r="Q168" s="98"/>
      <c r="R168" s="135"/>
      <c r="U168" s="48" t="str">
        <f t="shared" si="32"/>
        <v/>
      </c>
      <c r="V168" s="16"/>
      <c r="W168" s="34"/>
      <c r="X168" s="35"/>
      <c r="Z168" s="74"/>
      <c r="AA168" s="130" t="str" cm="1">
        <f t="array" ref="AA168">HEX2ASCII(AB168)&amp;HEX2ASCII(AC168)&amp;HEX2ASCII(AD168)&amp;HEX2ASCII(AE168)&amp;HEX2ASCII(AF168)&amp;HEX2ASCII(AG168)&amp;HEX2ASCII(AH168)&amp;HEX2ASCII(AI168)</f>
        <v/>
      </c>
      <c r="AB168" s="147"/>
      <c r="AC168" s="148"/>
      <c r="AD168" s="148"/>
      <c r="AE168" s="148"/>
      <c r="AF168" s="148"/>
      <c r="AG168" s="148"/>
      <c r="AH168" s="148"/>
      <c r="AI168" s="149"/>
    </row>
    <row r="169" spans="11:35">
      <c r="K169" s="85"/>
      <c r="L169" s="54" t="str">
        <f t="shared" si="31"/>
        <v/>
      </c>
      <c r="M169" s="38" t="str">
        <f t="shared" si="34"/>
        <v>01A1</v>
      </c>
      <c r="N169" s="69">
        <f t="shared" si="33"/>
        <v>417</v>
      </c>
      <c r="O169" s="96"/>
      <c r="P169" s="97"/>
      <c r="Q169" s="98"/>
      <c r="R169" s="135"/>
      <c r="U169" s="48" t="str">
        <f t="shared" si="32"/>
        <v/>
      </c>
      <c r="V169" s="16"/>
      <c r="W169" s="34"/>
      <c r="X169" s="35"/>
      <c r="Z169" s="74"/>
      <c r="AA169" s="130" t="str" cm="1">
        <f t="array" ref="AA169">HEX2ASCII(AB169)&amp;HEX2ASCII(AC169)&amp;HEX2ASCII(AD169)&amp;HEX2ASCII(AE169)&amp;HEX2ASCII(AF169)&amp;HEX2ASCII(AG169)&amp;HEX2ASCII(AH169)&amp;HEX2ASCII(AI169)</f>
        <v/>
      </c>
      <c r="AB169" s="147"/>
      <c r="AC169" s="148"/>
      <c r="AD169" s="148"/>
      <c r="AE169" s="148"/>
      <c r="AF169" s="148"/>
      <c r="AG169" s="148"/>
      <c r="AH169" s="148"/>
      <c r="AI169" s="149"/>
    </row>
    <row r="170" spans="11:35">
      <c r="K170" s="85"/>
      <c r="L170" s="54" t="str">
        <f t="shared" si="31"/>
        <v/>
      </c>
      <c r="M170" s="38" t="str">
        <f t="shared" si="34"/>
        <v>01A2</v>
      </c>
      <c r="N170" s="69">
        <f t="shared" si="33"/>
        <v>418</v>
      </c>
      <c r="O170" s="96"/>
      <c r="P170" s="97"/>
      <c r="Q170" s="98"/>
      <c r="R170" s="135"/>
      <c r="U170" s="48" t="str">
        <f t="shared" si="32"/>
        <v/>
      </c>
      <c r="V170" s="16"/>
      <c r="W170" s="34"/>
      <c r="X170" s="35"/>
      <c r="Z170" s="74"/>
      <c r="AA170" s="130" t="str" cm="1">
        <f t="array" ref="AA170">HEX2ASCII(AB170)&amp;HEX2ASCII(AC170)&amp;HEX2ASCII(AD170)&amp;HEX2ASCII(AE170)&amp;HEX2ASCII(AF170)&amp;HEX2ASCII(AG170)&amp;HEX2ASCII(AH170)&amp;HEX2ASCII(AI170)</f>
        <v/>
      </c>
      <c r="AB170" s="147"/>
      <c r="AC170" s="148"/>
      <c r="AD170" s="148"/>
      <c r="AE170" s="148"/>
      <c r="AF170" s="148"/>
      <c r="AG170" s="148"/>
      <c r="AH170" s="148"/>
      <c r="AI170" s="149"/>
    </row>
    <row r="171" spans="11:35">
      <c r="K171" s="85"/>
      <c r="L171" s="54" t="str">
        <f t="shared" si="31"/>
        <v/>
      </c>
      <c r="M171" s="38" t="str">
        <f t="shared" si="34"/>
        <v>01A3</v>
      </c>
      <c r="N171" s="69">
        <f t="shared" si="33"/>
        <v>419</v>
      </c>
      <c r="O171" s="96"/>
      <c r="P171" s="97"/>
      <c r="Q171" s="98"/>
      <c r="R171" s="135"/>
      <c r="U171" s="48" t="str">
        <f t="shared" si="32"/>
        <v/>
      </c>
      <c r="V171" s="16"/>
      <c r="W171" s="34"/>
      <c r="X171" s="35"/>
      <c r="Z171" s="74"/>
      <c r="AA171" s="130" t="str" cm="1">
        <f t="array" ref="AA171">HEX2ASCII(AB171)&amp;HEX2ASCII(AC171)&amp;HEX2ASCII(AD171)&amp;HEX2ASCII(AE171)&amp;HEX2ASCII(AF171)&amp;HEX2ASCII(AG171)&amp;HEX2ASCII(AH171)&amp;HEX2ASCII(AI171)</f>
        <v/>
      </c>
      <c r="AB171" s="147"/>
      <c r="AC171" s="148"/>
      <c r="AD171" s="148"/>
      <c r="AE171" s="148"/>
      <c r="AF171" s="148"/>
      <c r="AG171" s="148"/>
      <c r="AH171" s="148"/>
      <c r="AI171" s="149"/>
    </row>
    <row r="172" spans="11:35">
      <c r="K172" s="85"/>
      <c r="L172" s="54" t="str">
        <f t="shared" si="31"/>
        <v/>
      </c>
      <c r="M172" s="38" t="str">
        <f t="shared" si="34"/>
        <v>01A4</v>
      </c>
      <c r="N172" s="69">
        <f t="shared" si="33"/>
        <v>420</v>
      </c>
      <c r="O172" s="96"/>
      <c r="P172" s="97"/>
      <c r="Q172" s="98"/>
      <c r="R172" s="135"/>
      <c r="U172" s="48" t="str">
        <f t="shared" si="32"/>
        <v/>
      </c>
      <c r="V172" s="16"/>
      <c r="W172" s="34"/>
      <c r="X172" s="35"/>
      <c r="Z172" s="74"/>
      <c r="AA172" s="130" t="str" cm="1">
        <f t="array" ref="AA172">HEX2ASCII(AB172)&amp;HEX2ASCII(AC172)&amp;HEX2ASCII(AD172)&amp;HEX2ASCII(AE172)&amp;HEX2ASCII(AF172)&amp;HEX2ASCII(AG172)&amp;HEX2ASCII(AH172)&amp;HEX2ASCII(AI172)</f>
        <v/>
      </c>
      <c r="AB172" s="147"/>
      <c r="AC172" s="148"/>
      <c r="AD172" s="148"/>
      <c r="AE172" s="148"/>
      <c r="AF172" s="148"/>
      <c r="AG172" s="148"/>
      <c r="AH172" s="148"/>
      <c r="AI172" s="149"/>
    </row>
    <row r="173" spans="11:35">
      <c r="K173" s="85"/>
      <c r="L173" s="54" t="str">
        <f t="shared" si="31"/>
        <v/>
      </c>
      <c r="M173" s="38" t="str">
        <f t="shared" si="34"/>
        <v>01A5</v>
      </c>
      <c r="N173" s="69">
        <f t="shared" si="33"/>
        <v>421</v>
      </c>
      <c r="O173" s="96"/>
      <c r="P173" s="97"/>
      <c r="Q173" s="98"/>
      <c r="R173" s="135"/>
      <c r="U173" s="48" t="str">
        <f t="shared" si="32"/>
        <v/>
      </c>
      <c r="V173" s="16"/>
      <c r="W173" s="34"/>
      <c r="X173" s="35"/>
      <c r="Z173" s="74"/>
      <c r="AA173" s="130" t="str" cm="1">
        <f t="array" ref="AA173">HEX2ASCII(AB173)&amp;HEX2ASCII(AC173)&amp;HEX2ASCII(AD173)&amp;HEX2ASCII(AE173)&amp;HEX2ASCII(AF173)&amp;HEX2ASCII(AG173)&amp;HEX2ASCII(AH173)&amp;HEX2ASCII(AI173)</f>
        <v/>
      </c>
      <c r="AB173" s="147"/>
      <c r="AC173" s="148"/>
      <c r="AD173" s="148"/>
      <c r="AE173" s="148"/>
      <c r="AF173" s="148"/>
      <c r="AG173" s="148"/>
      <c r="AH173" s="148"/>
      <c r="AI173" s="149"/>
    </row>
    <row r="174" spans="11:35">
      <c r="K174" s="85"/>
      <c r="L174" s="54" t="str">
        <f t="shared" si="31"/>
        <v/>
      </c>
      <c r="M174" s="38" t="str">
        <f t="shared" si="34"/>
        <v>01A6</v>
      </c>
      <c r="N174" s="69">
        <f t="shared" si="33"/>
        <v>422</v>
      </c>
      <c r="O174" s="96"/>
      <c r="P174" s="97"/>
      <c r="Q174" s="98"/>
      <c r="R174" s="135"/>
      <c r="U174" s="48" t="str">
        <f t="shared" si="32"/>
        <v/>
      </c>
      <c r="V174" s="16"/>
      <c r="W174" s="34"/>
      <c r="X174" s="35"/>
      <c r="Z174" s="74"/>
      <c r="AA174" s="130" t="str" cm="1">
        <f t="array" ref="AA174">HEX2ASCII(AB174)&amp;HEX2ASCII(AC174)&amp;HEX2ASCII(AD174)&amp;HEX2ASCII(AE174)&amp;HEX2ASCII(AF174)&amp;HEX2ASCII(AG174)&amp;HEX2ASCII(AH174)&amp;HEX2ASCII(AI174)</f>
        <v/>
      </c>
      <c r="AB174" s="147"/>
      <c r="AC174" s="148"/>
      <c r="AD174" s="148"/>
      <c r="AE174" s="148"/>
      <c r="AF174" s="148"/>
      <c r="AG174" s="148"/>
      <c r="AH174" s="148"/>
      <c r="AI174" s="149"/>
    </row>
    <row r="175" spans="11:35">
      <c r="K175" s="85"/>
      <c r="L175" s="54" t="str">
        <f t="shared" si="31"/>
        <v/>
      </c>
      <c r="M175" s="38" t="str">
        <f t="shared" si="34"/>
        <v>01A7</v>
      </c>
      <c r="N175" s="69">
        <f t="shared" si="33"/>
        <v>423</v>
      </c>
      <c r="O175" s="96"/>
      <c r="P175" s="97"/>
      <c r="Q175" s="98"/>
      <c r="R175" s="135"/>
      <c r="U175" s="48" t="str">
        <f t="shared" si="32"/>
        <v/>
      </c>
      <c r="V175" s="16"/>
      <c r="W175" s="34"/>
      <c r="X175" s="35"/>
      <c r="Z175" s="74"/>
      <c r="AA175" s="130" t="str" cm="1">
        <f t="array" ref="AA175">HEX2ASCII(AB175)&amp;HEX2ASCII(AC175)&amp;HEX2ASCII(AD175)&amp;HEX2ASCII(AE175)&amp;HEX2ASCII(AF175)&amp;HEX2ASCII(AG175)&amp;HEX2ASCII(AH175)&amp;HEX2ASCII(AI175)</f>
        <v/>
      </c>
      <c r="AB175" s="147"/>
      <c r="AC175" s="148"/>
      <c r="AD175" s="148"/>
      <c r="AE175" s="148"/>
      <c r="AF175" s="148"/>
      <c r="AG175" s="148"/>
      <c r="AH175" s="148"/>
      <c r="AI175" s="149"/>
    </row>
    <row r="176" spans="11:35">
      <c r="K176" s="85"/>
      <c r="L176" s="54" t="str">
        <f t="shared" si="31"/>
        <v/>
      </c>
      <c r="M176" s="38" t="str">
        <f t="shared" si="34"/>
        <v>01A8</v>
      </c>
      <c r="N176" s="69">
        <f t="shared" si="33"/>
        <v>424</v>
      </c>
      <c r="O176" s="96"/>
      <c r="P176" s="97"/>
      <c r="Q176" s="98"/>
      <c r="R176" s="135"/>
      <c r="U176" s="48" t="str">
        <f t="shared" si="32"/>
        <v/>
      </c>
      <c r="V176" s="16"/>
      <c r="W176" s="34"/>
      <c r="X176" s="35"/>
      <c r="Z176" s="74"/>
      <c r="AA176" s="130" t="str" cm="1">
        <f t="array" ref="AA176">HEX2ASCII(AB176)&amp;HEX2ASCII(AC176)&amp;HEX2ASCII(AD176)&amp;HEX2ASCII(AE176)&amp;HEX2ASCII(AF176)&amp;HEX2ASCII(AG176)&amp;HEX2ASCII(AH176)&amp;HEX2ASCII(AI176)</f>
        <v/>
      </c>
      <c r="AB176" s="147"/>
      <c r="AC176" s="148"/>
      <c r="AD176" s="148"/>
      <c r="AE176" s="148"/>
      <c r="AF176" s="148"/>
      <c r="AG176" s="148"/>
      <c r="AH176" s="148"/>
      <c r="AI176" s="149"/>
    </row>
    <row r="177" spans="11:35">
      <c r="K177" s="85"/>
      <c r="L177" s="54" t="str">
        <f t="shared" si="31"/>
        <v/>
      </c>
      <c r="M177" s="38" t="str">
        <f t="shared" si="34"/>
        <v>01A9</v>
      </c>
      <c r="N177" s="69">
        <f t="shared" si="33"/>
        <v>425</v>
      </c>
      <c r="O177" s="96"/>
      <c r="P177" s="97"/>
      <c r="Q177" s="98"/>
      <c r="R177" s="135"/>
      <c r="U177" s="48" t="str">
        <f t="shared" si="32"/>
        <v/>
      </c>
      <c r="V177" s="16"/>
      <c r="W177" s="34"/>
      <c r="X177" s="35"/>
      <c r="Z177" s="74"/>
      <c r="AA177" s="130" t="str" cm="1">
        <f t="array" ref="AA177">HEX2ASCII(AB177)&amp;HEX2ASCII(AC177)&amp;HEX2ASCII(AD177)&amp;HEX2ASCII(AE177)&amp;HEX2ASCII(AF177)&amp;HEX2ASCII(AG177)&amp;HEX2ASCII(AH177)&amp;HEX2ASCII(AI177)</f>
        <v/>
      </c>
      <c r="AB177" s="147"/>
      <c r="AC177" s="148"/>
      <c r="AD177" s="148"/>
      <c r="AE177" s="148"/>
      <c r="AF177" s="148"/>
      <c r="AG177" s="148"/>
      <c r="AH177" s="148"/>
      <c r="AI177" s="149"/>
    </row>
    <row r="178" spans="11:35">
      <c r="K178" s="85"/>
      <c r="L178" s="54" t="str">
        <f t="shared" si="31"/>
        <v/>
      </c>
      <c r="M178" s="38" t="str">
        <f t="shared" si="34"/>
        <v>01AA</v>
      </c>
      <c r="N178" s="69">
        <f t="shared" si="33"/>
        <v>426</v>
      </c>
      <c r="O178" s="96"/>
      <c r="P178" s="97"/>
      <c r="Q178" s="98"/>
      <c r="R178" s="135"/>
      <c r="U178" s="48" t="str">
        <f t="shared" si="32"/>
        <v/>
      </c>
      <c r="V178" s="16"/>
      <c r="W178" s="34"/>
      <c r="X178" s="35"/>
      <c r="Z178" s="74"/>
      <c r="AA178" s="130" t="str" cm="1">
        <f t="array" ref="AA178">HEX2ASCII(AB178)&amp;HEX2ASCII(AC178)&amp;HEX2ASCII(AD178)&amp;HEX2ASCII(AE178)&amp;HEX2ASCII(AF178)&amp;HEX2ASCII(AG178)&amp;HEX2ASCII(AH178)&amp;HEX2ASCII(AI178)</f>
        <v/>
      </c>
      <c r="AB178" s="147"/>
      <c r="AC178" s="148"/>
      <c r="AD178" s="148"/>
      <c r="AE178" s="148"/>
      <c r="AF178" s="148"/>
      <c r="AG178" s="148"/>
      <c r="AH178" s="148"/>
      <c r="AI178" s="149"/>
    </row>
    <row r="179" spans="11:35">
      <c r="K179" s="85"/>
      <c r="L179" s="54" t="str">
        <f t="shared" si="31"/>
        <v/>
      </c>
      <c r="M179" s="38" t="str">
        <f t="shared" si="34"/>
        <v>01AB</v>
      </c>
      <c r="N179" s="69">
        <f t="shared" si="33"/>
        <v>427</v>
      </c>
      <c r="O179" s="96"/>
      <c r="P179" s="97"/>
      <c r="Q179" s="98"/>
      <c r="R179" s="135"/>
      <c r="U179" s="48" t="str">
        <f t="shared" si="32"/>
        <v/>
      </c>
      <c r="V179" s="16"/>
      <c r="W179" s="34"/>
      <c r="X179" s="35"/>
      <c r="Z179" s="74"/>
      <c r="AA179" s="130" t="str" cm="1">
        <f t="array" ref="AA179">HEX2ASCII(AB179)&amp;HEX2ASCII(AC179)&amp;HEX2ASCII(AD179)&amp;HEX2ASCII(AE179)&amp;HEX2ASCII(AF179)&amp;HEX2ASCII(AG179)&amp;HEX2ASCII(AH179)&amp;HEX2ASCII(AI179)</f>
        <v/>
      </c>
      <c r="AB179" s="147"/>
      <c r="AC179" s="148"/>
      <c r="AD179" s="148"/>
      <c r="AE179" s="148"/>
      <c r="AF179" s="148"/>
      <c r="AG179" s="148"/>
      <c r="AH179" s="148"/>
      <c r="AI179" s="149"/>
    </row>
    <row r="180" spans="11:35">
      <c r="K180" s="85"/>
      <c r="L180" s="54" t="str">
        <f t="shared" si="31"/>
        <v/>
      </c>
      <c r="M180" s="38" t="str">
        <f t="shared" si="34"/>
        <v>01AC</v>
      </c>
      <c r="N180" s="69">
        <f t="shared" si="33"/>
        <v>428</v>
      </c>
      <c r="O180" s="96"/>
      <c r="P180" s="97"/>
      <c r="Q180" s="98"/>
      <c r="R180" s="135"/>
      <c r="U180" s="48" t="str">
        <f t="shared" si="32"/>
        <v/>
      </c>
      <c r="V180" s="16"/>
      <c r="W180" s="34"/>
      <c r="X180" s="35"/>
      <c r="Z180" s="74"/>
      <c r="AA180" s="130" t="str" cm="1">
        <f t="array" ref="AA180">HEX2ASCII(AB180)&amp;HEX2ASCII(AC180)&amp;HEX2ASCII(AD180)&amp;HEX2ASCII(AE180)&amp;HEX2ASCII(AF180)&amp;HEX2ASCII(AG180)&amp;HEX2ASCII(AH180)&amp;HEX2ASCII(AI180)</f>
        <v/>
      </c>
      <c r="AB180" s="147"/>
      <c r="AC180" s="148"/>
      <c r="AD180" s="148"/>
      <c r="AE180" s="148"/>
      <c r="AF180" s="148"/>
      <c r="AG180" s="148"/>
      <c r="AH180" s="148"/>
      <c r="AI180" s="149"/>
    </row>
    <row r="181" spans="11:35">
      <c r="K181" s="85"/>
      <c r="L181" s="54" t="str">
        <f t="shared" si="31"/>
        <v/>
      </c>
      <c r="M181" s="38" t="str">
        <f t="shared" si="34"/>
        <v>01AD</v>
      </c>
      <c r="N181" s="69">
        <f t="shared" si="33"/>
        <v>429</v>
      </c>
      <c r="O181" s="96"/>
      <c r="P181" s="97"/>
      <c r="Q181" s="98"/>
      <c r="R181" s="135"/>
      <c r="U181" s="48" t="str">
        <f t="shared" si="32"/>
        <v/>
      </c>
      <c r="V181" s="16"/>
      <c r="W181" s="34"/>
      <c r="X181" s="35"/>
      <c r="Z181" s="74"/>
      <c r="AA181" s="130" t="str" cm="1">
        <f t="array" ref="AA181">HEX2ASCII(AB181)&amp;HEX2ASCII(AC181)&amp;HEX2ASCII(AD181)&amp;HEX2ASCII(AE181)&amp;HEX2ASCII(AF181)&amp;HEX2ASCII(AG181)&amp;HEX2ASCII(AH181)&amp;HEX2ASCII(AI181)</f>
        <v/>
      </c>
      <c r="AB181" s="147"/>
      <c r="AC181" s="148"/>
      <c r="AD181" s="148"/>
      <c r="AE181" s="148"/>
      <c r="AF181" s="148"/>
      <c r="AG181" s="148"/>
      <c r="AH181" s="148"/>
      <c r="AI181" s="149"/>
    </row>
    <row r="182" spans="11:35">
      <c r="K182" s="85"/>
      <c r="L182" s="54" t="str">
        <f t="shared" si="31"/>
        <v/>
      </c>
      <c r="M182" s="38" t="str">
        <f t="shared" si="34"/>
        <v>01AE</v>
      </c>
      <c r="N182" s="69">
        <f t="shared" si="33"/>
        <v>430</v>
      </c>
      <c r="O182" s="96"/>
      <c r="P182" s="97"/>
      <c r="Q182" s="98"/>
      <c r="R182" s="135"/>
      <c r="U182" s="48" t="str">
        <f t="shared" si="32"/>
        <v/>
      </c>
      <c r="V182" s="16"/>
      <c r="W182" s="34"/>
      <c r="X182" s="35"/>
      <c r="Z182" s="74"/>
      <c r="AA182" s="130" t="str" cm="1">
        <f t="array" ref="AA182">HEX2ASCII(AB182)&amp;HEX2ASCII(AC182)&amp;HEX2ASCII(AD182)&amp;HEX2ASCII(AE182)&amp;HEX2ASCII(AF182)&amp;HEX2ASCII(AG182)&amp;HEX2ASCII(AH182)&amp;HEX2ASCII(AI182)</f>
        <v/>
      </c>
      <c r="AB182" s="147"/>
      <c r="AC182" s="148"/>
      <c r="AD182" s="148"/>
      <c r="AE182" s="148"/>
      <c r="AF182" s="148"/>
      <c r="AG182" s="148"/>
      <c r="AH182" s="148"/>
      <c r="AI182" s="149"/>
    </row>
    <row r="183" spans="11:35">
      <c r="K183" s="85"/>
      <c r="L183" s="54" t="str">
        <f t="shared" si="31"/>
        <v/>
      </c>
      <c r="M183" s="38" t="str">
        <f t="shared" si="34"/>
        <v>01AF</v>
      </c>
      <c r="N183" s="69">
        <f t="shared" si="33"/>
        <v>431</v>
      </c>
      <c r="O183" s="96"/>
      <c r="P183" s="97"/>
      <c r="Q183" s="98"/>
      <c r="R183" s="135"/>
      <c r="U183" s="48" t="str">
        <f t="shared" si="32"/>
        <v/>
      </c>
      <c r="V183" s="16"/>
      <c r="W183" s="34"/>
      <c r="X183" s="35"/>
      <c r="Z183" s="74"/>
      <c r="AA183" s="130" t="str" cm="1">
        <f t="array" ref="AA183">HEX2ASCII(AB183)&amp;HEX2ASCII(AC183)&amp;HEX2ASCII(AD183)&amp;HEX2ASCII(AE183)&amp;HEX2ASCII(AF183)&amp;HEX2ASCII(AG183)&amp;HEX2ASCII(AH183)&amp;HEX2ASCII(AI183)</f>
        <v/>
      </c>
      <c r="AB183" s="147"/>
      <c r="AC183" s="148"/>
      <c r="AD183" s="148"/>
      <c r="AE183" s="148"/>
      <c r="AF183" s="148"/>
      <c r="AG183" s="148"/>
      <c r="AH183" s="148"/>
      <c r="AI183" s="149"/>
    </row>
    <row r="184" spans="11:35">
      <c r="K184" s="85"/>
      <c r="L184" s="54" t="str">
        <f t="shared" si="31"/>
        <v/>
      </c>
      <c r="M184" s="38" t="str">
        <f t="shared" si="34"/>
        <v>01B0</v>
      </c>
      <c r="N184" s="69">
        <f t="shared" si="33"/>
        <v>432</v>
      </c>
      <c r="O184" s="96"/>
      <c r="P184" s="97"/>
      <c r="Q184" s="98"/>
      <c r="R184" s="135"/>
      <c r="U184" s="48" t="str">
        <f t="shared" si="32"/>
        <v/>
      </c>
      <c r="V184" s="16"/>
      <c r="W184" s="34"/>
      <c r="X184" s="35"/>
      <c r="Z184" s="74"/>
      <c r="AA184" s="130" t="str" cm="1">
        <f t="array" ref="AA184">HEX2ASCII(AB184)&amp;HEX2ASCII(AC184)&amp;HEX2ASCII(AD184)&amp;HEX2ASCII(AE184)&amp;HEX2ASCII(AF184)&amp;HEX2ASCII(AG184)&amp;HEX2ASCII(AH184)&amp;HEX2ASCII(AI184)</f>
        <v/>
      </c>
      <c r="AB184" s="147"/>
      <c r="AC184" s="148"/>
      <c r="AD184" s="148"/>
      <c r="AE184" s="148"/>
      <c r="AF184" s="148"/>
      <c r="AG184" s="148"/>
      <c r="AH184" s="148"/>
      <c r="AI184" s="149"/>
    </row>
    <row r="185" spans="11:35">
      <c r="K185" s="85"/>
      <c r="L185" s="54" t="str">
        <f t="shared" si="31"/>
        <v/>
      </c>
      <c r="M185" s="38" t="str">
        <f t="shared" si="34"/>
        <v>01B1</v>
      </c>
      <c r="N185" s="69">
        <f t="shared" si="33"/>
        <v>433</v>
      </c>
      <c r="O185" s="96"/>
      <c r="P185" s="97"/>
      <c r="Q185" s="98"/>
      <c r="R185" s="135"/>
      <c r="U185" s="48" t="str">
        <f t="shared" si="32"/>
        <v/>
      </c>
      <c r="V185" s="16"/>
      <c r="W185" s="34"/>
      <c r="X185" s="35"/>
      <c r="Z185" s="74"/>
      <c r="AA185" s="130" t="str" cm="1">
        <f t="array" ref="AA185">HEX2ASCII(AB185)&amp;HEX2ASCII(AC185)&amp;HEX2ASCII(AD185)&amp;HEX2ASCII(AE185)&amp;HEX2ASCII(AF185)&amp;HEX2ASCII(AG185)&amp;HEX2ASCII(AH185)&amp;HEX2ASCII(AI185)</f>
        <v/>
      </c>
      <c r="AB185" s="147"/>
      <c r="AC185" s="148"/>
      <c r="AD185" s="148"/>
      <c r="AE185" s="148"/>
      <c r="AF185" s="148"/>
      <c r="AG185" s="148"/>
      <c r="AH185" s="148"/>
      <c r="AI185" s="149"/>
    </row>
    <row r="186" spans="11:35">
      <c r="K186" s="85"/>
      <c r="L186" s="54" t="str">
        <f t="shared" si="31"/>
        <v/>
      </c>
      <c r="M186" s="38" t="str">
        <f t="shared" si="34"/>
        <v>01B2</v>
      </c>
      <c r="N186" s="69">
        <f t="shared" si="33"/>
        <v>434</v>
      </c>
      <c r="O186" s="96"/>
      <c r="P186" s="97"/>
      <c r="Q186" s="98"/>
      <c r="R186" s="135"/>
      <c r="U186" s="48" t="str">
        <f t="shared" si="32"/>
        <v/>
      </c>
      <c r="V186" s="16"/>
      <c r="W186" s="34"/>
      <c r="X186" s="35"/>
      <c r="Z186" s="74"/>
      <c r="AA186" s="130" t="str" cm="1">
        <f t="array" ref="AA186">HEX2ASCII(AB186)&amp;HEX2ASCII(AC186)&amp;HEX2ASCII(AD186)&amp;HEX2ASCII(AE186)&amp;HEX2ASCII(AF186)&amp;HEX2ASCII(AG186)&amp;HEX2ASCII(AH186)&amp;HEX2ASCII(AI186)</f>
        <v/>
      </c>
      <c r="AB186" s="147"/>
      <c r="AC186" s="148"/>
      <c r="AD186" s="148"/>
      <c r="AE186" s="148"/>
      <c r="AF186" s="148"/>
      <c r="AG186" s="148"/>
      <c r="AH186" s="148"/>
      <c r="AI186" s="149"/>
    </row>
    <row r="187" spans="11:35">
      <c r="K187" s="85"/>
      <c r="L187" s="54" t="str">
        <f t="shared" si="31"/>
        <v/>
      </c>
      <c r="M187" s="38" t="str">
        <f t="shared" si="34"/>
        <v>01B3</v>
      </c>
      <c r="N187" s="69">
        <f t="shared" si="33"/>
        <v>435</v>
      </c>
      <c r="O187" s="96"/>
      <c r="P187" s="97"/>
      <c r="Q187" s="98"/>
      <c r="R187" s="135"/>
      <c r="U187" s="48" t="str">
        <f t="shared" si="32"/>
        <v/>
      </c>
      <c r="V187" s="16"/>
      <c r="W187" s="34"/>
      <c r="X187" s="35"/>
      <c r="Z187" s="74"/>
      <c r="AA187" s="130" t="str" cm="1">
        <f t="array" ref="AA187">HEX2ASCII(AB187)&amp;HEX2ASCII(AC187)&amp;HEX2ASCII(AD187)&amp;HEX2ASCII(AE187)&amp;HEX2ASCII(AF187)&amp;HEX2ASCII(AG187)&amp;HEX2ASCII(AH187)&amp;HEX2ASCII(AI187)</f>
        <v/>
      </c>
      <c r="AB187" s="147"/>
      <c r="AC187" s="148"/>
      <c r="AD187" s="148"/>
      <c r="AE187" s="148"/>
      <c r="AF187" s="148"/>
      <c r="AG187" s="148"/>
      <c r="AH187" s="148"/>
      <c r="AI187" s="149"/>
    </row>
    <row r="188" spans="11:35">
      <c r="K188" s="85"/>
      <c r="L188" s="54" t="str">
        <f t="shared" si="31"/>
        <v/>
      </c>
      <c r="M188" s="38" t="str">
        <f t="shared" si="34"/>
        <v>01B4</v>
      </c>
      <c r="N188" s="69">
        <f t="shared" si="33"/>
        <v>436</v>
      </c>
      <c r="O188" s="96"/>
      <c r="P188" s="97"/>
      <c r="Q188" s="98"/>
      <c r="R188" s="135"/>
      <c r="U188" s="48" t="str">
        <f t="shared" si="32"/>
        <v/>
      </c>
      <c r="V188" s="16"/>
      <c r="W188" s="34"/>
      <c r="X188" s="35"/>
      <c r="Z188" s="74"/>
      <c r="AA188" s="130" t="str" cm="1">
        <f t="array" ref="AA188">HEX2ASCII(AB188)&amp;HEX2ASCII(AC188)&amp;HEX2ASCII(AD188)&amp;HEX2ASCII(AE188)&amp;HEX2ASCII(AF188)&amp;HEX2ASCII(AG188)&amp;HEX2ASCII(AH188)&amp;HEX2ASCII(AI188)</f>
        <v/>
      </c>
      <c r="AB188" s="147"/>
      <c r="AC188" s="148"/>
      <c r="AD188" s="148"/>
      <c r="AE188" s="148"/>
      <c r="AF188" s="148"/>
      <c r="AG188" s="148"/>
      <c r="AH188" s="148"/>
      <c r="AI188" s="149"/>
    </row>
    <row r="189" spans="11:35">
      <c r="K189" s="85"/>
      <c r="L189" s="54" t="str">
        <f t="shared" si="31"/>
        <v/>
      </c>
      <c r="M189" s="38" t="str">
        <f t="shared" si="34"/>
        <v>01B5</v>
      </c>
      <c r="N189" s="69">
        <f t="shared" si="33"/>
        <v>437</v>
      </c>
      <c r="O189" s="96"/>
      <c r="P189" s="97"/>
      <c r="Q189" s="98"/>
      <c r="R189" s="135"/>
      <c r="U189" s="48" t="str">
        <f t="shared" si="32"/>
        <v/>
      </c>
      <c r="V189" s="16"/>
      <c r="W189" s="34"/>
      <c r="X189" s="35"/>
      <c r="Z189" s="74"/>
      <c r="AA189" s="130" t="str" cm="1">
        <f t="array" ref="AA189">HEX2ASCII(AB189)&amp;HEX2ASCII(AC189)&amp;HEX2ASCII(AD189)&amp;HEX2ASCII(AE189)&amp;HEX2ASCII(AF189)&amp;HEX2ASCII(AG189)&amp;HEX2ASCII(AH189)&amp;HEX2ASCII(AI189)</f>
        <v/>
      </c>
      <c r="AB189" s="147"/>
      <c r="AC189" s="148"/>
      <c r="AD189" s="148"/>
      <c r="AE189" s="148"/>
      <c r="AF189" s="148"/>
      <c r="AG189" s="148"/>
      <c r="AH189" s="148"/>
      <c r="AI189" s="149"/>
    </row>
    <row r="190" spans="11:35">
      <c r="K190" s="85"/>
      <c r="L190" s="54" t="str">
        <f t="shared" si="31"/>
        <v/>
      </c>
      <c r="M190" s="38" t="str">
        <f t="shared" si="34"/>
        <v>01B6</v>
      </c>
      <c r="N190" s="69">
        <f t="shared" si="33"/>
        <v>438</v>
      </c>
      <c r="O190" s="96"/>
      <c r="P190" s="97"/>
      <c r="Q190" s="98"/>
      <c r="R190" s="135"/>
      <c r="U190" s="48" t="str">
        <f t="shared" si="32"/>
        <v/>
      </c>
      <c r="V190" s="16"/>
      <c r="W190" s="34"/>
      <c r="X190" s="35"/>
      <c r="Z190" s="74"/>
      <c r="AA190" s="130" t="str" cm="1">
        <f t="array" ref="AA190">HEX2ASCII(AB190)&amp;HEX2ASCII(AC190)&amp;HEX2ASCII(AD190)&amp;HEX2ASCII(AE190)&amp;HEX2ASCII(AF190)&amp;HEX2ASCII(AG190)&amp;HEX2ASCII(AH190)&amp;HEX2ASCII(AI190)</f>
        <v/>
      </c>
      <c r="AB190" s="147"/>
      <c r="AC190" s="148"/>
      <c r="AD190" s="148"/>
      <c r="AE190" s="148"/>
      <c r="AF190" s="148"/>
      <c r="AG190" s="148"/>
      <c r="AH190" s="148"/>
      <c r="AI190" s="149"/>
    </row>
    <row r="191" spans="11:35">
      <c r="K191" s="85"/>
      <c r="L191" s="54" t="str">
        <f t="shared" si="31"/>
        <v/>
      </c>
      <c r="M191" s="38" t="str">
        <f t="shared" si="34"/>
        <v>01B7</v>
      </c>
      <c r="N191" s="69">
        <f t="shared" si="33"/>
        <v>439</v>
      </c>
      <c r="O191" s="96"/>
      <c r="P191" s="97"/>
      <c r="Q191" s="98"/>
      <c r="R191" s="135"/>
      <c r="U191" s="48" t="str">
        <f t="shared" si="32"/>
        <v/>
      </c>
      <c r="V191" s="16"/>
      <c r="W191" s="34"/>
      <c r="X191" s="35"/>
      <c r="Z191" s="74"/>
      <c r="AA191" s="130" t="str" cm="1">
        <f t="array" ref="AA191">HEX2ASCII(AB191)&amp;HEX2ASCII(AC191)&amp;HEX2ASCII(AD191)&amp;HEX2ASCII(AE191)&amp;HEX2ASCII(AF191)&amp;HEX2ASCII(AG191)&amp;HEX2ASCII(AH191)&amp;HEX2ASCII(AI191)</f>
        <v/>
      </c>
      <c r="AB191" s="147"/>
      <c r="AC191" s="148"/>
      <c r="AD191" s="148"/>
      <c r="AE191" s="148"/>
      <c r="AF191" s="148"/>
      <c r="AG191" s="148"/>
      <c r="AH191" s="148"/>
      <c r="AI191" s="149"/>
    </row>
    <row r="192" spans="11:35">
      <c r="K192" s="85"/>
      <c r="L192" s="54" t="str">
        <f t="shared" si="31"/>
        <v/>
      </c>
      <c r="M192" s="38" t="str">
        <f t="shared" si="34"/>
        <v>01B8</v>
      </c>
      <c r="N192" s="69">
        <f t="shared" si="33"/>
        <v>440</v>
      </c>
      <c r="O192" s="96"/>
      <c r="P192" s="97"/>
      <c r="Q192" s="98"/>
      <c r="R192" s="135"/>
      <c r="U192" s="48" t="str">
        <f t="shared" si="32"/>
        <v/>
      </c>
      <c r="V192" s="16"/>
      <c r="W192" s="34"/>
      <c r="X192" s="35"/>
      <c r="Z192" s="74"/>
      <c r="AA192" s="130" t="str" cm="1">
        <f t="array" ref="AA192">HEX2ASCII(AB192)&amp;HEX2ASCII(AC192)&amp;HEX2ASCII(AD192)&amp;HEX2ASCII(AE192)&amp;HEX2ASCII(AF192)&amp;HEX2ASCII(AG192)&amp;HEX2ASCII(AH192)&amp;HEX2ASCII(AI192)</f>
        <v/>
      </c>
      <c r="AB192" s="147"/>
      <c r="AC192" s="148"/>
      <c r="AD192" s="148"/>
      <c r="AE192" s="148"/>
      <c r="AF192" s="148"/>
      <c r="AG192" s="148"/>
      <c r="AH192" s="148"/>
      <c r="AI192" s="149"/>
    </row>
    <row r="193" spans="11:35">
      <c r="K193" s="85"/>
      <c r="L193" s="54" t="str">
        <f t="shared" si="31"/>
        <v/>
      </c>
      <c r="M193" s="38" t="str">
        <f t="shared" si="34"/>
        <v>01B9</v>
      </c>
      <c r="N193" s="69">
        <f t="shared" si="33"/>
        <v>441</v>
      </c>
      <c r="O193" s="96"/>
      <c r="P193" s="97"/>
      <c r="Q193" s="98"/>
      <c r="R193" s="135"/>
      <c r="U193" s="48" t="str">
        <f t="shared" si="32"/>
        <v/>
      </c>
      <c r="V193" s="16"/>
      <c r="W193" s="34"/>
      <c r="X193" s="35"/>
      <c r="Z193" s="74"/>
      <c r="AA193" s="130" t="str" cm="1">
        <f t="array" ref="AA193">HEX2ASCII(AB193)&amp;HEX2ASCII(AC193)&amp;HEX2ASCII(AD193)&amp;HEX2ASCII(AE193)&amp;HEX2ASCII(AF193)&amp;HEX2ASCII(AG193)&amp;HEX2ASCII(AH193)&amp;HEX2ASCII(AI193)</f>
        <v/>
      </c>
      <c r="AB193" s="147"/>
      <c r="AC193" s="148"/>
      <c r="AD193" s="148"/>
      <c r="AE193" s="148"/>
      <c r="AF193" s="148"/>
      <c r="AG193" s="148"/>
      <c r="AH193" s="148"/>
      <c r="AI193" s="149"/>
    </row>
    <row r="194" spans="11:35">
      <c r="K194" s="85"/>
      <c r="L194" s="54" t="str">
        <f t="shared" si="31"/>
        <v/>
      </c>
      <c r="M194" s="38" t="str">
        <f t="shared" si="34"/>
        <v>01BA</v>
      </c>
      <c r="N194" s="69">
        <f t="shared" si="33"/>
        <v>442</v>
      </c>
      <c r="O194" s="96"/>
      <c r="P194" s="97"/>
      <c r="Q194" s="98"/>
      <c r="R194" s="135"/>
      <c r="U194" s="48" t="str">
        <f t="shared" si="32"/>
        <v/>
      </c>
      <c r="V194" s="16"/>
      <c r="W194" s="34"/>
      <c r="X194" s="35"/>
      <c r="Z194" s="74"/>
      <c r="AA194" s="130" t="str" cm="1">
        <f t="array" ref="AA194">HEX2ASCII(AB194)&amp;HEX2ASCII(AC194)&amp;HEX2ASCII(AD194)&amp;HEX2ASCII(AE194)&amp;HEX2ASCII(AF194)&amp;HEX2ASCII(AG194)&amp;HEX2ASCII(AH194)&amp;HEX2ASCII(AI194)</f>
        <v/>
      </c>
      <c r="AB194" s="147"/>
      <c r="AC194" s="148"/>
      <c r="AD194" s="148"/>
      <c r="AE194" s="148"/>
      <c r="AF194" s="148"/>
      <c r="AG194" s="148"/>
      <c r="AH194" s="148"/>
      <c r="AI194" s="149"/>
    </row>
    <row r="195" spans="11:35">
      <c r="K195" s="85"/>
      <c r="L195" s="54" t="str">
        <f t="shared" si="31"/>
        <v/>
      </c>
      <c r="M195" s="38" t="str">
        <f t="shared" si="34"/>
        <v>01BB</v>
      </c>
      <c r="N195" s="69">
        <f t="shared" si="33"/>
        <v>443</v>
      </c>
      <c r="O195" s="96"/>
      <c r="P195" s="97"/>
      <c r="Q195" s="98"/>
      <c r="R195" s="135"/>
      <c r="U195" s="48" t="str">
        <f t="shared" si="32"/>
        <v/>
      </c>
      <c r="V195" s="16"/>
      <c r="W195" s="34"/>
      <c r="X195" s="35"/>
      <c r="Z195" s="74"/>
      <c r="AA195" s="130" t="str" cm="1">
        <f t="array" ref="AA195">HEX2ASCII(AB195)&amp;HEX2ASCII(AC195)&amp;HEX2ASCII(AD195)&amp;HEX2ASCII(AE195)&amp;HEX2ASCII(AF195)&amp;HEX2ASCII(AG195)&amp;HEX2ASCII(AH195)&amp;HEX2ASCII(AI195)</f>
        <v/>
      </c>
      <c r="AB195" s="147"/>
      <c r="AC195" s="148"/>
      <c r="AD195" s="148"/>
      <c r="AE195" s="148"/>
      <c r="AF195" s="148"/>
      <c r="AG195" s="148"/>
      <c r="AH195" s="148"/>
      <c r="AI195" s="149"/>
    </row>
    <row r="196" spans="11:35">
      <c r="K196" s="85"/>
      <c r="L196" s="54" t="str">
        <f t="shared" si="31"/>
        <v/>
      </c>
      <c r="M196" s="38" t="str">
        <f t="shared" si="34"/>
        <v>01BC</v>
      </c>
      <c r="N196" s="69">
        <f t="shared" si="33"/>
        <v>444</v>
      </c>
      <c r="O196" s="96"/>
      <c r="P196" s="97"/>
      <c r="Q196" s="98"/>
      <c r="R196" s="135"/>
      <c r="U196" s="48" t="str">
        <f t="shared" si="32"/>
        <v/>
      </c>
      <c r="V196" s="16"/>
      <c r="W196" s="34"/>
      <c r="X196" s="35"/>
      <c r="Z196" s="74"/>
      <c r="AA196" s="130" t="str" cm="1">
        <f t="array" ref="AA196">HEX2ASCII(AB196)&amp;HEX2ASCII(AC196)&amp;HEX2ASCII(AD196)&amp;HEX2ASCII(AE196)&amp;HEX2ASCII(AF196)&amp;HEX2ASCII(AG196)&amp;HEX2ASCII(AH196)&amp;HEX2ASCII(AI196)</f>
        <v/>
      </c>
      <c r="AB196" s="147"/>
      <c r="AC196" s="148"/>
      <c r="AD196" s="148"/>
      <c r="AE196" s="148"/>
      <c r="AF196" s="148"/>
      <c r="AG196" s="148"/>
      <c r="AH196" s="148"/>
      <c r="AI196" s="149"/>
    </row>
    <row r="197" spans="11:35">
      <c r="K197" s="85"/>
      <c r="L197" s="54" t="str">
        <f t="shared" si="31"/>
        <v/>
      </c>
      <c r="M197" s="38" t="str">
        <f t="shared" si="34"/>
        <v>01BD</v>
      </c>
      <c r="N197" s="69">
        <f t="shared" si="33"/>
        <v>445</v>
      </c>
      <c r="O197" s="96"/>
      <c r="P197" s="97"/>
      <c r="Q197" s="98"/>
      <c r="R197" s="135"/>
      <c r="U197" s="48" t="str">
        <f t="shared" si="32"/>
        <v/>
      </c>
      <c r="V197" s="16"/>
      <c r="W197" s="34"/>
      <c r="X197" s="35"/>
      <c r="Z197" s="74"/>
      <c r="AA197" s="130" t="str" cm="1">
        <f t="array" ref="AA197">HEX2ASCII(AB197)&amp;HEX2ASCII(AC197)&amp;HEX2ASCII(AD197)&amp;HEX2ASCII(AE197)&amp;HEX2ASCII(AF197)&amp;HEX2ASCII(AG197)&amp;HEX2ASCII(AH197)&amp;HEX2ASCII(AI197)</f>
        <v/>
      </c>
      <c r="AB197" s="147"/>
      <c r="AC197" s="148"/>
      <c r="AD197" s="148"/>
      <c r="AE197" s="148"/>
      <c r="AF197" s="148"/>
      <c r="AG197" s="148"/>
      <c r="AH197" s="148"/>
      <c r="AI197" s="149"/>
    </row>
    <row r="198" spans="11:35">
      <c r="K198" s="85"/>
      <c r="L198" s="54" t="str">
        <f t="shared" si="31"/>
        <v/>
      </c>
      <c r="M198" s="38" t="str">
        <f t="shared" si="34"/>
        <v>01BE</v>
      </c>
      <c r="N198" s="69">
        <f t="shared" si="33"/>
        <v>446</v>
      </c>
      <c r="O198" s="96"/>
      <c r="P198" s="97"/>
      <c r="Q198" s="98"/>
      <c r="R198" s="135"/>
      <c r="U198" s="48" t="str">
        <f t="shared" si="32"/>
        <v/>
      </c>
      <c r="V198" s="16"/>
      <c r="W198" s="34"/>
      <c r="X198" s="35"/>
      <c r="Z198" s="74"/>
      <c r="AA198" s="130" t="str" cm="1">
        <f t="array" ref="AA198">HEX2ASCII(AB198)&amp;HEX2ASCII(AC198)&amp;HEX2ASCII(AD198)&amp;HEX2ASCII(AE198)&amp;HEX2ASCII(AF198)&amp;HEX2ASCII(AG198)&amp;HEX2ASCII(AH198)&amp;HEX2ASCII(AI198)</f>
        <v/>
      </c>
      <c r="AB198" s="147"/>
      <c r="AC198" s="148"/>
      <c r="AD198" s="148"/>
      <c r="AE198" s="148"/>
      <c r="AF198" s="148"/>
      <c r="AG198" s="148"/>
      <c r="AH198" s="148"/>
      <c r="AI198" s="149"/>
    </row>
    <row r="199" spans="11:35">
      <c r="K199" s="85"/>
      <c r="L199" s="54" t="str">
        <f t="shared" si="31"/>
        <v/>
      </c>
      <c r="M199" s="38" t="str">
        <f t="shared" si="34"/>
        <v>01BF</v>
      </c>
      <c r="N199" s="69">
        <f t="shared" si="33"/>
        <v>447</v>
      </c>
      <c r="O199" s="96"/>
      <c r="P199" s="97"/>
      <c r="Q199" s="98"/>
      <c r="R199" s="135"/>
      <c r="U199" s="48" t="str">
        <f t="shared" si="32"/>
        <v/>
      </c>
      <c r="V199" s="16"/>
      <c r="W199" s="34"/>
      <c r="X199" s="35"/>
      <c r="Z199" s="74"/>
      <c r="AA199" s="130" t="str" cm="1">
        <f t="array" ref="AA199">HEX2ASCII(AB199)&amp;HEX2ASCII(AC199)&amp;HEX2ASCII(AD199)&amp;HEX2ASCII(AE199)&amp;HEX2ASCII(AF199)&amp;HEX2ASCII(AG199)&amp;HEX2ASCII(AH199)&amp;HEX2ASCII(AI199)</f>
        <v/>
      </c>
      <c r="AB199" s="147"/>
      <c r="AC199" s="148"/>
      <c r="AD199" s="148"/>
      <c r="AE199" s="148"/>
      <c r="AF199" s="148"/>
      <c r="AG199" s="148"/>
      <c r="AH199" s="148"/>
      <c r="AI199" s="149"/>
    </row>
    <row r="200" spans="11:35">
      <c r="K200" s="85"/>
      <c r="L200" s="54" t="str">
        <f t="shared" si="31"/>
        <v/>
      </c>
      <c r="M200" s="38" t="str">
        <f t="shared" si="34"/>
        <v>01C0</v>
      </c>
      <c r="N200" s="69">
        <f t="shared" si="33"/>
        <v>448</v>
      </c>
      <c r="O200" s="96"/>
      <c r="P200" s="97"/>
      <c r="Q200" s="98"/>
      <c r="R200" s="135"/>
      <c r="U200" s="48" t="str">
        <f t="shared" si="32"/>
        <v/>
      </c>
      <c r="V200" s="16"/>
      <c r="W200" s="34"/>
      <c r="X200" s="35"/>
      <c r="Z200" s="74"/>
      <c r="AA200" s="130" t="str" cm="1">
        <f t="array" ref="AA200">HEX2ASCII(AB200)&amp;HEX2ASCII(AC200)&amp;HEX2ASCII(AD200)&amp;HEX2ASCII(AE200)&amp;HEX2ASCII(AF200)&amp;HEX2ASCII(AG200)&amp;HEX2ASCII(AH200)&amp;HEX2ASCII(AI200)</f>
        <v/>
      </c>
      <c r="AB200" s="147"/>
      <c r="AC200" s="148"/>
      <c r="AD200" s="148"/>
      <c r="AE200" s="148"/>
      <c r="AF200" s="148"/>
      <c r="AG200" s="148"/>
      <c r="AH200" s="148"/>
      <c r="AI200" s="149"/>
    </row>
    <row r="201" spans="11:35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01C1</v>
      </c>
      <c r="N201" s="69">
        <f t="shared" si="33"/>
        <v>449</v>
      </c>
      <c r="O201" s="96"/>
      <c r="P201" s="97"/>
      <c r="Q201" s="98"/>
      <c r="R201" s="135"/>
      <c r="U201" s="48" t="str">
        <f t="shared" ref="U201:U264" si="36">IF(V201&gt;0,RIGHT("0000"&amp;DEC2HEX(V201),4),"")</f>
        <v/>
      </c>
      <c r="V201" s="16"/>
      <c r="W201" s="34"/>
      <c r="X201" s="35"/>
      <c r="Z201" s="74"/>
      <c r="AA201" s="130" t="str" cm="1">
        <f t="array" ref="AA201">HEX2ASCII(AB201)&amp;HEX2ASCII(AC201)&amp;HEX2ASCII(AD201)&amp;HEX2ASCII(AE201)&amp;HEX2ASCII(AF201)&amp;HEX2ASCII(AG201)&amp;HEX2ASCII(AH201)&amp;HEX2ASCII(AI201)</f>
        <v/>
      </c>
      <c r="AB201" s="147"/>
      <c r="AC201" s="148"/>
      <c r="AD201" s="148"/>
      <c r="AE201" s="148"/>
      <c r="AF201" s="148"/>
      <c r="AG201" s="148"/>
      <c r="AH201" s="148"/>
      <c r="AI201" s="149"/>
    </row>
    <row r="202" spans="11:35">
      <c r="K202" s="85"/>
      <c r="L202" s="54" t="str">
        <f t="shared" si="35"/>
        <v/>
      </c>
      <c r="M202" s="38" t="str">
        <f t="shared" si="34"/>
        <v>01C2</v>
      </c>
      <c r="N202" s="69">
        <f t="shared" ref="N202:N265" si="37">N201+0*COUNTA(P201:R201)+1</f>
        <v>450</v>
      </c>
      <c r="O202" s="96"/>
      <c r="P202" s="97"/>
      <c r="Q202" s="98"/>
      <c r="R202" s="135"/>
      <c r="U202" s="48" t="str">
        <f t="shared" si="36"/>
        <v/>
      </c>
      <c r="V202" s="16"/>
      <c r="W202" s="34"/>
      <c r="X202" s="35"/>
      <c r="Z202" s="74"/>
      <c r="AA202" s="130" t="str" cm="1">
        <f t="array" ref="AA202">HEX2ASCII(AB202)&amp;HEX2ASCII(AC202)&amp;HEX2ASCII(AD202)&amp;HEX2ASCII(AE202)&amp;HEX2ASCII(AF202)&amp;HEX2ASCII(AG202)&amp;HEX2ASCII(AH202)&amp;HEX2ASCII(AI202)</f>
        <v/>
      </c>
      <c r="AB202" s="147"/>
      <c r="AC202" s="148"/>
      <c r="AD202" s="148"/>
      <c r="AE202" s="148"/>
      <c r="AF202" s="148"/>
      <c r="AG202" s="148"/>
      <c r="AH202" s="148"/>
      <c r="AI202" s="149"/>
    </row>
    <row r="203" spans="11:35">
      <c r="K203" s="85"/>
      <c r="L203" s="54" t="str">
        <f t="shared" si="35"/>
        <v/>
      </c>
      <c r="M203" s="38" t="str">
        <f t="shared" si="34"/>
        <v>01C3</v>
      </c>
      <c r="N203" s="69">
        <f t="shared" si="37"/>
        <v>451</v>
      </c>
      <c r="O203" s="96"/>
      <c r="P203" s="97"/>
      <c r="Q203" s="98"/>
      <c r="R203" s="135"/>
      <c r="U203" s="48" t="str">
        <f t="shared" si="36"/>
        <v/>
      </c>
      <c r="V203" s="16"/>
      <c r="W203" s="34"/>
      <c r="X203" s="35"/>
      <c r="Z203" s="74"/>
      <c r="AA203" s="130" t="str" cm="1">
        <f t="array" ref="AA203">HEX2ASCII(AB203)&amp;HEX2ASCII(AC203)&amp;HEX2ASCII(AD203)&amp;HEX2ASCII(AE203)&amp;HEX2ASCII(AF203)&amp;HEX2ASCII(AG203)&amp;HEX2ASCII(AH203)&amp;HEX2ASCII(AI203)</f>
        <v/>
      </c>
      <c r="AB203" s="147"/>
      <c r="AC203" s="148"/>
      <c r="AD203" s="148"/>
      <c r="AE203" s="148"/>
      <c r="AF203" s="148"/>
      <c r="AG203" s="148"/>
      <c r="AH203" s="148"/>
      <c r="AI203" s="149"/>
    </row>
    <row r="204" spans="11:35">
      <c r="K204" s="85"/>
      <c r="L204" s="54" t="str">
        <f t="shared" si="35"/>
        <v/>
      </c>
      <c r="M204" s="38" t="str">
        <f t="shared" si="34"/>
        <v>01C4</v>
      </c>
      <c r="N204" s="69">
        <f t="shared" si="37"/>
        <v>452</v>
      </c>
      <c r="O204" s="96"/>
      <c r="P204" s="97"/>
      <c r="Q204" s="98"/>
      <c r="R204" s="135"/>
      <c r="U204" s="48" t="str">
        <f t="shared" si="36"/>
        <v/>
      </c>
      <c r="V204" s="16"/>
      <c r="W204" s="34"/>
      <c r="X204" s="35"/>
      <c r="Z204" s="74"/>
      <c r="AA204" s="130" t="str" cm="1">
        <f t="array" ref="AA204">HEX2ASCII(AB204)&amp;HEX2ASCII(AC204)&amp;HEX2ASCII(AD204)&amp;HEX2ASCII(AE204)&amp;HEX2ASCII(AF204)&amp;HEX2ASCII(AG204)&amp;HEX2ASCII(AH204)&amp;HEX2ASCII(AI204)</f>
        <v/>
      </c>
      <c r="AB204" s="147"/>
      <c r="AC204" s="148"/>
      <c r="AD204" s="148"/>
      <c r="AE204" s="148"/>
      <c r="AF204" s="148"/>
      <c r="AG204" s="148"/>
      <c r="AH204" s="148"/>
      <c r="AI204" s="149"/>
    </row>
    <row r="205" spans="11:35">
      <c r="K205" s="85"/>
      <c r="L205" s="54" t="str">
        <f t="shared" si="35"/>
        <v/>
      </c>
      <c r="M205" s="38" t="str">
        <f t="shared" si="34"/>
        <v>01C5</v>
      </c>
      <c r="N205" s="69">
        <f t="shared" si="37"/>
        <v>453</v>
      </c>
      <c r="O205" s="96"/>
      <c r="P205" s="97"/>
      <c r="Q205" s="98"/>
      <c r="R205" s="135"/>
      <c r="U205" s="48" t="str">
        <f t="shared" si="36"/>
        <v/>
      </c>
      <c r="V205" s="16"/>
      <c r="W205" s="34"/>
      <c r="X205" s="35"/>
      <c r="Z205" s="74"/>
      <c r="AA205" s="130" t="str" cm="1">
        <f t="array" ref="AA205">HEX2ASCII(AB205)&amp;HEX2ASCII(AC205)&amp;HEX2ASCII(AD205)&amp;HEX2ASCII(AE205)&amp;HEX2ASCII(AF205)&amp;HEX2ASCII(AG205)&amp;HEX2ASCII(AH205)&amp;HEX2ASCII(AI205)</f>
        <v/>
      </c>
      <c r="AB205" s="147"/>
      <c r="AC205" s="148"/>
      <c r="AD205" s="148"/>
      <c r="AE205" s="148"/>
      <c r="AF205" s="148"/>
      <c r="AG205" s="148"/>
      <c r="AH205" s="148"/>
      <c r="AI205" s="149"/>
    </row>
    <row r="206" spans="11:35">
      <c r="K206" s="85"/>
      <c r="L206" s="54" t="str">
        <f t="shared" si="35"/>
        <v/>
      </c>
      <c r="M206" s="38" t="str">
        <f t="shared" si="34"/>
        <v>01C6</v>
      </c>
      <c r="N206" s="69">
        <f t="shared" si="37"/>
        <v>454</v>
      </c>
      <c r="O206" s="96"/>
      <c r="P206" s="97"/>
      <c r="Q206" s="98"/>
      <c r="R206" s="135"/>
      <c r="U206" s="48" t="str">
        <f t="shared" si="36"/>
        <v/>
      </c>
      <c r="V206" s="16"/>
      <c r="W206" s="34"/>
      <c r="X206" s="35"/>
      <c r="Z206" s="74"/>
      <c r="AA206" s="130" t="str" cm="1">
        <f t="array" ref="AA206">HEX2ASCII(AB206)&amp;HEX2ASCII(AC206)&amp;HEX2ASCII(AD206)&amp;HEX2ASCII(AE206)&amp;HEX2ASCII(AF206)&amp;HEX2ASCII(AG206)&amp;HEX2ASCII(AH206)&amp;HEX2ASCII(AI206)</f>
        <v/>
      </c>
      <c r="AB206" s="147"/>
      <c r="AC206" s="148"/>
      <c r="AD206" s="148"/>
      <c r="AE206" s="148"/>
      <c r="AF206" s="148"/>
      <c r="AG206" s="148"/>
      <c r="AH206" s="148"/>
      <c r="AI206" s="149"/>
    </row>
    <row r="207" spans="11:35">
      <c r="K207" s="85"/>
      <c r="L207" s="54" t="str">
        <f t="shared" si="35"/>
        <v/>
      </c>
      <c r="M207" s="38" t="str">
        <f t="shared" si="34"/>
        <v>01C7</v>
      </c>
      <c r="N207" s="69">
        <f t="shared" si="37"/>
        <v>455</v>
      </c>
      <c r="O207" s="96"/>
      <c r="P207" s="97"/>
      <c r="Q207" s="98"/>
      <c r="R207" s="135"/>
      <c r="U207" s="48" t="str">
        <f t="shared" si="36"/>
        <v/>
      </c>
      <c r="V207" s="16"/>
      <c r="W207" s="34"/>
      <c r="X207" s="35"/>
      <c r="Z207" s="74"/>
      <c r="AA207" s="130" t="str" cm="1">
        <f t="array" ref="AA207">HEX2ASCII(AB207)&amp;HEX2ASCII(AC207)&amp;HEX2ASCII(AD207)&amp;HEX2ASCII(AE207)&amp;HEX2ASCII(AF207)&amp;HEX2ASCII(AG207)&amp;HEX2ASCII(AH207)&amp;HEX2ASCII(AI207)</f>
        <v/>
      </c>
      <c r="AB207" s="147"/>
      <c r="AC207" s="148"/>
      <c r="AD207" s="148"/>
      <c r="AE207" s="148"/>
      <c r="AF207" s="148"/>
      <c r="AG207" s="148"/>
      <c r="AH207" s="148"/>
      <c r="AI207" s="149"/>
    </row>
    <row r="208" spans="11:35">
      <c r="K208" s="85"/>
      <c r="L208" s="54" t="str">
        <f t="shared" si="35"/>
        <v/>
      </c>
      <c r="M208" s="38" t="str">
        <f t="shared" si="34"/>
        <v>01C8</v>
      </c>
      <c r="N208" s="69">
        <f t="shared" si="37"/>
        <v>456</v>
      </c>
      <c r="O208" s="96"/>
      <c r="P208" s="97"/>
      <c r="Q208" s="98"/>
      <c r="R208" s="135"/>
      <c r="U208" s="48" t="str">
        <f t="shared" si="36"/>
        <v/>
      </c>
      <c r="V208" s="16"/>
      <c r="W208" s="34"/>
      <c r="X208" s="35"/>
      <c r="Z208" s="74"/>
      <c r="AA208" s="130" t="str" cm="1">
        <f t="array" ref="AA208">HEX2ASCII(AB208)&amp;HEX2ASCII(AC208)&amp;HEX2ASCII(AD208)&amp;HEX2ASCII(AE208)&amp;HEX2ASCII(AF208)&amp;HEX2ASCII(AG208)&amp;HEX2ASCII(AH208)&amp;HEX2ASCII(AI208)</f>
        <v/>
      </c>
      <c r="AB208" s="147"/>
      <c r="AC208" s="148"/>
      <c r="AD208" s="148"/>
      <c r="AE208" s="148"/>
      <c r="AF208" s="148"/>
      <c r="AG208" s="148"/>
      <c r="AH208" s="148"/>
      <c r="AI208" s="149"/>
    </row>
    <row r="209" spans="11:35">
      <c r="K209" s="85"/>
      <c r="L209" s="54" t="str">
        <f t="shared" si="35"/>
        <v/>
      </c>
      <c r="M209" s="38" t="str">
        <f t="shared" si="34"/>
        <v>01C9</v>
      </c>
      <c r="N209" s="69">
        <f t="shared" si="37"/>
        <v>457</v>
      </c>
      <c r="O209" s="96"/>
      <c r="P209" s="97"/>
      <c r="Q209" s="98"/>
      <c r="R209" s="135"/>
      <c r="U209" s="48" t="str">
        <f t="shared" si="36"/>
        <v/>
      </c>
      <c r="V209" s="16"/>
      <c r="W209" s="34"/>
      <c r="X209" s="35"/>
      <c r="Z209" s="74"/>
      <c r="AA209" s="130" t="str" cm="1">
        <f t="array" ref="AA209">HEX2ASCII(AB209)&amp;HEX2ASCII(AC209)&amp;HEX2ASCII(AD209)&amp;HEX2ASCII(AE209)&amp;HEX2ASCII(AF209)&amp;HEX2ASCII(AG209)&amp;HEX2ASCII(AH209)&amp;HEX2ASCII(AI209)</f>
        <v/>
      </c>
      <c r="AB209" s="147"/>
      <c r="AC209" s="148"/>
      <c r="AD209" s="148"/>
      <c r="AE209" s="148"/>
      <c r="AF209" s="148"/>
      <c r="AG209" s="148"/>
      <c r="AH209" s="148"/>
      <c r="AI209" s="149"/>
    </row>
    <row r="210" spans="11:35">
      <c r="K210" s="85"/>
      <c r="L210" s="54" t="str">
        <f t="shared" si="35"/>
        <v/>
      </c>
      <c r="M210" s="38" t="str">
        <f t="shared" si="34"/>
        <v>01CA</v>
      </c>
      <c r="N210" s="69">
        <f t="shared" si="37"/>
        <v>458</v>
      </c>
      <c r="O210" s="96"/>
      <c r="P210" s="97"/>
      <c r="Q210" s="98"/>
      <c r="R210" s="135"/>
      <c r="U210" s="48" t="str">
        <f t="shared" si="36"/>
        <v/>
      </c>
      <c r="V210" s="16"/>
      <c r="W210" s="34"/>
      <c r="X210" s="35"/>
      <c r="Z210" s="74"/>
      <c r="AA210" s="130" t="str" cm="1">
        <f t="array" ref="AA210">HEX2ASCII(AB210)&amp;HEX2ASCII(AC210)&amp;HEX2ASCII(AD210)&amp;HEX2ASCII(AE210)&amp;HEX2ASCII(AF210)&amp;HEX2ASCII(AG210)&amp;HEX2ASCII(AH210)&amp;HEX2ASCII(AI210)</f>
        <v/>
      </c>
      <c r="AB210" s="147"/>
      <c r="AC210" s="148"/>
      <c r="AD210" s="148"/>
      <c r="AE210" s="148"/>
      <c r="AF210" s="148"/>
      <c r="AG210" s="148"/>
      <c r="AH210" s="148"/>
      <c r="AI210" s="149"/>
    </row>
    <row r="211" spans="11:35">
      <c r="K211" s="85"/>
      <c r="L211" s="54" t="str">
        <f t="shared" si="35"/>
        <v/>
      </c>
      <c r="M211" s="38" t="str">
        <f t="shared" si="34"/>
        <v>01CB</v>
      </c>
      <c r="N211" s="69">
        <f t="shared" si="37"/>
        <v>459</v>
      </c>
      <c r="O211" s="96"/>
      <c r="P211" s="97"/>
      <c r="Q211" s="98"/>
      <c r="R211" s="135"/>
      <c r="U211" s="48" t="str">
        <f t="shared" si="36"/>
        <v/>
      </c>
      <c r="V211" s="16"/>
      <c r="W211" s="34"/>
      <c r="X211" s="35"/>
      <c r="Z211" s="74"/>
      <c r="AA211" s="130" t="str" cm="1">
        <f t="array" ref="AA211">HEX2ASCII(AB211)&amp;HEX2ASCII(AC211)&amp;HEX2ASCII(AD211)&amp;HEX2ASCII(AE211)&amp;HEX2ASCII(AF211)&amp;HEX2ASCII(AG211)&amp;HEX2ASCII(AH211)&amp;HEX2ASCII(AI211)</f>
        <v/>
      </c>
      <c r="AB211" s="147"/>
      <c r="AC211" s="148"/>
      <c r="AD211" s="148"/>
      <c r="AE211" s="148"/>
      <c r="AF211" s="148"/>
      <c r="AG211" s="148"/>
      <c r="AH211" s="148"/>
      <c r="AI211" s="149"/>
    </row>
    <row r="212" spans="11:35">
      <c r="K212" s="85"/>
      <c r="L212" s="54" t="str">
        <f t="shared" si="35"/>
        <v/>
      </c>
      <c r="M212" s="38" t="str">
        <f t="shared" si="34"/>
        <v>01CC</v>
      </c>
      <c r="N212" s="69">
        <f t="shared" si="37"/>
        <v>460</v>
      </c>
      <c r="O212" s="96"/>
      <c r="P212" s="97"/>
      <c r="Q212" s="98"/>
      <c r="R212" s="135"/>
      <c r="U212" s="48" t="str">
        <f t="shared" si="36"/>
        <v/>
      </c>
      <c r="V212" s="16"/>
      <c r="W212" s="34"/>
      <c r="X212" s="35"/>
      <c r="Z212" s="74"/>
      <c r="AA212" s="130" t="str" cm="1">
        <f t="array" ref="AA212">HEX2ASCII(AB212)&amp;HEX2ASCII(AC212)&amp;HEX2ASCII(AD212)&amp;HEX2ASCII(AE212)&amp;HEX2ASCII(AF212)&amp;HEX2ASCII(AG212)&amp;HEX2ASCII(AH212)&amp;HEX2ASCII(AI212)</f>
        <v/>
      </c>
      <c r="AB212" s="147"/>
      <c r="AC212" s="148"/>
      <c r="AD212" s="148"/>
      <c r="AE212" s="148"/>
      <c r="AF212" s="148"/>
      <c r="AG212" s="148"/>
      <c r="AH212" s="148"/>
      <c r="AI212" s="149"/>
    </row>
    <row r="213" spans="11:35">
      <c r="K213" s="85"/>
      <c r="L213" s="54" t="str">
        <f t="shared" si="35"/>
        <v/>
      </c>
      <c r="M213" s="38" t="str">
        <f t="shared" si="34"/>
        <v>01CD</v>
      </c>
      <c r="N213" s="69">
        <f t="shared" si="37"/>
        <v>461</v>
      </c>
      <c r="O213" s="96"/>
      <c r="P213" s="97"/>
      <c r="Q213" s="98"/>
      <c r="R213" s="135"/>
      <c r="U213" s="48" t="str">
        <f t="shared" si="36"/>
        <v/>
      </c>
      <c r="V213" s="16"/>
      <c r="W213" s="34"/>
      <c r="X213" s="35"/>
      <c r="Z213" s="74"/>
      <c r="AA213" s="130" t="str" cm="1">
        <f t="array" ref="AA213">HEX2ASCII(AB213)&amp;HEX2ASCII(AC213)&amp;HEX2ASCII(AD213)&amp;HEX2ASCII(AE213)&amp;HEX2ASCII(AF213)&amp;HEX2ASCII(AG213)&amp;HEX2ASCII(AH213)&amp;HEX2ASCII(AI213)</f>
        <v/>
      </c>
      <c r="AB213" s="147"/>
      <c r="AC213" s="148"/>
      <c r="AD213" s="148"/>
      <c r="AE213" s="148"/>
      <c r="AF213" s="148"/>
      <c r="AG213" s="148"/>
      <c r="AH213" s="148"/>
      <c r="AI213" s="149"/>
    </row>
    <row r="214" spans="11:35">
      <c r="K214" s="85"/>
      <c r="L214" s="54" t="str">
        <f t="shared" si="35"/>
        <v/>
      </c>
      <c r="M214" s="38" t="str">
        <f t="shared" si="34"/>
        <v>01CE</v>
      </c>
      <c r="N214" s="69">
        <f t="shared" si="37"/>
        <v>462</v>
      </c>
      <c r="O214" s="96"/>
      <c r="P214" s="97"/>
      <c r="Q214" s="98"/>
      <c r="R214" s="135"/>
      <c r="U214" s="48" t="str">
        <f t="shared" si="36"/>
        <v/>
      </c>
      <c r="V214" s="16"/>
      <c r="W214" s="34"/>
      <c r="X214" s="35"/>
      <c r="Z214" s="74"/>
      <c r="AA214" s="130" t="str" cm="1">
        <f t="array" ref="AA214">HEX2ASCII(AB214)&amp;HEX2ASCII(AC214)&amp;HEX2ASCII(AD214)&amp;HEX2ASCII(AE214)&amp;HEX2ASCII(AF214)&amp;HEX2ASCII(AG214)&amp;HEX2ASCII(AH214)&amp;HEX2ASCII(AI214)</f>
        <v/>
      </c>
      <c r="AB214" s="147"/>
      <c r="AC214" s="148"/>
      <c r="AD214" s="148"/>
      <c r="AE214" s="148"/>
      <c r="AF214" s="148"/>
      <c r="AG214" s="148"/>
      <c r="AH214" s="148"/>
      <c r="AI214" s="149"/>
    </row>
    <row r="215" spans="11:35">
      <c r="K215" s="85"/>
      <c r="L215" s="54" t="str">
        <f t="shared" si="35"/>
        <v/>
      </c>
      <c r="M215" s="38" t="str">
        <f t="shared" si="34"/>
        <v>01CF</v>
      </c>
      <c r="N215" s="69">
        <f t="shared" si="37"/>
        <v>463</v>
      </c>
      <c r="O215" s="96"/>
      <c r="P215" s="97"/>
      <c r="Q215" s="98"/>
      <c r="R215" s="135"/>
      <c r="U215" s="48" t="str">
        <f t="shared" si="36"/>
        <v/>
      </c>
      <c r="V215" s="16"/>
      <c r="W215" s="34"/>
      <c r="X215" s="35"/>
      <c r="Z215" s="74"/>
      <c r="AA215" s="130" t="str" cm="1">
        <f t="array" ref="AA215">HEX2ASCII(AB215)&amp;HEX2ASCII(AC215)&amp;HEX2ASCII(AD215)&amp;HEX2ASCII(AE215)&amp;HEX2ASCII(AF215)&amp;HEX2ASCII(AG215)&amp;HEX2ASCII(AH215)&amp;HEX2ASCII(AI215)</f>
        <v/>
      </c>
      <c r="AB215" s="147"/>
      <c r="AC215" s="148"/>
      <c r="AD215" s="148"/>
      <c r="AE215" s="148"/>
      <c r="AF215" s="148"/>
      <c r="AG215" s="148"/>
      <c r="AH215" s="148"/>
      <c r="AI215" s="149"/>
    </row>
    <row r="216" spans="11:35">
      <c r="K216" s="85"/>
      <c r="L216" s="54" t="str">
        <f t="shared" si="35"/>
        <v/>
      </c>
      <c r="M216" s="38" t="str">
        <f t="shared" si="34"/>
        <v>01D0</v>
      </c>
      <c r="N216" s="69">
        <f t="shared" si="37"/>
        <v>464</v>
      </c>
      <c r="O216" s="96"/>
      <c r="P216" s="97"/>
      <c r="Q216" s="98"/>
      <c r="R216" s="135"/>
      <c r="U216" s="48" t="str">
        <f t="shared" si="36"/>
        <v/>
      </c>
      <c r="V216" s="16"/>
      <c r="W216" s="34"/>
      <c r="X216" s="35"/>
      <c r="Z216" s="74"/>
      <c r="AA216" s="130" t="str" cm="1">
        <f t="array" ref="AA216">HEX2ASCII(AB216)&amp;HEX2ASCII(AC216)&amp;HEX2ASCII(AD216)&amp;HEX2ASCII(AE216)&amp;HEX2ASCII(AF216)&amp;HEX2ASCII(AG216)&amp;HEX2ASCII(AH216)&amp;HEX2ASCII(AI216)</f>
        <v/>
      </c>
      <c r="AB216" s="147"/>
      <c r="AC216" s="148"/>
      <c r="AD216" s="148"/>
      <c r="AE216" s="148"/>
      <c r="AF216" s="148"/>
      <c r="AG216" s="148"/>
      <c r="AH216" s="148"/>
      <c r="AI216" s="149"/>
    </row>
    <row r="217" spans="11:35">
      <c r="K217" s="85"/>
      <c r="L217" s="54" t="str">
        <f t="shared" si="35"/>
        <v/>
      </c>
      <c r="M217" s="38" t="str">
        <f t="shared" si="34"/>
        <v>01D1</v>
      </c>
      <c r="N217" s="69">
        <f t="shared" si="37"/>
        <v>465</v>
      </c>
      <c r="O217" s="96"/>
      <c r="P217" s="97"/>
      <c r="Q217" s="98"/>
      <c r="R217" s="135"/>
      <c r="U217" s="48" t="str">
        <f t="shared" si="36"/>
        <v/>
      </c>
      <c r="V217" s="16"/>
      <c r="W217" s="34"/>
      <c r="X217" s="35"/>
      <c r="Z217" s="74"/>
      <c r="AA217" s="130" t="str" cm="1">
        <f t="array" ref="AA217">HEX2ASCII(AB217)&amp;HEX2ASCII(AC217)&amp;HEX2ASCII(AD217)&amp;HEX2ASCII(AE217)&amp;HEX2ASCII(AF217)&amp;HEX2ASCII(AG217)&amp;HEX2ASCII(AH217)&amp;HEX2ASCII(AI217)</f>
        <v/>
      </c>
      <c r="AB217" s="147"/>
      <c r="AC217" s="148"/>
      <c r="AD217" s="148"/>
      <c r="AE217" s="148"/>
      <c r="AF217" s="148"/>
      <c r="AG217" s="148"/>
      <c r="AH217" s="148"/>
      <c r="AI217" s="149"/>
    </row>
    <row r="218" spans="11:35">
      <c r="K218" s="85"/>
      <c r="L218" s="54" t="str">
        <f t="shared" si="35"/>
        <v/>
      </c>
      <c r="M218" s="38" t="str">
        <f t="shared" si="34"/>
        <v>01D2</v>
      </c>
      <c r="N218" s="69">
        <f t="shared" si="37"/>
        <v>466</v>
      </c>
      <c r="O218" s="96"/>
      <c r="P218" s="97"/>
      <c r="Q218" s="98"/>
      <c r="R218" s="135"/>
      <c r="U218" s="48" t="str">
        <f t="shared" si="36"/>
        <v/>
      </c>
      <c r="V218" s="16"/>
      <c r="W218" s="34"/>
      <c r="X218" s="35"/>
      <c r="Z218" s="74"/>
      <c r="AA218" s="130" t="str" cm="1">
        <f t="array" ref="AA218">HEX2ASCII(AB218)&amp;HEX2ASCII(AC218)&amp;HEX2ASCII(AD218)&amp;HEX2ASCII(AE218)&amp;HEX2ASCII(AF218)&amp;HEX2ASCII(AG218)&amp;HEX2ASCII(AH218)&amp;HEX2ASCII(AI218)</f>
        <v/>
      </c>
      <c r="AB218" s="147"/>
      <c r="AC218" s="148"/>
      <c r="AD218" s="148"/>
      <c r="AE218" s="148"/>
      <c r="AF218" s="148"/>
      <c r="AG218" s="148"/>
      <c r="AH218" s="148"/>
      <c r="AI218" s="149"/>
    </row>
    <row r="219" spans="11:35">
      <c r="K219" s="85"/>
      <c r="L219" s="54" t="str">
        <f t="shared" si="35"/>
        <v/>
      </c>
      <c r="M219" s="38" t="str">
        <f t="shared" si="34"/>
        <v>01D3</v>
      </c>
      <c r="N219" s="69">
        <f t="shared" si="37"/>
        <v>467</v>
      </c>
      <c r="O219" s="96"/>
      <c r="P219" s="97"/>
      <c r="Q219" s="98"/>
      <c r="R219" s="135"/>
      <c r="U219" s="48" t="str">
        <f t="shared" si="36"/>
        <v/>
      </c>
      <c r="V219" s="16"/>
      <c r="W219" s="34"/>
      <c r="X219" s="35"/>
      <c r="Z219" s="74"/>
      <c r="AA219" s="130" t="str" cm="1">
        <f t="array" ref="AA219">HEX2ASCII(AB219)&amp;HEX2ASCII(AC219)&amp;HEX2ASCII(AD219)&amp;HEX2ASCII(AE219)&amp;HEX2ASCII(AF219)&amp;HEX2ASCII(AG219)&amp;HEX2ASCII(AH219)&amp;HEX2ASCII(AI219)</f>
        <v/>
      </c>
      <c r="AB219" s="147"/>
      <c r="AC219" s="148"/>
      <c r="AD219" s="148"/>
      <c r="AE219" s="148"/>
      <c r="AF219" s="148"/>
      <c r="AG219" s="148"/>
      <c r="AH219" s="148"/>
      <c r="AI219" s="149"/>
    </row>
    <row r="220" spans="11:35">
      <c r="K220" s="85"/>
      <c r="L220" s="54" t="str">
        <f t="shared" si="35"/>
        <v/>
      </c>
      <c r="M220" s="38" t="str">
        <f t="shared" si="34"/>
        <v>01D4</v>
      </c>
      <c r="N220" s="69">
        <f t="shared" si="37"/>
        <v>468</v>
      </c>
      <c r="O220" s="96"/>
      <c r="P220" s="97"/>
      <c r="Q220" s="98"/>
      <c r="R220" s="135"/>
      <c r="U220" s="48" t="str">
        <f t="shared" si="36"/>
        <v/>
      </c>
      <c r="V220" s="16"/>
      <c r="W220" s="34"/>
      <c r="X220" s="35"/>
      <c r="Z220" s="74"/>
      <c r="AA220" s="130" t="str" cm="1">
        <f t="array" ref="AA220">HEX2ASCII(AB220)&amp;HEX2ASCII(AC220)&amp;HEX2ASCII(AD220)&amp;HEX2ASCII(AE220)&amp;HEX2ASCII(AF220)&amp;HEX2ASCII(AG220)&amp;HEX2ASCII(AH220)&amp;HEX2ASCII(AI220)</f>
        <v/>
      </c>
      <c r="AB220" s="147"/>
      <c r="AC220" s="148"/>
      <c r="AD220" s="148"/>
      <c r="AE220" s="148"/>
      <c r="AF220" s="148"/>
      <c r="AG220" s="148"/>
      <c r="AH220" s="148"/>
      <c r="AI220" s="149"/>
    </row>
    <row r="221" spans="11:35">
      <c r="K221" s="85"/>
      <c r="L221" s="54" t="str">
        <f t="shared" si="35"/>
        <v/>
      </c>
      <c r="M221" s="38" t="str">
        <f t="shared" ref="M221:M284" si="38">IFERROR(RIGHT("0000"&amp;DEC2HEX(N221),4),"")</f>
        <v>01D5</v>
      </c>
      <c r="N221" s="69">
        <f t="shared" si="37"/>
        <v>469</v>
      </c>
      <c r="O221" s="96"/>
      <c r="P221" s="97"/>
      <c r="Q221" s="98"/>
      <c r="R221" s="135"/>
      <c r="U221" s="48" t="str">
        <f t="shared" si="36"/>
        <v/>
      </c>
      <c r="V221" s="16"/>
      <c r="W221" s="34"/>
      <c r="X221" s="35"/>
      <c r="Z221" s="74"/>
      <c r="AA221" s="130" t="str" cm="1">
        <f t="array" ref="AA221">HEX2ASCII(AB221)&amp;HEX2ASCII(AC221)&amp;HEX2ASCII(AD221)&amp;HEX2ASCII(AE221)&amp;HEX2ASCII(AF221)&amp;HEX2ASCII(AG221)&amp;HEX2ASCII(AH221)&amp;HEX2ASCII(AI221)</f>
        <v/>
      </c>
      <c r="AB221" s="147"/>
      <c r="AC221" s="148"/>
      <c r="AD221" s="148"/>
      <c r="AE221" s="148"/>
      <c r="AF221" s="148"/>
      <c r="AG221" s="148"/>
      <c r="AH221" s="148"/>
      <c r="AI221" s="149"/>
    </row>
    <row r="222" spans="11:35">
      <c r="K222" s="85"/>
      <c r="L222" s="54" t="str">
        <f t="shared" si="35"/>
        <v/>
      </c>
      <c r="M222" s="38" t="str">
        <f t="shared" si="38"/>
        <v>01D6</v>
      </c>
      <c r="N222" s="69">
        <f t="shared" si="37"/>
        <v>470</v>
      </c>
      <c r="O222" s="96"/>
      <c r="P222" s="97"/>
      <c r="Q222" s="98"/>
      <c r="R222" s="135"/>
      <c r="U222" s="48" t="str">
        <f t="shared" si="36"/>
        <v/>
      </c>
      <c r="V222" s="16"/>
      <c r="W222" s="34"/>
      <c r="X222" s="35"/>
      <c r="Z222" s="74"/>
      <c r="AA222" s="130" t="str" cm="1">
        <f t="array" ref="AA222">HEX2ASCII(AB222)&amp;HEX2ASCII(AC222)&amp;HEX2ASCII(AD222)&amp;HEX2ASCII(AE222)&amp;HEX2ASCII(AF222)&amp;HEX2ASCII(AG222)&amp;HEX2ASCII(AH222)&amp;HEX2ASCII(AI222)</f>
        <v/>
      </c>
      <c r="AB222" s="147"/>
      <c r="AC222" s="148"/>
      <c r="AD222" s="148"/>
      <c r="AE222" s="148"/>
      <c r="AF222" s="148"/>
      <c r="AG222" s="148"/>
      <c r="AH222" s="148"/>
      <c r="AI222" s="149"/>
    </row>
    <row r="223" spans="11:35">
      <c r="K223" s="85"/>
      <c r="L223" s="54" t="str">
        <f t="shared" si="35"/>
        <v/>
      </c>
      <c r="M223" s="38" t="str">
        <f t="shared" si="38"/>
        <v>01D7</v>
      </c>
      <c r="N223" s="69">
        <f t="shared" si="37"/>
        <v>471</v>
      </c>
      <c r="O223" s="96"/>
      <c r="P223" s="97"/>
      <c r="Q223" s="98"/>
      <c r="R223" s="135"/>
      <c r="U223" s="48" t="str">
        <f t="shared" si="36"/>
        <v/>
      </c>
      <c r="V223" s="16"/>
      <c r="W223" s="34"/>
      <c r="X223" s="35"/>
      <c r="Z223" s="74"/>
      <c r="AA223" s="130" t="str" cm="1">
        <f t="array" ref="AA223">HEX2ASCII(AB223)&amp;HEX2ASCII(AC223)&amp;HEX2ASCII(AD223)&amp;HEX2ASCII(AE223)&amp;HEX2ASCII(AF223)&amp;HEX2ASCII(AG223)&amp;HEX2ASCII(AH223)&amp;HEX2ASCII(AI223)</f>
        <v/>
      </c>
      <c r="AB223" s="147"/>
      <c r="AC223" s="148"/>
      <c r="AD223" s="148"/>
      <c r="AE223" s="148"/>
      <c r="AF223" s="148"/>
      <c r="AG223" s="148"/>
      <c r="AH223" s="148"/>
      <c r="AI223" s="149"/>
    </row>
    <row r="224" spans="11:35">
      <c r="K224" s="85"/>
      <c r="L224" s="54" t="str">
        <f t="shared" si="35"/>
        <v/>
      </c>
      <c r="M224" s="38" t="str">
        <f t="shared" si="38"/>
        <v>01D8</v>
      </c>
      <c r="N224" s="69">
        <f t="shared" si="37"/>
        <v>472</v>
      </c>
      <c r="O224" s="96"/>
      <c r="P224" s="97"/>
      <c r="Q224" s="98"/>
      <c r="R224" s="135"/>
      <c r="U224" s="48" t="str">
        <f t="shared" si="36"/>
        <v/>
      </c>
      <c r="V224" s="16"/>
      <c r="W224" s="34"/>
      <c r="X224" s="35"/>
      <c r="Z224" s="74"/>
      <c r="AA224" s="130" t="str" cm="1">
        <f t="array" ref="AA224">HEX2ASCII(AB224)&amp;HEX2ASCII(AC224)&amp;HEX2ASCII(AD224)&amp;HEX2ASCII(AE224)&amp;HEX2ASCII(AF224)&amp;HEX2ASCII(AG224)&amp;HEX2ASCII(AH224)&amp;HEX2ASCII(AI224)</f>
        <v/>
      </c>
      <c r="AB224" s="147"/>
      <c r="AC224" s="148"/>
      <c r="AD224" s="148"/>
      <c r="AE224" s="148"/>
      <c r="AF224" s="148"/>
      <c r="AG224" s="148"/>
      <c r="AH224" s="148"/>
      <c r="AI224" s="149"/>
    </row>
    <row r="225" spans="11:35">
      <c r="K225" s="85"/>
      <c r="L225" s="54" t="str">
        <f t="shared" si="35"/>
        <v/>
      </c>
      <c r="M225" s="38" t="str">
        <f t="shared" si="38"/>
        <v>01D9</v>
      </c>
      <c r="N225" s="69">
        <f t="shared" si="37"/>
        <v>473</v>
      </c>
      <c r="O225" s="96"/>
      <c r="P225" s="97"/>
      <c r="Q225" s="98"/>
      <c r="R225" s="135"/>
      <c r="U225" s="48" t="str">
        <f t="shared" si="36"/>
        <v/>
      </c>
      <c r="V225" s="16"/>
      <c r="W225" s="34"/>
      <c r="X225" s="35"/>
      <c r="Z225" s="74"/>
      <c r="AA225" s="130" t="str" cm="1">
        <f t="array" ref="AA225">HEX2ASCII(AB225)&amp;HEX2ASCII(AC225)&amp;HEX2ASCII(AD225)&amp;HEX2ASCII(AE225)&amp;HEX2ASCII(AF225)&amp;HEX2ASCII(AG225)&amp;HEX2ASCII(AH225)&amp;HEX2ASCII(AI225)</f>
        <v/>
      </c>
      <c r="AB225" s="147"/>
      <c r="AC225" s="148"/>
      <c r="AD225" s="148"/>
      <c r="AE225" s="148"/>
      <c r="AF225" s="148"/>
      <c r="AG225" s="148"/>
      <c r="AH225" s="148"/>
      <c r="AI225" s="149"/>
    </row>
    <row r="226" spans="11:35">
      <c r="K226" s="85"/>
      <c r="L226" s="54" t="str">
        <f t="shared" si="35"/>
        <v/>
      </c>
      <c r="M226" s="38" t="str">
        <f t="shared" si="38"/>
        <v>01DA</v>
      </c>
      <c r="N226" s="69">
        <f t="shared" si="37"/>
        <v>474</v>
      </c>
      <c r="O226" s="96"/>
      <c r="P226" s="97"/>
      <c r="Q226" s="98"/>
      <c r="R226" s="135"/>
      <c r="U226" s="48" t="str">
        <f t="shared" si="36"/>
        <v/>
      </c>
      <c r="V226" s="16"/>
      <c r="W226" s="34"/>
      <c r="X226" s="35"/>
      <c r="Z226" s="74"/>
      <c r="AA226" s="130" t="str" cm="1">
        <f t="array" ref="AA226">HEX2ASCII(AB226)&amp;HEX2ASCII(AC226)&amp;HEX2ASCII(AD226)&amp;HEX2ASCII(AE226)&amp;HEX2ASCII(AF226)&amp;HEX2ASCII(AG226)&amp;HEX2ASCII(AH226)&amp;HEX2ASCII(AI226)</f>
        <v/>
      </c>
      <c r="AB226" s="147"/>
      <c r="AC226" s="148"/>
      <c r="AD226" s="148"/>
      <c r="AE226" s="148"/>
      <c r="AF226" s="148"/>
      <c r="AG226" s="148"/>
      <c r="AH226" s="148"/>
      <c r="AI226" s="149"/>
    </row>
    <row r="227" spans="11:35">
      <c r="K227" s="85"/>
      <c r="L227" s="54" t="str">
        <f t="shared" si="35"/>
        <v/>
      </c>
      <c r="M227" s="38" t="str">
        <f t="shared" si="38"/>
        <v>01DB</v>
      </c>
      <c r="N227" s="69">
        <f t="shared" si="37"/>
        <v>475</v>
      </c>
      <c r="O227" s="96"/>
      <c r="P227" s="97"/>
      <c r="Q227" s="98"/>
      <c r="R227" s="135"/>
      <c r="U227" s="48" t="str">
        <f t="shared" si="36"/>
        <v/>
      </c>
      <c r="V227" s="16"/>
      <c r="W227" s="34"/>
      <c r="X227" s="35"/>
      <c r="Z227" s="74"/>
      <c r="AA227" s="130" t="str" cm="1">
        <f t="array" ref="AA227">HEX2ASCII(AB227)&amp;HEX2ASCII(AC227)&amp;HEX2ASCII(AD227)&amp;HEX2ASCII(AE227)&amp;HEX2ASCII(AF227)&amp;HEX2ASCII(AG227)&amp;HEX2ASCII(AH227)&amp;HEX2ASCII(AI227)</f>
        <v/>
      </c>
      <c r="AB227" s="147"/>
      <c r="AC227" s="148"/>
      <c r="AD227" s="148"/>
      <c r="AE227" s="148"/>
      <c r="AF227" s="148"/>
      <c r="AG227" s="148"/>
      <c r="AH227" s="148"/>
      <c r="AI227" s="149"/>
    </row>
    <row r="228" spans="11:35">
      <c r="K228" s="85"/>
      <c r="L228" s="54" t="str">
        <f t="shared" si="35"/>
        <v/>
      </c>
      <c r="M228" s="38" t="str">
        <f t="shared" si="38"/>
        <v>01DC</v>
      </c>
      <c r="N228" s="69">
        <f t="shared" si="37"/>
        <v>476</v>
      </c>
      <c r="O228" s="96"/>
      <c r="P228" s="97"/>
      <c r="Q228" s="98"/>
      <c r="R228" s="135"/>
      <c r="U228" s="48" t="str">
        <f t="shared" si="36"/>
        <v/>
      </c>
      <c r="V228" s="16"/>
      <c r="W228" s="34"/>
      <c r="X228" s="35"/>
      <c r="Z228" s="74"/>
      <c r="AA228" s="130" t="str" cm="1">
        <f t="array" ref="AA228">HEX2ASCII(AB228)&amp;HEX2ASCII(AC228)&amp;HEX2ASCII(AD228)&amp;HEX2ASCII(AE228)&amp;HEX2ASCII(AF228)&amp;HEX2ASCII(AG228)&amp;HEX2ASCII(AH228)&amp;HEX2ASCII(AI228)</f>
        <v/>
      </c>
      <c r="AB228" s="147"/>
      <c r="AC228" s="148"/>
      <c r="AD228" s="148"/>
      <c r="AE228" s="148"/>
      <c r="AF228" s="148"/>
      <c r="AG228" s="148"/>
      <c r="AH228" s="148"/>
      <c r="AI228" s="149"/>
    </row>
    <row r="229" spans="11:35">
      <c r="K229" s="85"/>
      <c r="L229" s="54" t="str">
        <f t="shared" si="35"/>
        <v/>
      </c>
      <c r="M229" s="38" t="str">
        <f t="shared" si="38"/>
        <v>01DD</v>
      </c>
      <c r="N229" s="69">
        <f t="shared" si="37"/>
        <v>477</v>
      </c>
      <c r="O229" s="96"/>
      <c r="P229" s="97"/>
      <c r="Q229" s="98"/>
      <c r="R229" s="135"/>
      <c r="U229" s="48" t="str">
        <f t="shared" si="36"/>
        <v/>
      </c>
      <c r="V229" s="16"/>
      <c r="W229" s="34"/>
      <c r="X229" s="35"/>
      <c r="Z229" s="74"/>
      <c r="AA229" s="130" t="str" cm="1">
        <f t="array" ref="AA229">HEX2ASCII(AB229)&amp;HEX2ASCII(AC229)&amp;HEX2ASCII(AD229)&amp;HEX2ASCII(AE229)&amp;HEX2ASCII(AF229)&amp;HEX2ASCII(AG229)&amp;HEX2ASCII(AH229)&amp;HEX2ASCII(AI229)</f>
        <v/>
      </c>
      <c r="AB229" s="147"/>
      <c r="AC229" s="148"/>
      <c r="AD229" s="148"/>
      <c r="AE229" s="148"/>
      <c r="AF229" s="148"/>
      <c r="AG229" s="148"/>
      <c r="AH229" s="148"/>
      <c r="AI229" s="149"/>
    </row>
    <row r="230" spans="11:35">
      <c r="K230" s="85"/>
      <c r="L230" s="54" t="str">
        <f t="shared" si="35"/>
        <v/>
      </c>
      <c r="M230" s="38" t="str">
        <f t="shared" si="38"/>
        <v>01DE</v>
      </c>
      <c r="N230" s="69">
        <f t="shared" si="37"/>
        <v>478</v>
      </c>
      <c r="O230" s="96"/>
      <c r="P230" s="97"/>
      <c r="Q230" s="98"/>
      <c r="R230" s="135"/>
      <c r="U230" s="48" t="str">
        <f t="shared" si="36"/>
        <v/>
      </c>
      <c r="V230" s="16"/>
      <c r="W230" s="34"/>
      <c r="X230" s="35"/>
      <c r="Z230" s="74"/>
      <c r="AA230" s="130" t="str" cm="1">
        <f t="array" ref="AA230">HEX2ASCII(AB230)&amp;HEX2ASCII(AC230)&amp;HEX2ASCII(AD230)&amp;HEX2ASCII(AE230)&amp;HEX2ASCII(AF230)&amp;HEX2ASCII(AG230)&amp;HEX2ASCII(AH230)&amp;HEX2ASCII(AI230)</f>
        <v/>
      </c>
      <c r="AB230" s="147"/>
      <c r="AC230" s="148"/>
      <c r="AD230" s="148"/>
      <c r="AE230" s="148"/>
      <c r="AF230" s="148"/>
      <c r="AG230" s="148"/>
      <c r="AH230" s="148"/>
      <c r="AI230" s="149"/>
    </row>
    <row r="231" spans="11:35">
      <c r="K231" s="85"/>
      <c r="L231" s="54" t="str">
        <f t="shared" si="35"/>
        <v/>
      </c>
      <c r="M231" s="38" t="str">
        <f t="shared" si="38"/>
        <v>01DF</v>
      </c>
      <c r="N231" s="69">
        <f t="shared" si="37"/>
        <v>479</v>
      </c>
      <c r="O231" s="96"/>
      <c r="P231" s="97"/>
      <c r="Q231" s="98"/>
      <c r="R231" s="135"/>
      <c r="U231" s="48" t="str">
        <f t="shared" si="36"/>
        <v/>
      </c>
      <c r="V231" s="16"/>
      <c r="W231" s="34"/>
      <c r="X231" s="35"/>
      <c r="Z231" s="74"/>
      <c r="AA231" s="130" t="str" cm="1">
        <f t="array" ref="AA231">HEX2ASCII(AB231)&amp;HEX2ASCII(AC231)&amp;HEX2ASCII(AD231)&amp;HEX2ASCII(AE231)&amp;HEX2ASCII(AF231)&amp;HEX2ASCII(AG231)&amp;HEX2ASCII(AH231)&amp;HEX2ASCII(AI231)</f>
        <v/>
      </c>
      <c r="AB231" s="147"/>
      <c r="AC231" s="148"/>
      <c r="AD231" s="148"/>
      <c r="AE231" s="148"/>
      <c r="AF231" s="148"/>
      <c r="AG231" s="148"/>
      <c r="AH231" s="148"/>
      <c r="AI231" s="149"/>
    </row>
    <row r="232" spans="11:35">
      <c r="K232" s="85"/>
      <c r="L232" s="54" t="str">
        <f t="shared" si="35"/>
        <v/>
      </c>
      <c r="M232" s="38" t="str">
        <f t="shared" si="38"/>
        <v>01E0</v>
      </c>
      <c r="N232" s="69">
        <f t="shared" si="37"/>
        <v>480</v>
      </c>
      <c r="O232" s="96"/>
      <c r="P232" s="97"/>
      <c r="Q232" s="98"/>
      <c r="R232" s="135"/>
      <c r="U232" s="48" t="str">
        <f t="shared" si="36"/>
        <v/>
      </c>
      <c r="V232" s="16"/>
      <c r="W232" s="34"/>
      <c r="X232" s="35"/>
      <c r="Z232" s="74"/>
      <c r="AA232" s="130" t="str" cm="1">
        <f t="array" ref="AA232">HEX2ASCII(AB232)&amp;HEX2ASCII(AC232)&amp;HEX2ASCII(AD232)&amp;HEX2ASCII(AE232)&amp;HEX2ASCII(AF232)&amp;HEX2ASCII(AG232)&amp;HEX2ASCII(AH232)&amp;HEX2ASCII(AI232)</f>
        <v/>
      </c>
      <c r="AB232" s="147"/>
      <c r="AC232" s="148"/>
      <c r="AD232" s="148"/>
      <c r="AE232" s="148"/>
      <c r="AF232" s="148"/>
      <c r="AG232" s="148"/>
      <c r="AH232" s="148"/>
      <c r="AI232" s="149"/>
    </row>
    <row r="233" spans="11:35">
      <c r="K233" s="85"/>
      <c r="L233" s="54" t="str">
        <f t="shared" si="35"/>
        <v/>
      </c>
      <c r="M233" s="38" t="str">
        <f t="shared" si="38"/>
        <v>01E1</v>
      </c>
      <c r="N233" s="69">
        <f t="shared" si="37"/>
        <v>481</v>
      </c>
      <c r="O233" s="96"/>
      <c r="P233" s="97"/>
      <c r="Q233" s="98"/>
      <c r="R233" s="135"/>
      <c r="U233" s="48" t="str">
        <f t="shared" si="36"/>
        <v/>
      </c>
      <c r="V233" s="16"/>
      <c r="W233" s="34"/>
      <c r="X233" s="35"/>
      <c r="Z233" s="74"/>
      <c r="AA233" s="130" t="str" cm="1">
        <f t="array" ref="AA233">HEX2ASCII(AB233)&amp;HEX2ASCII(AC233)&amp;HEX2ASCII(AD233)&amp;HEX2ASCII(AE233)&amp;HEX2ASCII(AF233)&amp;HEX2ASCII(AG233)&amp;HEX2ASCII(AH233)&amp;HEX2ASCII(AI233)</f>
        <v/>
      </c>
      <c r="AB233" s="147"/>
      <c r="AC233" s="148"/>
      <c r="AD233" s="148"/>
      <c r="AE233" s="148"/>
      <c r="AF233" s="148"/>
      <c r="AG233" s="148"/>
      <c r="AH233" s="148"/>
      <c r="AI233" s="149"/>
    </row>
    <row r="234" spans="11:35">
      <c r="K234" s="85"/>
      <c r="L234" s="54" t="str">
        <f t="shared" si="35"/>
        <v/>
      </c>
      <c r="M234" s="38" t="str">
        <f t="shared" si="38"/>
        <v>01E2</v>
      </c>
      <c r="N234" s="69">
        <f t="shared" si="37"/>
        <v>482</v>
      </c>
      <c r="O234" s="96"/>
      <c r="P234" s="97"/>
      <c r="Q234" s="98"/>
      <c r="R234" s="135"/>
      <c r="U234" s="48" t="str">
        <f t="shared" si="36"/>
        <v/>
      </c>
      <c r="V234" s="16"/>
      <c r="W234" s="34"/>
      <c r="X234" s="35"/>
      <c r="Z234" s="74"/>
      <c r="AA234" s="130" t="str" cm="1">
        <f t="array" ref="AA234">HEX2ASCII(AB234)&amp;HEX2ASCII(AC234)&amp;HEX2ASCII(AD234)&amp;HEX2ASCII(AE234)&amp;HEX2ASCII(AF234)&amp;HEX2ASCII(AG234)&amp;HEX2ASCII(AH234)&amp;HEX2ASCII(AI234)</f>
        <v/>
      </c>
      <c r="AB234" s="147"/>
      <c r="AC234" s="148"/>
      <c r="AD234" s="148"/>
      <c r="AE234" s="148"/>
      <c r="AF234" s="148"/>
      <c r="AG234" s="148"/>
      <c r="AH234" s="148"/>
      <c r="AI234" s="149"/>
    </row>
    <row r="235" spans="11:35">
      <c r="K235" s="85"/>
      <c r="L235" s="54" t="str">
        <f t="shared" si="35"/>
        <v/>
      </c>
      <c r="M235" s="38" t="str">
        <f t="shared" si="38"/>
        <v>01E3</v>
      </c>
      <c r="N235" s="69">
        <f t="shared" si="37"/>
        <v>483</v>
      </c>
      <c r="O235" s="96"/>
      <c r="P235" s="97"/>
      <c r="Q235" s="98"/>
      <c r="R235" s="135"/>
      <c r="U235" s="48" t="str">
        <f t="shared" si="36"/>
        <v/>
      </c>
      <c r="V235" s="16"/>
      <c r="W235" s="34"/>
      <c r="X235" s="35"/>
      <c r="Z235" s="74"/>
      <c r="AA235" s="130" t="str" cm="1">
        <f t="array" ref="AA235">HEX2ASCII(AB235)&amp;HEX2ASCII(AC235)&amp;HEX2ASCII(AD235)&amp;HEX2ASCII(AE235)&amp;HEX2ASCII(AF235)&amp;HEX2ASCII(AG235)&amp;HEX2ASCII(AH235)&amp;HEX2ASCII(AI235)</f>
        <v/>
      </c>
      <c r="AB235" s="147"/>
      <c r="AC235" s="148"/>
      <c r="AD235" s="148"/>
      <c r="AE235" s="148"/>
      <c r="AF235" s="148"/>
      <c r="AG235" s="148"/>
      <c r="AH235" s="148"/>
      <c r="AI235" s="149"/>
    </row>
    <row r="236" spans="11:35">
      <c r="K236" s="85"/>
      <c r="L236" s="54" t="str">
        <f t="shared" si="35"/>
        <v/>
      </c>
      <c r="M236" s="38" t="str">
        <f t="shared" si="38"/>
        <v>01E4</v>
      </c>
      <c r="N236" s="69">
        <f t="shared" si="37"/>
        <v>484</v>
      </c>
      <c r="O236" s="96"/>
      <c r="P236" s="97"/>
      <c r="Q236" s="98"/>
      <c r="R236" s="135"/>
      <c r="U236" s="48" t="str">
        <f t="shared" si="36"/>
        <v/>
      </c>
      <c r="V236" s="16"/>
      <c r="W236" s="34"/>
      <c r="X236" s="35"/>
      <c r="Z236" s="74"/>
      <c r="AA236" s="130" t="str" cm="1">
        <f t="array" ref="AA236">HEX2ASCII(AB236)&amp;HEX2ASCII(AC236)&amp;HEX2ASCII(AD236)&amp;HEX2ASCII(AE236)&amp;HEX2ASCII(AF236)&amp;HEX2ASCII(AG236)&amp;HEX2ASCII(AH236)&amp;HEX2ASCII(AI236)</f>
        <v/>
      </c>
      <c r="AB236" s="147"/>
      <c r="AC236" s="148"/>
      <c r="AD236" s="148"/>
      <c r="AE236" s="148"/>
      <c r="AF236" s="148"/>
      <c r="AG236" s="148"/>
      <c r="AH236" s="148"/>
      <c r="AI236" s="149"/>
    </row>
    <row r="237" spans="11:35">
      <c r="K237" s="85"/>
      <c r="L237" s="54" t="str">
        <f t="shared" si="35"/>
        <v/>
      </c>
      <c r="M237" s="38" t="str">
        <f t="shared" si="38"/>
        <v>01E5</v>
      </c>
      <c r="N237" s="69">
        <f t="shared" si="37"/>
        <v>485</v>
      </c>
      <c r="O237" s="96"/>
      <c r="P237" s="97"/>
      <c r="Q237" s="98"/>
      <c r="R237" s="135"/>
      <c r="U237" s="48" t="str">
        <f t="shared" si="36"/>
        <v/>
      </c>
      <c r="V237" s="16"/>
      <c r="W237" s="34"/>
      <c r="X237" s="35"/>
      <c r="Z237" s="74"/>
      <c r="AA237" s="130" t="str" cm="1">
        <f t="array" ref="AA237">HEX2ASCII(AB237)&amp;HEX2ASCII(AC237)&amp;HEX2ASCII(AD237)&amp;HEX2ASCII(AE237)&amp;HEX2ASCII(AF237)&amp;HEX2ASCII(AG237)&amp;HEX2ASCII(AH237)&amp;HEX2ASCII(AI237)</f>
        <v/>
      </c>
      <c r="AB237" s="147"/>
      <c r="AC237" s="148"/>
      <c r="AD237" s="148"/>
      <c r="AE237" s="148"/>
      <c r="AF237" s="148"/>
      <c r="AG237" s="148"/>
      <c r="AH237" s="148"/>
      <c r="AI237" s="149"/>
    </row>
    <row r="238" spans="11:35">
      <c r="K238" s="85"/>
      <c r="L238" s="54" t="str">
        <f t="shared" si="35"/>
        <v/>
      </c>
      <c r="M238" s="38" t="str">
        <f t="shared" si="38"/>
        <v>01E6</v>
      </c>
      <c r="N238" s="69">
        <f t="shared" si="37"/>
        <v>486</v>
      </c>
      <c r="O238" s="96"/>
      <c r="P238" s="97"/>
      <c r="Q238" s="98"/>
      <c r="R238" s="135"/>
      <c r="U238" s="48" t="str">
        <f t="shared" si="36"/>
        <v/>
      </c>
      <c r="V238" s="16"/>
      <c r="W238" s="34"/>
      <c r="X238" s="35"/>
      <c r="Z238" s="74"/>
      <c r="AA238" s="130" t="str" cm="1">
        <f t="array" ref="AA238">HEX2ASCII(AB238)&amp;HEX2ASCII(AC238)&amp;HEX2ASCII(AD238)&amp;HEX2ASCII(AE238)&amp;HEX2ASCII(AF238)&amp;HEX2ASCII(AG238)&amp;HEX2ASCII(AH238)&amp;HEX2ASCII(AI238)</f>
        <v/>
      </c>
      <c r="AB238" s="147"/>
      <c r="AC238" s="148"/>
      <c r="AD238" s="148"/>
      <c r="AE238" s="148"/>
      <c r="AF238" s="148"/>
      <c r="AG238" s="148"/>
      <c r="AH238" s="148"/>
      <c r="AI238" s="149"/>
    </row>
    <row r="239" spans="11:35">
      <c r="K239" s="85"/>
      <c r="L239" s="54" t="str">
        <f t="shared" si="35"/>
        <v/>
      </c>
      <c r="M239" s="38" t="str">
        <f t="shared" si="38"/>
        <v>01E7</v>
      </c>
      <c r="N239" s="69">
        <f t="shared" si="37"/>
        <v>487</v>
      </c>
      <c r="O239" s="96"/>
      <c r="P239" s="97"/>
      <c r="Q239" s="98"/>
      <c r="R239" s="135"/>
      <c r="U239" s="48" t="str">
        <f t="shared" si="36"/>
        <v/>
      </c>
      <c r="V239" s="16"/>
      <c r="W239" s="34"/>
      <c r="X239" s="35"/>
      <c r="Z239" s="74"/>
      <c r="AA239" s="130" t="str" cm="1">
        <f t="array" ref="AA239">HEX2ASCII(AB239)&amp;HEX2ASCII(AC239)&amp;HEX2ASCII(AD239)&amp;HEX2ASCII(AE239)&amp;HEX2ASCII(AF239)&amp;HEX2ASCII(AG239)&amp;HEX2ASCII(AH239)&amp;HEX2ASCII(AI239)</f>
        <v/>
      </c>
      <c r="AB239" s="147"/>
      <c r="AC239" s="148"/>
      <c r="AD239" s="148"/>
      <c r="AE239" s="148"/>
      <c r="AF239" s="148"/>
      <c r="AG239" s="148"/>
      <c r="AH239" s="148"/>
      <c r="AI239" s="149"/>
    </row>
    <row r="240" spans="11:35">
      <c r="K240" s="85"/>
      <c r="L240" s="54" t="str">
        <f t="shared" si="35"/>
        <v/>
      </c>
      <c r="M240" s="38" t="str">
        <f t="shared" si="38"/>
        <v>01E8</v>
      </c>
      <c r="N240" s="69">
        <f t="shared" si="37"/>
        <v>488</v>
      </c>
      <c r="O240" s="96"/>
      <c r="P240" s="97"/>
      <c r="Q240" s="98"/>
      <c r="R240" s="135"/>
      <c r="U240" s="48" t="str">
        <f t="shared" si="36"/>
        <v/>
      </c>
      <c r="V240" s="16"/>
      <c r="W240" s="34"/>
      <c r="X240" s="35"/>
      <c r="Z240" s="74"/>
      <c r="AA240" s="130" t="str" cm="1">
        <f t="array" ref="AA240">HEX2ASCII(AB240)&amp;HEX2ASCII(AC240)&amp;HEX2ASCII(AD240)&amp;HEX2ASCII(AE240)&amp;HEX2ASCII(AF240)&amp;HEX2ASCII(AG240)&amp;HEX2ASCII(AH240)&amp;HEX2ASCII(AI240)</f>
        <v/>
      </c>
      <c r="AB240" s="147"/>
      <c r="AC240" s="148"/>
      <c r="AD240" s="148"/>
      <c r="AE240" s="148"/>
      <c r="AF240" s="148"/>
      <c r="AG240" s="148"/>
      <c r="AH240" s="148"/>
      <c r="AI240" s="149"/>
    </row>
    <row r="241" spans="11:35">
      <c r="K241" s="85"/>
      <c r="L241" s="54" t="str">
        <f t="shared" si="35"/>
        <v/>
      </c>
      <c r="M241" s="38" t="str">
        <f t="shared" si="38"/>
        <v>01E9</v>
      </c>
      <c r="N241" s="69">
        <f t="shared" si="37"/>
        <v>489</v>
      </c>
      <c r="O241" s="96"/>
      <c r="P241" s="97"/>
      <c r="Q241" s="98"/>
      <c r="R241" s="135"/>
      <c r="U241" s="48" t="str">
        <f t="shared" si="36"/>
        <v/>
      </c>
      <c r="V241" s="16"/>
      <c r="W241" s="34"/>
      <c r="X241" s="35"/>
      <c r="Z241" s="74"/>
      <c r="AA241" s="130" t="str" cm="1">
        <f t="array" ref="AA241">HEX2ASCII(AB241)&amp;HEX2ASCII(AC241)&amp;HEX2ASCII(AD241)&amp;HEX2ASCII(AE241)&amp;HEX2ASCII(AF241)&amp;HEX2ASCII(AG241)&amp;HEX2ASCII(AH241)&amp;HEX2ASCII(AI241)</f>
        <v/>
      </c>
      <c r="AB241" s="147"/>
      <c r="AC241" s="148"/>
      <c r="AD241" s="148"/>
      <c r="AE241" s="148"/>
      <c r="AF241" s="148"/>
      <c r="AG241" s="148"/>
      <c r="AH241" s="148"/>
      <c r="AI241" s="149"/>
    </row>
    <row r="242" spans="11:35">
      <c r="K242" s="85"/>
      <c r="L242" s="54" t="str">
        <f t="shared" si="35"/>
        <v/>
      </c>
      <c r="M242" s="38" t="str">
        <f t="shared" si="38"/>
        <v>01EA</v>
      </c>
      <c r="N242" s="69">
        <f t="shared" si="37"/>
        <v>490</v>
      </c>
      <c r="O242" s="96"/>
      <c r="P242" s="97"/>
      <c r="Q242" s="98"/>
      <c r="R242" s="135"/>
      <c r="U242" s="48" t="str">
        <f t="shared" si="36"/>
        <v/>
      </c>
      <c r="V242" s="16"/>
      <c r="W242" s="34"/>
      <c r="X242" s="35"/>
      <c r="Z242" s="74"/>
      <c r="AA242" s="130" t="str" cm="1">
        <f t="array" ref="AA242">HEX2ASCII(AB242)&amp;HEX2ASCII(AC242)&amp;HEX2ASCII(AD242)&amp;HEX2ASCII(AE242)&amp;HEX2ASCII(AF242)&amp;HEX2ASCII(AG242)&amp;HEX2ASCII(AH242)&amp;HEX2ASCII(AI242)</f>
        <v/>
      </c>
      <c r="AB242" s="147"/>
      <c r="AC242" s="148"/>
      <c r="AD242" s="148"/>
      <c r="AE242" s="148"/>
      <c r="AF242" s="148"/>
      <c r="AG242" s="148"/>
      <c r="AH242" s="148"/>
      <c r="AI242" s="149"/>
    </row>
    <row r="243" spans="11:35">
      <c r="K243" s="85"/>
      <c r="L243" s="54" t="str">
        <f t="shared" si="35"/>
        <v/>
      </c>
      <c r="M243" s="38" t="str">
        <f t="shared" si="38"/>
        <v>01EB</v>
      </c>
      <c r="N243" s="69">
        <f t="shared" si="37"/>
        <v>491</v>
      </c>
      <c r="O243" s="96"/>
      <c r="P243" s="97"/>
      <c r="Q243" s="98"/>
      <c r="R243" s="135"/>
      <c r="U243" s="48" t="str">
        <f t="shared" si="36"/>
        <v/>
      </c>
      <c r="V243" s="16"/>
      <c r="W243" s="34"/>
      <c r="X243" s="35"/>
      <c r="Z243" s="74"/>
      <c r="AA243" s="130" t="str" cm="1">
        <f t="array" ref="AA243">HEX2ASCII(AB243)&amp;HEX2ASCII(AC243)&amp;HEX2ASCII(AD243)&amp;HEX2ASCII(AE243)&amp;HEX2ASCII(AF243)&amp;HEX2ASCII(AG243)&amp;HEX2ASCII(AH243)&amp;HEX2ASCII(AI243)</f>
        <v/>
      </c>
      <c r="AB243" s="147"/>
      <c r="AC243" s="148"/>
      <c r="AD243" s="148"/>
      <c r="AE243" s="148"/>
      <c r="AF243" s="148"/>
      <c r="AG243" s="148"/>
      <c r="AH243" s="148"/>
      <c r="AI243" s="149"/>
    </row>
    <row r="244" spans="11:35">
      <c r="K244" s="85"/>
      <c r="L244" s="54" t="str">
        <f t="shared" si="35"/>
        <v/>
      </c>
      <c r="M244" s="38" t="str">
        <f t="shared" si="38"/>
        <v>01EC</v>
      </c>
      <c r="N244" s="69">
        <f t="shared" si="37"/>
        <v>492</v>
      </c>
      <c r="O244" s="96"/>
      <c r="P244" s="97"/>
      <c r="Q244" s="98"/>
      <c r="R244" s="135"/>
      <c r="U244" s="48" t="str">
        <f t="shared" si="36"/>
        <v/>
      </c>
      <c r="V244" s="16"/>
      <c r="W244" s="34"/>
      <c r="X244" s="35"/>
      <c r="Z244" s="74"/>
      <c r="AA244" s="130" t="str" cm="1">
        <f t="array" ref="AA244">HEX2ASCII(AB244)&amp;HEX2ASCII(AC244)&amp;HEX2ASCII(AD244)&amp;HEX2ASCII(AE244)&amp;HEX2ASCII(AF244)&amp;HEX2ASCII(AG244)&amp;HEX2ASCII(AH244)&amp;HEX2ASCII(AI244)</f>
        <v/>
      </c>
      <c r="AB244" s="147"/>
      <c r="AC244" s="148"/>
      <c r="AD244" s="148"/>
      <c r="AE244" s="148"/>
      <c r="AF244" s="148"/>
      <c r="AG244" s="148"/>
      <c r="AH244" s="148"/>
      <c r="AI244" s="149"/>
    </row>
    <row r="245" spans="11:35">
      <c r="K245" s="85"/>
      <c r="L245" s="54" t="str">
        <f t="shared" si="35"/>
        <v/>
      </c>
      <c r="M245" s="38" t="str">
        <f t="shared" si="38"/>
        <v>01ED</v>
      </c>
      <c r="N245" s="69">
        <f t="shared" si="37"/>
        <v>493</v>
      </c>
      <c r="O245" s="96"/>
      <c r="P245" s="97"/>
      <c r="Q245" s="98"/>
      <c r="R245" s="135"/>
      <c r="U245" s="48" t="str">
        <f t="shared" si="36"/>
        <v/>
      </c>
      <c r="V245" s="16"/>
      <c r="W245" s="34"/>
      <c r="X245" s="35"/>
      <c r="Z245" s="74"/>
      <c r="AA245" s="130" t="str" cm="1">
        <f t="array" ref="AA245">HEX2ASCII(AB245)&amp;HEX2ASCII(AC245)&amp;HEX2ASCII(AD245)&amp;HEX2ASCII(AE245)&amp;HEX2ASCII(AF245)&amp;HEX2ASCII(AG245)&amp;HEX2ASCII(AH245)&amp;HEX2ASCII(AI245)</f>
        <v/>
      </c>
      <c r="AB245" s="147"/>
      <c r="AC245" s="148"/>
      <c r="AD245" s="148"/>
      <c r="AE245" s="148"/>
      <c r="AF245" s="148"/>
      <c r="AG245" s="148"/>
      <c r="AH245" s="148"/>
      <c r="AI245" s="149"/>
    </row>
    <row r="246" spans="11:35">
      <c r="K246" s="85"/>
      <c r="L246" s="54" t="str">
        <f t="shared" si="35"/>
        <v/>
      </c>
      <c r="M246" s="38" t="str">
        <f t="shared" si="38"/>
        <v>01EE</v>
      </c>
      <c r="N246" s="69">
        <f t="shared" si="37"/>
        <v>494</v>
      </c>
      <c r="O246" s="96"/>
      <c r="P246" s="97"/>
      <c r="Q246" s="98"/>
      <c r="R246" s="135"/>
      <c r="U246" s="48" t="str">
        <f t="shared" si="36"/>
        <v/>
      </c>
      <c r="V246" s="16"/>
      <c r="W246" s="34"/>
      <c r="X246" s="35"/>
      <c r="Z246" s="74"/>
      <c r="AA246" s="130" t="str" cm="1">
        <f t="array" ref="AA246">HEX2ASCII(AB246)&amp;HEX2ASCII(AC246)&amp;HEX2ASCII(AD246)&amp;HEX2ASCII(AE246)&amp;HEX2ASCII(AF246)&amp;HEX2ASCII(AG246)&amp;HEX2ASCII(AH246)&amp;HEX2ASCII(AI246)</f>
        <v/>
      </c>
      <c r="AB246" s="147"/>
      <c r="AC246" s="148"/>
      <c r="AD246" s="148"/>
      <c r="AE246" s="148"/>
      <c r="AF246" s="148"/>
      <c r="AG246" s="148"/>
      <c r="AH246" s="148"/>
      <c r="AI246" s="149"/>
    </row>
    <row r="247" spans="11:35">
      <c r="K247" s="85"/>
      <c r="L247" s="54" t="str">
        <f t="shared" si="35"/>
        <v/>
      </c>
      <c r="M247" s="38" t="str">
        <f t="shared" si="38"/>
        <v>01EF</v>
      </c>
      <c r="N247" s="69">
        <f t="shared" si="37"/>
        <v>495</v>
      </c>
      <c r="O247" s="96"/>
      <c r="P247" s="97"/>
      <c r="Q247" s="98"/>
      <c r="R247" s="135"/>
      <c r="U247" s="48" t="str">
        <f t="shared" si="36"/>
        <v/>
      </c>
      <c r="V247" s="16"/>
      <c r="W247" s="34"/>
      <c r="X247" s="35"/>
      <c r="Z247" s="74"/>
      <c r="AA247" s="130" t="str" cm="1">
        <f t="array" ref="AA247">HEX2ASCII(AB247)&amp;HEX2ASCII(AC247)&amp;HEX2ASCII(AD247)&amp;HEX2ASCII(AE247)&amp;HEX2ASCII(AF247)&amp;HEX2ASCII(AG247)&amp;HEX2ASCII(AH247)&amp;HEX2ASCII(AI247)</f>
        <v/>
      </c>
      <c r="AB247" s="147"/>
      <c r="AC247" s="148"/>
      <c r="AD247" s="148"/>
      <c r="AE247" s="148"/>
      <c r="AF247" s="148"/>
      <c r="AG247" s="148"/>
      <c r="AH247" s="148"/>
      <c r="AI247" s="149"/>
    </row>
    <row r="248" spans="11:35">
      <c r="K248" s="85"/>
      <c r="L248" s="54" t="str">
        <f t="shared" si="35"/>
        <v/>
      </c>
      <c r="M248" s="38" t="str">
        <f t="shared" si="38"/>
        <v>01F0</v>
      </c>
      <c r="N248" s="69">
        <f t="shared" si="37"/>
        <v>496</v>
      </c>
      <c r="O248" s="96"/>
      <c r="P248" s="97"/>
      <c r="Q248" s="98"/>
      <c r="R248" s="135"/>
      <c r="U248" s="48" t="str">
        <f t="shared" si="36"/>
        <v/>
      </c>
      <c r="V248" s="16"/>
      <c r="W248" s="34"/>
      <c r="X248" s="35"/>
      <c r="Z248" s="74"/>
      <c r="AA248" s="130" t="str" cm="1">
        <f t="array" ref="AA248">HEX2ASCII(AB248)&amp;HEX2ASCII(AC248)&amp;HEX2ASCII(AD248)&amp;HEX2ASCII(AE248)&amp;HEX2ASCII(AF248)&amp;HEX2ASCII(AG248)&amp;HEX2ASCII(AH248)&amp;HEX2ASCII(AI248)</f>
        <v/>
      </c>
      <c r="AB248" s="147"/>
      <c r="AC248" s="148"/>
      <c r="AD248" s="148"/>
      <c r="AE248" s="148"/>
      <c r="AF248" s="148"/>
      <c r="AG248" s="148"/>
      <c r="AH248" s="148"/>
      <c r="AI248" s="149"/>
    </row>
    <row r="249" spans="11:35">
      <c r="K249" s="85"/>
      <c r="L249" s="54" t="str">
        <f t="shared" si="35"/>
        <v/>
      </c>
      <c r="M249" s="38" t="str">
        <f t="shared" si="38"/>
        <v>01F1</v>
      </c>
      <c r="N249" s="69">
        <f t="shared" si="37"/>
        <v>497</v>
      </c>
      <c r="O249" s="96"/>
      <c r="P249" s="97"/>
      <c r="Q249" s="98"/>
      <c r="R249" s="135"/>
      <c r="U249" s="48" t="str">
        <f t="shared" si="36"/>
        <v/>
      </c>
      <c r="V249" s="16"/>
      <c r="W249" s="34"/>
      <c r="X249" s="35"/>
      <c r="Z249" s="74"/>
      <c r="AA249" s="130" t="str" cm="1">
        <f t="array" ref="AA249">HEX2ASCII(AB249)&amp;HEX2ASCII(AC249)&amp;HEX2ASCII(AD249)&amp;HEX2ASCII(AE249)&amp;HEX2ASCII(AF249)&amp;HEX2ASCII(AG249)&amp;HEX2ASCII(AH249)&amp;HEX2ASCII(AI249)</f>
        <v/>
      </c>
      <c r="AB249" s="147"/>
      <c r="AC249" s="148"/>
      <c r="AD249" s="148"/>
      <c r="AE249" s="148"/>
      <c r="AF249" s="148"/>
      <c r="AG249" s="148"/>
      <c r="AH249" s="148"/>
      <c r="AI249" s="149"/>
    </row>
    <row r="250" spans="11:35">
      <c r="K250" s="85"/>
      <c r="L250" s="54" t="str">
        <f t="shared" si="35"/>
        <v/>
      </c>
      <c r="M250" s="38" t="str">
        <f t="shared" si="38"/>
        <v>01F2</v>
      </c>
      <c r="N250" s="69">
        <f t="shared" si="37"/>
        <v>498</v>
      </c>
      <c r="O250" s="96"/>
      <c r="P250" s="97"/>
      <c r="Q250" s="98"/>
      <c r="R250" s="135"/>
      <c r="U250" s="48" t="str">
        <f t="shared" si="36"/>
        <v/>
      </c>
      <c r="V250" s="16"/>
      <c r="W250" s="34"/>
      <c r="X250" s="35"/>
      <c r="Z250" s="74"/>
      <c r="AA250" s="130" t="str" cm="1">
        <f t="array" ref="AA250">HEX2ASCII(AB250)&amp;HEX2ASCII(AC250)&amp;HEX2ASCII(AD250)&amp;HEX2ASCII(AE250)&amp;HEX2ASCII(AF250)&amp;HEX2ASCII(AG250)&amp;HEX2ASCII(AH250)&amp;HEX2ASCII(AI250)</f>
        <v/>
      </c>
      <c r="AB250" s="147"/>
      <c r="AC250" s="148"/>
      <c r="AD250" s="148"/>
      <c r="AE250" s="148"/>
      <c r="AF250" s="148"/>
      <c r="AG250" s="148"/>
      <c r="AH250" s="148"/>
      <c r="AI250" s="149"/>
    </row>
    <row r="251" spans="11:35">
      <c r="K251" s="85"/>
      <c r="L251" s="54" t="str">
        <f t="shared" si="35"/>
        <v/>
      </c>
      <c r="M251" s="38" t="str">
        <f t="shared" si="38"/>
        <v>01F3</v>
      </c>
      <c r="N251" s="69">
        <f t="shared" si="37"/>
        <v>499</v>
      </c>
      <c r="O251" s="96"/>
      <c r="P251" s="97"/>
      <c r="Q251" s="98"/>
      <c r="R251" s="135"/>
      <c r="U251" s="48" t="str">
        <f t="shared" si="36"/>
        <v/>
      </c>
      <c r="V251" s="16"/>
      <c r="W251" s="34"/>
      <c r="X251" s="35"/>
      <c r="Z251" s="74"/>
      <c r="AA251" s="130" t="str" cm="1">
        <f t="array" ref="AA251">HEX2ASCII(AB251)&amp;HEX2ASCII(AC251)&amp;HEX2ASCII(AD251)&amp;HEX2ASCII(AE251)&amp;HEX2ASCII(AF251)&amp;HEX2ASCII(AG251)&amp;HEX2ASCII(AH251)&amp;HEX2ASCII(AI251)</f>
        <v/>
      </c>
      <c r="AB251" s="147"/>
      <c r="AC251" s="148"/>
      <c r="AD251" s="148"/>
      <c r="AE251" s="148"/>
      <c r="AF251" s="148"/>
      <c r="AG251" s="148"/>
      <c r="AH251" s="148"/>
      <c r="AI251" s="149"/>
    </row>
    <row r="252" spans="11:35">
      <c r="K252" s="85"/>
      <c r="L252" s="54" t="str">
        <f t="shared" si="35"/>
        <v/>
      </c>
      <c r="M252" s="38" t="str">
        <f t="shared" si="38"/>
        <v>01F4</v>
      </c>
      <c r="N252" s="69">
        <f t="shared" si="37"/>
        <v>500</v>
      </c>
      <c r="O252" s="96"/>
      <c r="P252" s="97"/>
      <c r="Q252" s="98"/>
      <c r="R252" s="135"/>
      <c r="U252" s="48" t="str">
        <f t="shared" si="36"/>
        <v/>
      </c>
      <c r="V252" s="16"/>
      <c r="W252" s="34"/>
      <c r="X252" s="35"/>
      <c r="Z252" s="74"/>
      <c r="AA252" s="130" t="str" cm="1">
        <f t="array" ref="AA252">HEX2ASCII(AB252)&amp;HEX2ASCII(AC252)&amp;HEX2ASCII(AD252)&amp;HEX2ASCII(AE252)&amp;HEX2ASCII(AF252)&amp;HEX2ASCII(AG252)&amp;HEX2ASCII(AH252)&amp;HEX2ASCII(AI252)</f>
        <v/>
      </c>
      <c r="AB252" s="147"/>
      <c r="AC252" s="148"/>
      <c r="AD252" s="148"/>
      <c r="AE252" s="148"/>
      <c r="AF252" s="148"/>
      <c r="AG252" s="148"/>
      <c r="AH252" s="148"/>
      <c r="AI252" s="149"/>
    </row>
    <row r="253" spans="11:35">
      <c r="K253" s="85"/>
      <c r="L253" s="54" t="str">
        <f t="shared" si="35"/>
        <v/>
      </c>
      <c r="M253" s="38" t="str">
        <f t="shared" si="38"/>
        <v>01F5</v>
      </c>
      <c r="N253" s="69">
        <f t="shared" si="37"/>
        <v>501</v>
      </c>
      <c r="O253" s="96"/>
      <c r="P253" s="97"/>
      <c r="Q253" s="98"/>
      <c r="R253" s="135"/>
      <c r="U253" s="48" t="str">
        <f t="shared" si="36"/>
        <v/>
      </c>
      <c r="V253" s="16"/>
      <c r="W253" s="34"/>
      <c r="X253" s="35"/>
      <c r="Z253" s="74"/>
      <c r="AA253" s="130" t="str" cm="1">
        <f t="array" ref="AA253">HEX2ASCII(AB253)&amp;HEX2ASCII(AC253)&amp;HEX2ASCII(AD253)&amp;HEX2ASCII(AE253)&amp;HEX2ASCII(AF253)&amp;HEX2ASCII(AG253)&amp;HEX2ASCII(AH253)&amp;HEX2ASCII(AI253)</f>
        <v/>
      </c>
      <c r="AB253" s="147"/>
      <c r="AC253" s="148"/>
      <c r="AD253" s="148"/>
      <c r="AE253" s="148"/>
      <c r="AF253" s="148"/>
      <c r="AG253" s="148"/>
      <c r="AH253" s="148"/>
      <c r="AI253" s="149"/>
    </row>
    <row r="254" spans="11:35">
      <c r="K254" s="85"/>
      <c r="L254" s="54" t="str">
        <f t="shared" si="35"/>
        <v/>
      </c>
      <c r="M254" s="38" t="str">
        <f t="shared" si="38"/>
        <v>01F6</v>
      </c>
      <c r="N254" s="69">
        <f t="shared" si="37"/>
        <v>502</v>
      </c>
      <c r="O254" s="96"/>
      <c r="P254" s="97"/>
      <c r="Q254" s="98"/>
      <c r="R254" s="135"/>
      <c r="U254" s="48" t="str">
        <f t="shared" si="36"/>
        <v/>
      </c>
      <c r="V254" s="16"/>
      <c r="W254" s="34"/>
      <c r="X254" s="35"/>
      <c r="Z254" s="74"/>
      <c r="AA254" s="130" t="str" cm="1">
        <f t="array" ref="AA254">HEX2ASCII(AB254)&amp;HEX2ASCII(AC254)&amp;HEX2ASCII(AD254)&amp;HEX2ASCII(AE254)&amp;HEX2ASCII(AF254)&amp;HEX2ASCII(AG254)&amp;HEX2ASCII(AH254)&amp;HEX2ASCII(AI254)</f>
        <v/>
      </c>
      <c r="AB254" s="147"/>
      <c r="AC254" s="148"/>
      <c r="AD254" s="148"/>
      <c r="AE254" s="148"/>
      <c r="AF254" s="148"/>
      <c r="AG254" s="148"/>
      <c r="AH254" s="148"/>
      <c r="AI254" s="149"/>
    </row>
    <row r="255" spans="11:35">
      <c r="K255" s="85"/>
      <c r="L255" s="54" t="str">
        <f t="shared" si="35"/>
        <v/>
      </c>
      <c r="M255" s="38" t="str">
        <f t="shared" si="38"/>
        <v>01F7</v>
      </c>
      <c r="N255" s="69">
        <f t="shared" si="37"/>
        <v>503</v>
      </c>
      <c r="O255" s="96"/>
      <c r="P255" s="97"/>
      <c r="Q255" s="98"/>
      <c r="R255" s="135"/>
      <c r="U255" s="48" t="str">
        <f t="shared" si="36"/>
        <v/>
      </c>
      <c r="V255" s="16"/>
      <c r="W255" s="34"/>
      <c r="X255" s="35"/>
      <c r="Z255" s="74"/>
      <c r="AA255" s="130" t="str" cm="1">
        <f t="array" ref="AA255">HEX2ASCII(AB255)&amp;HEX2ASCII(AC255)&amp;HEX2ASCII(AD255)&amp;HEX2ASCII(AE255)&amp;HEX2ASCII(AF255)&amp;HEX2ASCII(AG255)&amp;HEX2ASCII(AH255)&amp;HEX2ASCII(AI255)</f>
        <v/>
      </c>
      <c r="AB255" s="147"/>
      <c r="AC255" s="148"/>
      <c r="AD255" s="148"/>
      <c r="AE255" s="148"/>
      <c r="AF255" s="148"/>
      <c r="AG255" s="148"/>
      <c r="AH255" s="148"/>
      <c r="AI255" s="149"/>
    </row>
    <row r="256" spans="11:35">
      <c r="K256" s="85"/>
      <c r="L256" s="54" t="str">
        <f t="shared" si="35"/>
        <v/>
      </c>
      <c r="M256" s="38" t="str">
        <f t="shared" si="38"/>
        <v>01F8</v>
      </c>
      <c r="N256" s="69">
        <f t="shared" si="37"/>
        <v>504</v>
      </c>
      <c r="O256" s="96"/>
      <c r="P256" s="97"/>
      <c r="Q256" s="98"/>
      <c r="R256" s="135"/>
      <c r="U256" s="48" t="str">
        <f t="shared" si="36"/>
        <v/>
      </c>
      <c r="V256" s="16"/>
      <c r="W256" s="34"/>
      <c r="X256" s="35"/>
      <c r="Z256" s="74"/>
      <c r="AA256" s="130" t="str" cm="1">
        <f t="array" ref="AA256">HEX2ASCII(AB256)&amp;HEX2ASCII(AC256)&amp;HEX2ASCII(AD256)&amp;HEX2ASCII(AE256)&amp;HEX2ASCII(AF256)&amp;HEX2ASCII(AG256)&amp;HEX2ASCII(AH256)&amp;HEX2ASCII(AI256)</f>
        <v/>
      </c>
      <c r="AB256" s="147"/>
      <c r="AC256" s="148"/>
      <c r="AD256" s="148"/>
      <c r="AE256" s="148"/>
      <c r="AF256" s="148"/>
      <c r="AG256" s="148"/>
      <c r="AH256" s="148"/>
      <c r="AI256" s="149"/>
    </row>
    <row r="257" spans="11:35">
      <c r="K257" s="85"/>
      <c r="L257" s="54" t="str">
        <f t="shared" si="35"/>
        <v/>
      </c>
      <c r="M257" s="38" t="str">
        <f t="shared" si="38"/>
        <v>01F9</v>
      </c>
      <c r="N257" s="69">
        <f t="shared" si="37"/>
        <v>505</v>
      </c>
      <c r="O257" s="96"/>
      <c r="P257" s="97"/>
      <c r="Q257" s="98"/>
      <c r="R257" s="135"/>
      <c r="U257" s="48" t="str">
        <f t="shared" si="36"/>
        <v/>
      </c>
      <c r="V257" s="16"/>
      <c r="W257" s="34"/>
      <c r="X257" s="35"/>
      <c r="Z257" s="74"/>
      <c r="AA257" s="130" t="str" cm="1">
        <f t="array" ref="AA257">HEX2ASCII(AB257)&amp;HEX2ASCII(AC257)&amp;HEX2ASCII(AD257)&amp;HEX2ASCII(AE257)&amp;HEX2ASCII(AF257)&amp;HEX2ASCII(AG257)&amp;HEX2ASCII(AH257)&amp;HEX2ASCII(AI257)</f>
        <v/>
      </c>
      <c r="AB257" s="147"/>
      <c r="AC257" s="148"/>
      <c r="AD257" s="148"/>
      <c r="AE257" s="148"/>
      <c r="AF257" s="148"/>
      <c r="AG257" s="148"/>
      <c r="AH257" s="148"/>
      <c r="AI257" s="149"/>
    </row>
    <row r="258" spans="11:35">
      <c r="K258" s="85"/>
      <c r="L258" s="54" t="str">
        <f t="shared" si="35"/>
        <v/>
      </c>
      <c r="M258" s="38" t="str">
        <f t="shared" si="38"/>
        <v>01FA</v>
      </c>
      <c r="N258" s="69">
        <f t="shared" si="37"/>
        <v>506</v>
      </c>
      <c r="O258" s="96"/>
      <c r="P258" s="97"/>
      <c r="Q258" s="98"/>
      <c r="R258" s="135"/>
      <c r="U258" s="48" t="str">
        <f t="shared" si="36"/>
        <v/>
      </c>
      <c r="V258" s="16"/>
      <c r="W258" s="34"/>
      <c r="X258" s="35"/>
      <c r="Z258" s="74"/>
      <c r="AA258" s="130" t="str" cm="1">
        <f t="array" ref="AA258">HEX2ASCII(AB258)&amp;HEX2ASCII(AC258)&amp;HEX2ASCII(AD258)&amp;HEX2ASCII(AE258)&amp;HEX2ASCII(AF258)&amp;HEX2ASCII(AG258)&amp;HEX2ASCII(AH258)&amp;HEX2ASCII(AI258)</f>
        <v/>
      </c>
      <c r="AB258" s="147"/>
      <c r="AC258" s="148"/>
      <c r="AD258" s="148"/>
      <c r="AE258" s="148"/>
      <c r="AF258" s="148"/>
      <c r="AG258" s="148"/>
      <c r="AH258" s="148"/>
      <c r="AI258" s="149"/>
    </row>
    <row r="259" spans="11:35">
      <c r="K259" s="85"/>
      <c r="L259" s="54" t="str">
        <f t="shared" si="35"/>
        <v/>
      </c>
      <c r="M259" s="38" t="str">
        <f t="shared" si="38"/>
        <v>01FB</v>
      </c>
      <c r="N259" s="69">
        <f t="shared" si="37"/>
        <v>507</v>
      </c>
      <c r="O259" s="96"/>
      <c r="P259" s="97"/>
      <c r="Q259" s="98"/>
      <c r="R259" s="135"/>
      <c r="U259" s="48" t="str">
        <f t="shared" si="36"/>
        <v/>
      </c>
      <c r="V259" s="16"/>
      <c r="W259" s="34"/>
      <c r="X259" s="35"/>
      <c r="Z259" s="74"/>
      <c r="AA259" s="130" t="str" cm="1">
        <f t="array" ref="AA259">HEX2ASCII(AB259)&amp;HEX2ASCII(AC259)&amp;HEX2ASCII(AD259)&amp;HEX2ASCII(AE259)&amp;HEX2ASCII(AF259)&amp;HEX2ASCII(AG259)&amp;HEX2ASCII(AH259)&amp;HEX2ASCII(AI259)</f>
        <v/>
      </c>
      <c r="AB259" s="147"/>
      <c r="AC259" s="148"/>
      <c r="AD259" s="148"/>
      <c r="AE259" s="148"/>
      <c r="AF259" s="148"/>
      <c r="AG259" s="148"/>
      <c r="AH259" s="148"/>
      <c r="AI259" s="149"/>
    </row>
    <row r="260" spans="11:35">
      <c r="K260" s="85"/>
      <c r="L260" s="54" t="str">
        <f t="shared" si="35"/>
        <v/>
      </c>
      <c r="M260" s="38" t="str">
        <f t="shared" si="38"/>
        <v>01FC</v>
      </c>
      <c r="N260" s="69">
        <f t="shared" si="37"/>
        <v>508</v>
      </c>
      <c r="O260" s="96"/>
      <c r="P260" s="97"/>
      <c r="Q260" s="98"/>
      <c r="R260" s="135"/>
      <c r="U260" s="48" t="str">
        <f t="shared" si="36"/>
        <v/>
      </c>
      <c r="V260" s="16"/>
      <c r="W260" s="34"/>
      <c r="X260" s="35"/>
      <c r="Z260" s="74"/>
      <c r="AA260" s="130" t="str" cm="1">
        <f t="array" ref="AA260">HEX2ASCII(AB260)&amp;HEX2ASCII(AC260)&amp;HEX2ASCII(AD260)&amp;HEX2ASCII(AE260)&amp;HEX2ASCII(AF260)&amp;HEX2ASCII(AG260)&amp;HEX2ASCII(AH260)&amp;HEX2ASCII(AI260)</f>
        <v/>
      </c>
      <c r="AB260" s="147"/>
      <c r="AC260" s="148"/>
      <c r="AD260" s="148"/>
      <c r="AE260" s="148"/>
      <c r="AF260" s="148"/>
      <c r="AG260" s="148"/>
      <c r="AH260" s="148"/>
      <c r="AI260" s="149"/>
    </row>
    <row r="261" spans="11:35">
      <c r="K261" s="85"/>
      <c r="L261" s="54" t="str">
        <f t="shared" si="35"/>
        <v/>
      </c>
      <c r="M261" s="38" t="str">
        <f t="shared" si="38"/>
        <v>01FD</v>
      </c>
      <c r="N261" s="69">
        <f t="shared" si="37"/>
        <v>509</v>
      </c>
      <c r="O261" s="96"/>
      <c r="P261" s="97"/>
      <c r="Q261" s="98"/>
      <c r="R261" s="135"/>
      <c r="U261" s="48" t="str">
        <f t="shared" si="36"/>
        <v/>
      </c>
      <c r="V261" s="16"/>
      <c r="W261" s="34"/>
      <c r="X261" s="35"/>
      <c r="Z261" s="74"/>
      <c r="AA261" s="130" t="str" cm="1">
        <f t="array" ref="AA261">HEX2ASCII(AB261)&amp;HEX2ASCII(AC261)&amp;HEX2ASCII(AD261)&amp;HEX2ASCII(AE261)&amp;HEX2ASCII(AF261)&amp;HEX2ASCII(AG261)&amp;HEX2ASCII(AH261)&amp;HEX2ASCII(AI261)</f>
        <v/>
      </c>
      <c r="AB261" s="147"/>
      <c r="AC261" s="148"/>
      <c r="AD261" s="148"/>
      <c r="AE261" s="148"/>
      <c r="AF261" s="148"/>
      <c r="AG261" s="148"/>
      <c r="AH261" s="148"/>
      <c r="AI261" s="149"/>
    </row>
    <row r="262" spans="11:35">
      <c r="K262" s="85"/>
      <c r="L262" s="54" t="str">
        <f t="shared" si="35"/>
        <v/>
      </c>
      <c r="M262" s="38" t="str">
        <f t="shared" si="38"/>
        <v>01FE</v>
      </c>
      <c r="N262" s="69">
        <f t="shared" si="37"/>
        <v>510</v>
      </c>
      <c r="O262" s="96"/>
      <c r="P262" s="97"/>
      <c r="Q262" s="98"/>
      <c r="R262" s="135"/>
      <c r="U262" s="48" t="str">
        <f t="shared" si="36"/>
        <v/>
      </c>
      <c r="V262" s="16"/>
      <c r="W262" s="34"/>
      <c r="X262" s="35"/>
      <c r="Z262" s="74"/>
      <c r="AA262" s="130" t="str" cm="1">
        <f t="array" ref="AA262">HEX2ASCII(AB262)&amp;HEX2ASCII(AC262)&amp;HEX2ASCII(AD262)&amp;HEX2ASCII(AE262)&amp;HEX2ASCII(AF262)&amp;HEX2ASCII(AG262)&amp;HEX2ASCII(AH262)&amp;HEX2ASCII(AI262)</f>
        <v/>
      </c>
      <c r="AB262" s="147"/>
      <c r="AC262" s="148"/>
      <c r="AD262" s="148"/>
      <c r="AE262" s="148"/>
      <c r="AF262" s="148"/>
      <c r="AG262" s="148"/>
      <c r="AH262" s="148"/>
      <c r="AI262" s="149"/>
    </row>
    <row r="263" spans="11:35">
      <c r="K263" s="85"/>
      <c r="L263" s="54" t="str">
        <f t="shared" si="35"/>
        <v/>
      </c>
      <c r="M263" s="38" t="str">
        <f t="shared" si="38"/>
        <v>01FF</v>
      </c>
      <c r="N263" s="69">
        <f t="shared" si="37"/>
        <v>511</v>
      </c>
      <c r="O263" s="96"/>
      <c r="P263" s="97"/>
      <c r="Q263" s="98"/>
      <c r="R263" s="135"/>
      <c r="U263" s="48" t="str">
        <f t="shared" si="36"/>
        <v/>
      </c>
      <c r="V263" s="16"/>
      <c r="W263" s="34"/>
      <c r="X263" s="35"/>
      <c r="Z263" s="74"/>
      <c r="AA263" s="130" t="str" cm="1">
        <f t="array" ref="AA263">HEX2ASCII(AB263)&amp;HEX2ASCII(AC263)&amp;HEX2ASCII(AD263)&amp;HEX2ASCII(AE263)&amp;HEX2ASCII(AF263)&amp;HEX2ASCII(AG263)&amp;HEX2ASCII(AH263)&amp;HEX2ASCII(AI263)</f>
        <v/>
      </c>
      <c r="AB263" s="147"/>
      <c r="AC263" s="148"/>
      <c r="AD263" s="148"/>
      <c r="AE263" s="148"/>
      <c r="AF263" s="148"/>
      <c r="AG263" s="148"/>
      <c r="AH263" s="148"/>
      <c r="AI263" s="149"/>
    </row>
    <row r="264" spans="11:35">
      <c r="K264" s="85"/>
      <c r="L264" s="54" t="str">
        <f t="shared" si="35"/>
        <v/>
      </c>
      <c r="M264" s="38" t="str">
        <f t="shared" si="38"/>
        <v>0200</v>
      </c>
      <c r="N264" s="69">
        <f t="shared" si="37"/>
        <v>512</v>
      </c>
      <c r="O264" s="96"/>
      <c r="P264" s="97"/>
      <c r="Q264" s="98"/>
      <c r="R264" s="135"/>
      <c r="U264" s="48" t="str">
        <f t="shared" si="36"/>
        <v/>
      </c>
      <c r="V264" s="16"/>
      <c r="W264" s="34"/>
      <c r="X264" s="35"/>
      <c r="Z264" s="74"/>
      <c r="AA264" s="130" t="str" cm="1">
        <f t="array" ref="AA264">HEX2ASCII(AB264)&amp;HEX2ASCII(AC264)&amp;HEX2ASCII(AD264)&amp;HEX2ASCII(AE264)&amp;HEX2ASCII(AF264)&amp;HEX2ASCII(AG264)&amp;HEX2ASCII(AH264)&amp;HEX2ASCII(AI264)</f>
        <v/>
      </c>
      <c r="AB264" s="147"/>
      <c r="AC264" s="148"/>
      <c r="AD264" s="148"/>
      <c r="AE264" s="148"/>
      <c r="AF264" s="148"/>
      <c r="AG264" s="148"/>
      <c r="AH264" s="148"/>
      <c r="AI264" s="149"/>
    </row>
    <row r="265" spans="11:35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0201</v>
      </c>
      <c r="N265" s="69">
        <f t="shared" si="37"/>
        <v>513</v>
      </c>
      <c r="O265" s="96"/>
      <c r="P265" s="97"/>
      <c r="Q265" s="98"/>
      <c r="R265" s="135"/>
      <c r="U265" s="48" t="str">
        <f t="shared" ref="U265:U328" si="40">IF(V265&gt;0,RIGHT("0000"&amp;DEC2HEX(V265),4),"")</f>
        <v/>
      </c>
      <c r="V265" s="16"/>
      <c r="W265" s="34"/>
      <c r="X265" s="35"/>
      <c r="Z265" s="74"/>
      <c r="AA265" s="130" t="str" cm="1">
        <f t="array" ref="AA265">HEX2ASCII(AB265)&amp;HEX2ASCII(AC265)&amp;HEX2ASCII(AD265)&amp;HEX2ASCII(AE265)&amp;HEX2ASCII(AF265)&amp;HEX2ASCII(AG265)&amp;HEX2ASCII(AH265)&amp;HEX2ASCII(AI265)</f>
        <v/>
      </c>
      <c r="AB265" s="147"/>
      <c r="AC265" s="148"/>
      <c r="AD265" s="148"/>
      <c r="AE265" s="148"/>
      <c r="AF265" s="148"/>
      <c r="AG265" s="148"/>
      <c r="AH265" s="148"/>
      <c r="AI265" s="149"/>
    </row>
    <row r="266" spans="11:35">
      <c r="K266" s="85"/>
      <c r="L266" s="54" t="str">
        <f t="shared" si="39"/>
        <v/>
      </c>
      <c r="M266" s="38" t="str">
        <f t="shared" si="38"/>
        <v>0202</v>
      </c>
      <c r="N266" s="69">
        <f t="shared" ref="N266:N329" si="41">N265+0*COUNTA(P265:R265)+1</f>
        <v>514</v>
      </c>
      <c r="O266" s="96"/>
      <c r="P266" s="97"/>
      <c r="Q266" s="98"/>
      <c r="R266" s="135"/>
      <c r="U266" s="48" t="str">
        <f t="shared" si="40"/>
        <v/>
      </c>
      <c r="V266" s="16"/>
      <c r="W266" s="34"/>
      <c r="X266" s="35"/>
      <c r="Z266" s="74"/>
      <c r="AA266" s="130" t="str" cm="1">
        <f t="array" ref="AA266">HEX2ASCII(AB266)&amp;HEX2ASCII(AC266)&amp;HEX2ASCII(AD266)&amp;HEX2ASCII(AE266)&amp;HEX2ASCII(AF266)&amp;HEX2ASCII(AG266)&amp;HEX2ASCII(AH266)&amp;HEX2ASCII(AI266)</f>
        <v/>
      </c>
      <c r="AB266" s="147"/>
      <c r="AC266" s="148"/>
      <c r="AD266" s="148"/>
      <c r="AE266" s="148"/>
      <c r="AF266" s="148"/>
      <c r="AG266" s="148"/>
      <c r="AH266" s="148"/>
      <c r="AI266" s="149"/>
    </row>
    <row r="267" spans="11:35">
      <c r="K267" s="85"/>
      <c r="L267" s="54" t="str">
        <f t="shared" si="39"/>
        <v/>
      </c>
      <c r="M267" s="38" t="str">
        <f t="shared" si="38"/>
        <v>0203</v>
      </c>
      <c r="N267" s="69">
        <f t="shared" si="41"/>
        <v>515</v>
      </c>
      <c r="O267" s="96"/>
      <c r="P267" s="97"/>
      <c r="Q267" s="98"/>
      <c r="R267" s="135"/>
      <c r="U267" s="48" t="str">
        <f t="shared" si="40"/>
        <v/>
      </c>
      <c r="V267" s="16"/>
      <c r="W267" s="34"/>
      <c r="X267" s="35"/>
      <c r="Z267" s="74"/>
      <c r="AA267" s="130" t="str" cm="1">
        <f t="array" ref="AA267">HEX2ASCII(AB267)&amp;HEX2ASCII(AC267)&amp;HEX2ASCII(AD267)&amp;HEX2ASCII(AE267)&amp;HEX2ASCII(AF267)&amp;HEX2ASCII(AG267)&amp;HEX2ASCII(AH267)&amp;HEX2ASCII(AI267)</f>
        <v/>
      </c>
      <c r="AB267" s="147"/>
      <c r="AC267" s="148"/>
      <c r="AD267" s="148"/>
      <c r="AE267" s="148"/>
      <c r="AF267" s="148"/>
      <c r="AG267" s="148"/>
      <c r="AH267" s="148"/>
      <c r="AI267" s="149"/>
    </row>
    <row r="268" spans="11:35">
      <c r="K268" s="85"/>
      <c r="L268" s="54" t="str">
        <f t="shared" si="39"/>
        <v/>
      </c>
      <c r="M268" s="38" t="str">
        <f t="shared" si="38"/>
        <v>0204</v>
      </c>
      <c r="N268" s="69">
        <f t="shared" si="41"/>
        <v>516</v>
      </c>
      <c r="O268" s="96"/>
      <c r="P268" s="97"/>
      <c r="Q268" s="98"/>
      <c r="R268" s="135"/>
      <c r="U268" s="48" t="str">
        <f t="shared" si="40"/>
        <v/>
      </c>
      <c r="V268" s="16"/>
      <c r="W268" s="34"/>
      <c r="X268" s="35"/>
      <c r="Z268" s="74"/>
      <c r="AA268" s="130" t="str" cm="1">
        <f t="array" ref="AA268">HEX2ASCII(AB268)&amp;HEX2ASCII(AC268)&amp;HEX2ASCII(AD268)&amp;HEX2ASCII(AE268)&amp;HEX2ASCII(AF268)&amp;HEX2ASCII(AG268)&amp;HEX2ASCII(AH268)&amp;HEX2ASCII(AI268)</f>
        <v/>
      </c>
      <c r="AB268" s="147"/>
      <c r="AC268" s="148"/>
      <c r="AD268" s="148"/>
      <c r="AE268" s="148"/>
      <c r="AF268" s="148"/>
      <c r="AG268" s="148"/>
      <c r="AH268" s="148"/>
      <c r="AI268" s="149"/>
    </row>
    <row r="269" spans="11:35">
      <c r="K269" s="85"/>
      <c r="L269" s="54" t="str">
        <f t="shared" si="39"/>
        <v/>
      </c>
      <c r="M269" s="38" t="str">
        <f t="shared" si="38"/>
        <v>0205</v>
      </c>
      <c r="N269" s="69">
        <f t="shared" si="41"/>
        <v>517</v>
      </c>
      <c r="O269" s="96"/>
      <c r="P269" s="97"/>
      <c r="Q269" s="98"/>
      <c r="R269" s="135"/>
      <c r="U269" s="48" t="str">
        <f t="shared" si="40"/>
        <v/>
      </c>
      <c r="V269" s="16"/>
      <c r="W269" s="34"/>
      <c r="X269" s="35"/>
      <c r="Z269" s="74"/>
      <c r="AA269" s="130" t="str" cm="1">
        <f t="array" ref="AA269">HEX2ASCII(AB269)&amp;HEX2ASCII(AC269)&amp;HEX2ASCII(AD269)&amp;HEX2ASCII(AE269)&amp;HEX2ASCII(AF269)&amp;HEX2ASCII(AG269)&amp;HEX2ASCII(AH269)&amp;HEX2ASCII(AI269)</f>
        <v/>
      </c>
      <c r="AB269" s="147"/>
      <c r="AC269" s="148"/>
      <c r="AD269" s="148"/>
      <c r="AE269" s="148"/>
      <c r="AF269" s="148"/>
      <c r="AG269" s="148"/>
      <c r="AH269" s="148"/>
      <c r="AI269" s="149"/>
    </row>
    <row r="270" spans="11:35">
      <c r="K270" s="85"/>
      <c r="L270" s="54" t="str">
        <f t="shared" si="39"/>
        <v/>
      </c>
      <c r="M270" s="38" t="str">
        <f t="shared" si="38"/>
        <v>0206</v>
      </c>
      <c r="N270" s="69">
        <f t="shared" si="41"/>
        <v>518</v>
      </c>
      <c r="O270" s="96"/>
      <c r="P270" s="97"/>
      <c r="Q270" s="98"/>
      <c r="R270" s="135"/>
      <c r="U270" s="48" t="str">
        <f t="shared" si="40"/>
        <v/>
      </c>
      <c r="V270" s="16"/>
      <c r="W270" s="34"/>
      <c r="X270" s="35"/>
      <c r="Z270" s="74"/>
      <c r="AA270" s="130" t="str" cm="1">
        <f t="array" ref="AA270">HEX2ASCII(AB270)&amp;HEX2ASCII(AC270)&amp;HEX2ASCII(AD270)&amp;HEX2ASCII(AE270)&amp;HEX2ASCII(AF270)&amp;HEX2ASCII(AG270)&amp;HEX2ASCII(AH270)&amp;HEX2ASCII(AI270)</f>
        <v/>
      </c>
      <c r="AB270" s="147"/>
      <c r="AC270" s="148"/>
      <c r="AD270" s="148"/>
      <c r="AE270" s="148"/>
      <c r="AF270" s="148"/>
      <c r="AG270" s="148"/>
      <c r="AH270" s="148"/>
      <c r="AI270" s="149"/>
    </row>
    <row r="271" spans="11:35">
      <c r="K271" s="85"/>
      <c r="L271" s="54" t="str">
        <f t="shared" si="39"/>
        <v/>
      </c>
      <c r="M271" s="38" t="str">
        <f t="shared" si="38"/>
        <v>0207</v>
      </c>
      <c r="N271" s="69">
        <f t="shared" si="41"/>
        <v>519</v>
      </c>
      <c r="O271" s="96"/>
      <c r="P271" s="97"/>
      <c r="Q271" s="98"/>
      <c r="R271" s="135"/>
      <c r="U271" s="48" t="str">
        <f t="shared" si="40"/>
        <v/>
      </c>
      <c r="V271" s="16"/>
      <c r="W271" s="34"/>
      <c r="X271" s="35"/>
      <c r="Z271" s="74"/>
      <c r="AA271" s="130" t="str" cm="1">
        <f t="array" ref="AA271">HEX2ASCII(AB271)&amp;HEX2ASCII(AC271)&amp;HEX2ASCII(AD271)&amp;HEX2ASCII(AE271)&amp;HEX2ASCII(AF271)&amp;HEX2ASCII(AG271)&amp;HEX2ASCII(AH271)&amp;HEX2ASCII(AI271)</f>
        <v/>
      </c>
      <c r="AB271" s="147"/>
      <c r="AC271" s="148"/>
      <c r="AD271" s="148"/>
      <c r="AE271" s="148"/>
      <c r="AF271" s="148"/>
      <c r="AG271" s="148"/>
      <c r="AH271" s="148"/>
      <c r="AI271" s="149"/>
    </row>
    <row r="272" spans="11:35">
      <c r="K272" s="85"/>
      <c r="L272" s="54" t="str">
        <f t="shared" si="39"/>
        <v/>
      </c>
      <c r="M272" s="38" t="str">
        <f t="shared" si="38"/>
        <v>0208</v>
      </c>
      <c r="N272" s="69">
        <f t="shared" si="41"/>
        <v>520</v>
      </c>
      <c r="O272" s="96"/>
      <c r="P272" s="97"/>
      <c r="Q272" s="98"/>
      <c r="R272" s="135"/>
      <c r="U272" s="48" t="str">
        <f t="shared" si="40"/>
        <v/>
      </c>
      <c r="V272" s="16"/>
      <c r="W272" s="34"/>
      <c r="X272" s="35"/>
      <c r="Z272" s="74"/>
      <c r="AA272" s="130" t="str" cm="1">
        <f t="array" ref="AA272">HEX2ASCII(AB272)&amp;HEX2ASCII(AC272)&amp;HEX2ASCII(AD272)&amp;HEX2ASCII(AE272)&amp;HEX2ASCII(AF272)&amp;HEX2ASCII(AG272)&amp;HEX2ASCII(AH272)&amp;HEX2ASCII(AI272)</f>
        <v/>
      </c>
      <c r="AB272" s="147"/>
      <c r="AC272" s="148"/>
      <c r="AD272" s="148"/>
      <c r="AE272" s="148"/>
      <c r="AF272" s="148"/>
      <c r="AG272" s="148"/>
      <c r="AH272" s="148"/>
      <c r="AI272" s="149"/>
    </row>
    <row r="273" spans="11:35">
      <c r="K273" s="85"/>
      <c r="L273" s="54" t="str">
        <f t="shared" si="39"/>
        <v/>
      </c>
      <c r="M273" s="38" t="str">
        <f t="shared" si="38"/>
        <v>0209</v>
      </c>
      <c r="N273" s="69">
        <f t="shared" si="41"/>
        <v>521</v>
      </c>
      <c r="O273" s="96"/>
      <c r="P273" s="97"/>
      <c r="Q273" s="98"/>
      <c r="R273" s="135"/>
      <c r="U273" s="48" t="str">
        <f t="shared" si="40"/>
        <v/>
      </c>
      <c r="V273" s="16"/>
      <c r="W273" s="34"/>
      <c r="X273" s="35"/>
      <c r="Z273" s="74"/>
      <c r="AA273" s="130" t="str" cm="1">
        <f t="array" ref="AA273">HEX2ASCII(AB273)&amp;HEX2ASCII(AC273)&amp;HEX2ASCII(AD273)&amp;HEX2ASCII(AE273)&amp;HEX2ASCII(AF273)&amp;HEX2ASCII(AG273)&amp;HEX2ASCII(AH273)&amp;HEX2ASCII(AI273)</f>
        <v/>
      </c>
      <c r="AB273" s="147"/>
      <c r="AC273" s="148"/>
      <c r="AD273" s="148"/>
      <c r="AE273" s="148"/>
      <c r="AF273" s="148"/>
      <c r="AG273" s="148"/>
      <c r="AH273" s="148"/>
      <c r="AI273" s="149"/>
    </row>
    <row r="274" spans="11:35">
      <c r="K274" s="85"/>
      <c r="L274" s="54" t="str">
        <f t="shared" si="39"/>
        <v/>
      </c>
      <c r="M274" s="38" t="str">
        <f t="shared" si="38"/>
        <v>020A</v>
      </c>
      <c r="N274" s="69">
        <f t="shared" si="41"/>
        <v>522</v>
      </c>
      <c r="O274" s="96"/>
      <c r="P274" s="97"/>
      <c r="Q274" s="98"/>
      <c r="R274" s="135"/>
      <c r="U274" s="48" t="str">
        <f t="shared" si="40"/>
        <v/>
      </c>
      <c r="V274" s="16"/>
      <c r="W274" s="34"/>
      <c r="X274" s="35"/>
      <c r="Z274" s="74"/>
      <c r="AA274" s="130" t="str" cm="1">
        <f t="array" ref="AA274">HEX2ASCII(AB274)&amp;HEX2ASCII(AC274)&amp;HEX2ASCII(AD274)&amp;HEX2ASCII(AE274)&amp;HEX2ASCII(AF274)&amp;HEX2ASCII(AG274)&amp;HEX2ASCII(AH274)&amp;HEX2ASCII(AI274)</f>
        <v/>
      </c>
      <c r="AB274" s="147"/>
      <c r="AC274" s="148"/>
      <c r="AD274" s="148"/>
      <c r="AE274" s="148"/>
      <c r="AF274" s="148"/>
      <c r="AG274" s="148"/>
      <c r="AH274" s="148"/>
      <c r="AI274" s="149"/>
    </row>
    <row r="275" spans="11:35">
      <c r="K275" s="85"/>
      <c r="L275" s="54" t="str">
        <f t="shared" si="39"/>
        <v/>
      </c>
      <c r="M275" s="38" t="str">
        <f t="shared" si="38"/>
        <v>020B</v>
      </c>
      <c r="N275" s="69">
        <f t="shared" si="41"/>
        <v>523</v>
      </c>
      <c r="O275" s="96"/>
      <c r="P275" s="97"/>
      <c r="Q275" s="98"/>
      <c r="R275" s="135"/>
      <c r="U275" s="48" t="str">
        <f t="shared" si="40"/>
        <v/>
      </c>
      <c r="V275" s="16"/>
      <c r="W275" s="34"/>
      <c r="X275" s="35"/>
      <c r="Z275" s="74"/>
      <c r="AA275" s="130" t="str" cm="1">
        <f t="array" ref="AA275">HEX2ASCII(AB275)&amp;HEX2ASCII(AC275)&amp;HEX2ASCII(AD275)&amp;HEX2ASCII(AE275)&amp;HEX2ASCII(AF275)&amp;HEX2ASCII(AG275)&amp;HEX2ASCII(AH275)&amp;HEX2ASCII(AI275)</f>
        <v/>
      </c>
      <c r="AB275" s="147"/>
      <c r="AC275" s="148"/>
      <c r="AD275" s="148"/>
      <c r="AE275" s="148"/>
      <c r="AF275" s="148"/>
      <c r="AG275" s="148"/>
      <c r="AH275" s="148"/>
      <c r="AI275" s="149"/>
    </row>
    <row r="276" spans="11:35">
      <c r="K276" s="85"/>
      <c r="L276" s="54" t="str">
        <f t="shared" si="39"/>
        <v/>
      </c>
      <c r="M276" s="38" t="str">
        <f t="shared" si="38"/>
        <v>020C</v>
      </c>
      <c r="N276" s="69">
        <f t="shared" si="41"/>
        <v>524</v>
      </c>
      <c r="O276" s="96"/>
      <c r="P276" s="97"/>
      <c r="Q276" s="98"/>
      <c r="R276" s="135"/>
      <c r="U276" s="48" t="str">
        <f t="shared" si="40"/>
        <v/>
      </c>
      <c r="V276" s="16"/>
      <c r="W276" s="34"/>
      <c r="X276" s="35"/>
      <c r="Z276" s="74"/>
      <c r="AA276" s="130" t="str" cm="1">
        <f t="array" ref="AA276">HEX2ASCII(AB276)&amp;HEX2ASCII(AC276)&amp;HEX2ASCII(AD276)&amp;HEX2ASCII(AE276)&amp;HEX2ASCII(AF276)&amp;HEX2ASCII(AG276)&amp;HEX2ASCII(AH276)&amp;HEX2ASCII(AI276)</f>
        <v/>
      </c>
      <c r="AB276" s="147"/>
      <c r="AC276" s="148"/>
      <c r="AD276" s="148"/>
      <c r="AE276" s="148"/>
      <c r="AF276" s="148"/>
      <c r="AG276" s="148"/>
      <c r="AH276" s="148"/>
      <c r="AI276" s="149"/>
    </row>
    <row r="277" spans="11:35">
      <c r="K277" s="85"/>
      <c r="L277" s="54" t="str">
        <f t="shared" si="39"/>
        <v/>
      </c>
      <c r="M277" s="38" t="str">
        <f t="shared" si="38"/>
        <v>020D</v>
      </c>
      <c r="N277" s="69">
        <f t="shared" si="41"/>
        <v>525</v>
      </c>
      <c r="O277" s="96"/>
      <c r="P277" s="97"/>
      <c r="Q277" s="98"/>
      <c r="R277" s="135"/>
      <c r="U277" s="48" t="str">
        <f t="shared" si="40"/>
        <v/>
      </c>
      <c r="V277" s="16"/>
      <c r="W277" s="34"/>
      <c r="X277" s="35"/>
      <c r="Z277" s="74"/>
      <c r="AA277" s="130" t="str" cm="1">
        <f t="array" ref="AA277">HEX2ASCII(AB277)&amp;HEX2ASCII(AC277)&amp;HEX2ASCII(AD277)&amp;HEX2ASCII(AE277)&amp;HEX2ASCII(AF277)&amp;HEX2ASCII(AG277)&amp;HEX2ASCII(AH277)&amp;HEX2ASCII(AI277)</f>
        <v/>
      </c>
      <c r="AB277" s="147"/>
      <c r="AC277" s="148"/>
      <c r="AD277" s="148"/>
      <c r="AE277" s="148"/>
      <c r="AF277" s="148"/>
      <c r="AG277" s="148"/>
      <c r="AH277" s="148"/>
      <c r="AI277" s="149"/>
    </row>
    <row r="278" spans="11:35">
      <c r="K278" s="85"/>
      <c r="L278" s="54" t="str">
        <f t="shared" si="39"/>
        <v/>
      </c>
      <c r="M278" s="38" t="str">
        <f t="shared" si="38"/>
        <v>020E</v>
      </c>
      <c r="N278" s="69">
        <f t="shared" si="41"/>
        <v>526</v>
      </c>
      <c r="O278" s="96"/>
      <c r="P278" s="97"/>
      <c r="Q278" s="98"/>
      <c r="R278" s="135"/>
      <c r="U278" s="48" t="str">
        <f t="shared" si="40"/>
        <v/>
      </c>
      <c r="V278" s="16"/>
      <c r="W278" s="34"/>
      <c r="X278" s="35"/>
      <c r="Z278" s="74"/>
      <c r="AA278" s="130" t="str" cm="1">
        <f t="array" ref="AA278">HEX2ASCII(AB278)&amp;HEX2ASCII(AC278)&amp;HEX2ASCII(AD278)&amp;HEX2ASCII(AE278)&amp;HEX2ASCII(AF278)&amp;HEX2ASCII(AG278)&amp;HEX2ASCII(AH278)&amp;HEX2ASCII(AI278)</f>
        <v/>
      </c>
      <c r="AB278" s="147"/>
      <c r="AC278" s="148"/>
      <c r="AD278" s="148"/>
      <c r="AE278" s="148"/>
      <c r="AF278" s="148"/>
      <c r="AG278" s="148"/>
      <c r="AH278" s="148"/>
      <c r="AI278" s="149"/>
    </row>
    <row r="279" spans="11:35">
      <c r="K279" s="85"/>
      <c r="L279" s="54" t="str">
        <f t="shared" si="39"/>
        <v/>
      </c>
      <c r="M279" s="38" t="str">
        <f t="shared" si="38"/>
        <v>020F</v>
      </c>
      <c r="N279" s="69">
        <f t="shared" si="41"/>
        <v>527</v>
      </c>
      <c r="O279" s="96"/>
      <c r="P279" s="97"/>
      <c r="Q279" s="98"/>
      <c r="R279" s="135"/>
      <c r="U279" s="48" t="str">
        <f t="shared" si="40"/>
        <v/>
      </c>
      <c r="V279" s="16"/>
      <c r="W279" s="34"/>
      <c r="X279" s="35"/>
      <c r="Z279" s="74"/>
      <c r="AA279" s="130" t="str" cm="1">
        <f t="array" ref="AA279">HEX2ASCII(AB279)&amp;HEX2ASCII(AC279)&amp;HEX2ASCII(AD279)&amp;HEX2ASCII(AE279)&amp;HEX2ASCII(AF279)&amp;HEX2ASCII(AG279)&amp;HEX2ASCII(AH279)&amp;HEX2ASCII(AI279)</f>
        <v/>
      </c>
      <c r="AB279" s="147"/>
      <c r="AC279" s="148"/>
      <c r="AD279" s="148"/>
      <c r="AE279" s="148"/>
      <c r="AF279" s="148"/>
      <c r="AG279" s="148"/>
      <c r="AH279" s="148"/>
      <c r="AI279" s="149"/>
    </row>
    <row r="280" spans="11:35">
      <c r="K280" s="85"/>
      <c r="L280" s="54" t="str">
        <f t="shared" si="39"/>
        <v/>
      </c>
      <c r="M280" s="38" t="str">
        <f t="shared" si="38"/>
        <v>0210</v>
      </c>
      <c r="N280" s="69">
        <f t="shared" si="41"/>
        <v>528</v>
      </c>
      <c r="O280" s="96"/>
      <c r="P280" s="97"/>
      <c r="Q280" s="98"/>
      <c r="R280" s="135"/>
      <c r="U280" s="48" t="str">
        <f t="shared" si="40"/>
        <v/>
      </c>
      <c r="V280" s="16"/>
      <c r="W280" s="34"/>
      <c r="X280" s="35"/>
      <c r="Z280" s="74"/>
      <c r="AA280" s="130" t="str" cm="1">
        <f t="array" ref="AA280">HEX2ASCII(AB280)&amp;HEX2ASCII(AC280)&amp;HEX2ASCII(AD280)&amp;HEX2ASCII(AE280)&amp;HEX2ASCII(AF280)&amp;HEX2ASCII(AG280)&amp;HEX2ASCII(AH280)&amp;HEX2ASCII(AI280)</f>
        <v/>
      </c>
      <c r="AB280" s="147"/>
      <c r="AC280" s="148"/>
      <c r="AD280" s="148"/>
      <c r="AE280" s="148"/>
      <c r="AF280" s="148"/>
      <c r="AG280" s="148"/>
      <c r="AH280" s="148"/>
      <c r="AI280" s="149"/>
    </row>
    <row r="281" spans="11:35">
      <c r="K281" s="85"/>
      <c r="L281" s="54" t="str">
        <f t="shared" si="39"/>
        <v/>
      </c>
      <c r="M281" s="38" t="str">
        <f t="shared" si="38"/>
        <v>0211</v>
      </c>
      <c r="N281" s="69">
        <f t="shared" si="41"/>
        <v>529</v>
      </c>
      <c r="O281" s="96"/>
      <c r="P281" s="97"/>
      <c r="Q281" s="98"/>
      <c r="R281" s="135"/>
      <c r="U281" s="48" t="str">
        <f t="shared" si="40"/>
        <v/>
      </c>
      <c r="V281" s="16"/>
      <c r="W281" s="34"/>
      <c r="X281" s="35"/>
      <c r="Z281" s="74"/>
      <c r="AA281" s="130" t="str" cm="1">
        <f t="array" ref="AA281">HEX2ASCII(AB281)&amp;HEX2ASCII(AC281)&amp;HEX2ASCII(AD281)&amp;HEX2ASCII(AE281)&amp;HEX2ASCII(AF281)&amp;HEX2ASCII(AG281)&amp;HEX2ASCII(AH281)&amp;HEX2ASCII(AI281)</f>
        <v/>
      </c>
      <c r="AB281" s="147"/>
      <c r="AC281" s="148"/>
      <c r="AD281" s="148"/>
      <c r="AE281" s="148"/>
      <c r="AF281" s="148"/>
      <c r="AG281" s="148"/>
      <c r="AH281" s="148"/>
      <c r="AI281" s="149"/>
    </row>
    <row r="282" spans="11:35">
      <c r="K282" s="85"/>
      <c r="L282" s="54" t="str">
        <f t="shared" si="39"/>
        <v/>
      </c>
      <c r="M282" s="38" t="str">
        <f t="shared" si="38"/>
        <v>0212</v>
      </c>
      <c r="N282" s="69">
        <f t="shared" si="41"/>
        <v>530</v>
      </c>
      <c r="O282" s="96"/>
      <c r="P282" s="97"/>
      <c r="Q282" s="98"/>
      <c r="R282" s="135"/>
      <c r="U282" s="48" t="str">
        <f t="shared" si="40"/>
        <v/>
      </c>
      <c r="V282" s="16"/>
      <c r="W282" s="34"/>
      <c r="X282" s="35"/>
      <c r="Z282" s="74"/>
      <c r="AA282" s="130" t="str" cm="1">
        <f t="array" ref="AA282">HEX2ASCII(AB282)&amp;HEX2ASCII(AC282)&amp;HEX2ASCII(AD282)&amp;HEX2ASCII(AE282)&amp;HEX2ASCII(AF282)&amp;HEX2ASCII(AG282)&amp;HEX2ASCII(AH282)&amp;HEX2ASCII(AI282)</f>
        <v/>
      </c>
      <c r="AB282" s="147"/>
      <c r="AC282" s="148"/>
      <c r="AD282" s="148"/>
      <c r="AE282" s="148"/>
      <c r="AF282" s="148"/>
      <c r="AG282" s="148"/>
      <c r="AH282" s="148"/>
      <c r="AI282" s="149"/>
    </row>
    <row r="283" spans="11:35">
      <c r="K283" s="85"/>
      <c r="L283" s="54" t="str">
        <f t="shared" si="39"/>
        <v/>
      </c>
      <c r="M283" s="38" t="str">
        <f t="shared" si="38"/>
        <v>0213</v>
      </c>
      <c r="N283" s="69">
        <f t="shared" si="41"/>
        <v>531</v>
      </c>
      <c r="O283" s="96"/>
      <c r="P283" s="97"/>
      <c r="Q283" s="98"/>
      <c r="R283" s="135"/>
      <c r="U283" s="48" t="str">
        <f t="shared" si="40"/>
        <v/>
      </c>
      <c r="V283" s="16"/>
      <c r="W283" s="34"/>
      <c r="X283" s="35"/>
      <c r="Z283" s="74"/>
      <c r="AA283" s="130" t="str" cm="1">
        <f t="array" ref="AA283">HEX2ASCII(AB283)&amp;HEX2ASCII(AC283)&amp;HEX2ASCII(AD283)&amp;HEX2ASCII(AE283)&amp;HEX2ASCII(AF283)&amp;HEX2ASCII(AG283)&amp;HEX2ASCII(AH283)&amp;HEX2ASCII(AI283)</f>
        <v/>
      </c>
      <c r="AB283" s="147"/>
      <c r="AC283" s="148"/>
      <c r="AD283" s="148"/>
      <c r="AE283" s="148"/>
      <c r="AF283" s="148"/>
      <c r="AG283" s="148"/>
      <c r="AH283" s="148"/>
      <c r="AI283" s="149"/>
    </row>
    <row r="284" spans="11:35">
      <c r="K284" s="85"/>
      <c r="L284" s="54" t="str">
        <f t="shared" si="39"/>
        <v/>
      </c>
      <c r="M284" s="38" t="str">
        <f t="shared" si="38"/>
        <v>0214</v>
      </c>
      <c r="N284" s="69">
        <f t="shared" si="41"/>
        <v>532</v>
      </c>
      <c r="O284" s="96"/>
      <c r="P284" s="97"/>
      <c r="Q284" s="98"/>
      <c r="R284" s="135"/>
      <c r="U284" s="48" t="str">
        <f t="shared" si="40"/>
        <v/>
      </c>
      <c r="V284" s="16"/>
      <c r="W284" s="34"/>
      <c r="X284" s="35"/>
      <c r="Z284" s="74"/>
      <c r="AA284" s="130" t="str" cm="1">
        <f t="array" ref="AA284">HEX2ASCII(AB284)&amp;HEX2ASCII(AC284)&amp;HEX2ASCII(AD284)&amp;HEX2ASCII(AE284)&amp;HEX2ASCII(AF284)&amp;HEX2ASCII(AG284)&amp;HEX2ASCII(AH284)&amp;HEX2ASCII(AI284)</f>
        <v/>
      </c>
      <c r="AB284" s="147"/>
      <c r="AC284" s="148"/>
      <c r="AD284" s="148"/>
      <c r="AE284" s="148"/>
      <c r="AF284" s="148"/>
      <c r="AG284" s="148"/>
      <c r="AH284" s="148"/>
      <c r="AI284" s="149"/>
    </row>
    <row r="285" spans="11:35">
      <c r="K285" s="85"/>
      <c r="L285" s="54" t="str">
        <f t="shared" si="39"/>
        <v/>
      </c>
      <c r="M285" s="38" t="str">
        <f t="shared" ref="M285:M348" si="42">IFERROR(RIGHT("0000"&amp;DEC2HEX(N285),4),"")</f>
        <v>0215</v>
      </c>
      <c r="N285" s="69">
        <f t="shared" si="41"/>
        <v>533</v>
      </c>
      <c r="O285" s="96"/>
      <c r="P285" s="97"/>
      <c r="Q285" s="98"/>
      <c r="R285" s="135"/>
      <c r="U285" s="48" t="str">
        <f t="shared" si="40"/>
        <v/>
      </c>
      <c r="V285" s="16"/>
      <c r="W285" s="34"/>
      <c r="X285" s="35"/>
      <c r="Z285" s="74"/>
      <c r="AA285" s="130" t="str" cm="1">
        <f t="array" ref="AA285">HEX2ASCII(AB285)&amp;HEX2ASCII(AC285)&amp;HEX2ASCII(AD285)&amp;HEX2ASCII(AE285)&amp;HEX2ASCII(AF285)&amp;HEX2ASCII(AG285)&amp;HEX2ASCII(AH285)&amp;HEX2ASCII(AI285)</f>
        <v/>
      </c>
      <c r="AB285" s="147"/>
      <c r="AC285" s="148"/>
      <c r="AD285" s="148"/>
      <c r="AE285" s="148"/>
      <c r="AF285" s="148"/>
      <c r="AG285" s="148"/>
      <c r="AH285" s="148"/>
      <c r="AI285" s="149"/>
    </row>
    <row r="286" spans="11:35">
      <c r="K286" s="85"/>
      <c r="L286" s="54" t="str">
        <f t="shared" si="39"/>
        <v/>
      </c>
      <c r="M286" s="38" t="str">
        <f t="shared" si="42"/>
        <v>0216</v>
      </c>
      <c r="N286" s="69">
        <f t="shared" si="41"/>
        <v>534</v>
      </c>
      <c r="O286" s="96"/>
      <c r="P286" s="97"/>
      <c r="Q286" s="98"/>
      <c r="R286" s="135"/>
      <c r="U286" s="48" t="str">
        <f t="shared" si="40"/>
        <v/>
      </c>
      <c r="V286" s="16"/>
      <c r="W286" s="34"/>
      <c r="X286" s="35"/>
      <c r="Z286" s="74"/>
      <c r="AA286" s="130" t="str" cm="1">
        <f t="array" ref="AA286">HEX2ASCII(AB286)&amp;HEX2ASCII(AC286)&amp;HEX2ASCII(AD286)&amp;HEX2ASCII(AE286)&amp;HEX2ASCII(AF286)&amp;HEX2ASCII(AG286)&amp;HEX2ASCII(AH286)&amp;HEX2ASCII(AI286)</f>
        <v/>
      </c>
      <c r="AB286" s="147"/>
      <c r="AC286" s="148"/>
      <c r="AD286" s="148"/>
      <c r="AE286" s="148"/>
      <c r="AF286" s="148"/>
      <c r="AG286" s="148"/>
      <c r="AH286" s="148"/>
      <c r="AI286" s="149"/>
    </row>
    <row r="287" spans="11:35">
      <c r="K287" s="85"/>
      <c r="L287" s="54" t="str">
        <f t="shared" si="39"/>
        <v/>
      </c>
      <c r="M287" s="38" t="str">
        <f t="shared" si="42"/>
        <v>0217</v>
      </c>
      <c r="N287" s="69">
        <f t="shared" si="41"/>
        <v>535</v>
      </c>
      <c r="O287" s="96"/>
      <c r="P287" s="97"/>
      <c r="Q287" s="98"/>
      <c r="R287" s="135"/>
      <c r="U287" s="48" t="str">
        <f t="shared" si="40"/>
        <v/>
      </c>
      <c r="V287" s="16"/>
      <c r="W287" s="34"/>
      <c r="X287" s="35"/>
      <c r="Z287" s="74"/>
      <c r="AA287" s="130" t="str" cm="1">
        <f t="array" ref="AA287">HEX2ASCII(AB287)&amp;HEX2ASCII(AC287)&amp;HEX2ASCII(AD287)&amp;HEX2ASCII(AE287)&amp;HEX2ASCII(AF287)&amp;HEX2ASCII(AG287)&amp;HEX2ASCII(AH287)&amp;HEX2ASCII(AI287)</f>
        <v/>
      </c>
      <c r="AB287" s="147"/>
      <c r="AC287" s="148"/>
      <c r="AD287" s="148"/>
      <c r="AE287" s="148"/>
      <c r="AF287" s="148"/>
      <c r="AG287" s="148"/>
      <c r="AH287" s="148"/>
      <c r="AI287" s="149"/>
    </row>
    <row r="288" spans="11:35">
      <c r="K288" s="85"/>
      <c r="L288" s="54" t="str">
        <f t="shared" si="39"/>
        <v/>
      </c>
      <c r="M288" s="38" t="str">
        <f t="shared" si="42"/>
        <v>0218</v>
      </c>
      <c r="N288" s="69">
        <f t="shared" si="41"/>
        <v>536</v>
      </c>
      <c r="O288" s="96"/>
      <c r="P288" s="97"/>
      <c r="Q288" s="98"/>
      <c r="R288" s="135"/>
      <c r="U288" s="48" t="str">
        <f t="shared" si="40"/>
        <v/>
      </c>
      <c r="V288" s="16"/>
      <c r="W288" s="34"/>
      <c r="X288" s="35"/>
      <c r="Z288" s="74"/>
      <c r="AA288" s="130" t="str" cm="1">
        <f t="array" ref="AA288">HEX2ASCII(AB288)&amp;HEX2ASCII(AC288)&amp;HEX2ASCII(AD288)&amp;HEX2ASCII(AE288)&amp;HEX2ASCII(AF288)&amp;HEX2ASCII(AG288)&amp;HEX2ASCII(AH288)&amp;HEX2ASCII(AI288)</f>
        <v/>
      </c>
      <c r="AB288" s="147"/>
      <c r="AC288" s="148"/>
      <c r="AD288" s="148"/>
      <c r="AE288" s="148"/>
      <c r="AF288" s="148"/>
      <c r="AG288" s="148"/>
      <c r="AH288" s="148"/>
      <c r="AI288" s="149"/>
    </row>
    <row r="289" spans="11:35">
      <c r="K289" s="85"/>
      <c r="L289" s="54" t="str">
        <f t="shared" si="39"/>
        <v/>
      </c>
      <c r="M289" s="38" t="str">
        <f t="shared" si="42"/>
        <v>0219</v>
      </c>
      <c r="N289" s="69">
        <f t="shared" si="41"/>
        <v>537</v>
      </c>
      <c r="O289" s="96"/>
      <c r="P289" s="97"/>
      <c r="Q289" s="98"/>
      <c r="R289" s="135"/>
      <c r="U289" s="48" t="str">
        <f t="shared" si="40"/>
        <v/>
      </c>
      <c r="V289" s="16"/>
      <c r="W289" s="34"/>
      <c r="X289" s="35"/>
      <c r="Z289" s="74"/>
      <c r="AA289" s="130" t="str" cm="1">
        <f t="array" ref="AA289">HEX2ASCII(AB289)&amp;HEX2ASCII(AC289)&amp;HEX2ASCII(AD289)&amp;HEX2ASCII(AE289)&amp;HEX2ASCII(AF289)&amp;HEX2ASCII(AG289)&amp;HEX2ASCII(AH289)&amp;HEX2ASCII(AI289)</f>
        <v/>
      </c>
      <c r="AB289" s="147"/>
      <c r="AC289" s="148"/>
      <c r="AD289" s="148"/>
      <c r="AE289" s="148"/>
      <c r="AF289" s="148"/>
      <c r="AG289" s="148"/>
      <c r="AH289" s="148"/>
      <c r="AI289" s="149"/>
    </row>
    <row r="290" spans="11:35">
      <c r="K290" s="85"/>
      <c r="L290" s="54" t="str">
        <f t="shared" si="39"/>
        <v/>
      </c>
      <c r="M290" s="38" t="str">
        <f t="shared" si="42"/>
        <v>021A</v>
      </c>
      <c r="N290" s="69">
        <f t="shared" si="41"/>
        <v>538</v>
      </c>
      <c r="O290" s="96"/>
      <c r="P290" s="97"/>
      <c r="Q290" s="98"/>
      <c r="R290" s="135"/>
      <c r="U290" s="48" t="str">
        <f t="shared" si="40"/>
        <v/>
      </c>
      <c r="V290" s="16"/>
      <c r="W290" s="34"/>
      <c r="X290" s="35"/>
      <c r="Z290" s="74"/>
      <c r="AA290" s="130" t="str" cm="1">
        <f t="array" ref="AA290">HEX2ASCII(AB290)&amp;HEX2ASCII(AC290)&amp;HEX2ASCII(AD290)&amp;HEX2ASCII(AE290)&amp;HEX2ASCII(AF290)&amp;HEX2ASCII(AG290)&amp;HEX2ASCII(AH290)&amp;HEX2ASCII(AI290)</f>
        <v/>
      </c>
      <c r="AB290" s="147"/>
      <c r="AC290" s="148"/>
      <c r="AD290" s="148"/>
      <c r="AE290" s="148"/>
      <c r="AF290" s="148"/>
      <c r="AG290" s="148"/>
      <c r="AH290" s="148"/>
      <c r="AI290" s="149"/>
    </row>
    <row r="291" spans="11:35">
      <c r="K291" s="85"/>
      <c r="L291" s="54" t="str">
        <f t="shared" si="39"/>
        <v/>
      </c>
      <c r="M291" s="38" t="str">
        <f t="shared" si="42"/>
        <v>021B</v>
      </c>
      <c r="N291" s="69">
        <f t="shared" si="41"/>
        <v>539</v>
      </c>
      <c r="O291" s="96"/>
      <c r="P291" s="97"/>
      <c r="Q291" s="98"/>
      <c r="R291" s="135"/>
      <c r="U291" s="48" t="str">
        <f t="shared" si="40"/>
        <v/>
      </c>
      <c r="V291" s="16"/>
      <c r="W291" s="34"/>
      <c r="X291" s="35"/>
      <c r="Z291" s="74"/>
      <c r="AA291" s="130" t="str" cm="1">
        <f t="array" ref="AA291">HEX2ASCII(AB291)&amp;HEX2ASCII(AC291)&amp;HEX2ASCII(AD291)&amp;HEX2ASCII(AE291)&amp;HEX2ASCII(AF291)&amp;HEX2ASCII(AG291)&amp;HEX2ASCII(AH291)&amp;HEX2ASCII(AI291)</f>
        <v/>
      </c>
      <c r="AB291" s="147"/>
      <c r="AC291" s="148"/>
      <c r="AD291" s="148"/>
      <c r="AE291" s="148"/>
      <c r="AF291" s="148"/>
      <c r="AG291" s="148"/>
      <c r="AH291" s="148"/>
      <c r="AI291" s="149"/>
    </row>
    <row r="292" spans="11:35">
      <c r="K292" s="85"/>
      <c r="L292" s="54" t="str">
        <f t="shared" si="39"/>
        <v/>
      </c>
      <c r="M292" s="38" t="str">
        <f t="shared" si="42"/>
        <v>021C</v>
      </c>
      <c r="N292" s="69">
        <f t="shared" si="41"/>
        <v>540</v>
      </c>
      <c r="O292" s="96"/>
      <c r="P292" s="97"/>
      <c r="Q292" s="98"/>
      <c r="R292" s="135"/>
      <c r="U292" s="48" t="str">
        <f t="shared" si="40"/>
        <v/>
      </c>
      <c r="V292" s="16"/>
      <c r="W292" s="34"/>
      <c r="X292" s="35"/>
      <c r="Z292" s="74"/>
      <c r="AA292" s="130" t="str" cm="1">
        <f t="array" ref="AA292">HEX2ASCII(AB292)&amp;HEX2ASCII(AC292)&amp;HEX2ASCII(AD292)&amp;HEX2ASCII(AE292)&amp;HEX2ASCII(AF292)&amp;HEX2ASCII(AG292)&amp;HEX2ASCII(AH292)&amp;HEX2ASCII(AI292)</f>
        <v/>
      </c>
      <c r="AB292" s="147"/>
      <c r="AC292" s="148"/>
      <c r="AD292" s="148"/>
      <c r="AE292" s="148"/>
      <c r="AF292" s="148"/>
      <c r="AG292" s="148"/>
      <c r="AH292" s="148"/>
      <c r="AI292" s="149"/>
    </row>
    <row r="293" spans="11:35">
      <c r="K293" s="85"/>
      <c r="L293" s="54" t="str">
        <f t="shared" si="39"/>
        <v/>
      </c>
      <c r="M293" s="38" t="str">
        <f t="shared" si="42"/>
        <v>021D</v>
      </c>
      <c r="N293" s="69">
        <f t="shared" si="41"/>
        <v>541</v>
      </c>
      <c r="O293" s="96"/>
      <c r="P293" s="97"/>
      <c r="Q293" s="98"/>
      <c r="R293" s="135"/>
      <c r="U293" s="48" t="str">
        <f t="shared" si="40"/>
        <v/>
      </c>
      <c r="V293" s="16"/>
      <c r="W293" s="34"/>
      <c r="X293" s="35"/>
      <c r="Z293" s="74"/>
      <c r="AA293" s="130" t="str" cm="1">
        <f t="array" ref="AA293">HEX2ASCII(AB293)&amp;HEX2ASCII(AC293)&amp;HEX2ASCII(AD293)&amp;HEX2ASCII(AE293)&amp;HEX2ASCII(AF293)&amp;HEX2ASCII(AG293)&amp;HEX2ASCII(AH293)&amp;HEX2ASCII(AI293)</f>
        <v/>
      </c>
      <c r="AB293" s="147"/>
      <c r="AC293" s="148"/>
      <c r="AD293" s="148"/>
      <c r="AE293" s="148"/>
      <c r="AF293" s="148"/>
      <c r="AG293" s="148"/>
      <c r="AH293" s="148"/>
      <c r="AI293" s="149"/>
    </row>
    <row r="294" spans="11:35">
      <c r="K294" s="85"/>
      <c r="L294" s="54" t="str">
        <f t="shared" si="39"/>
        <v/>
      </c>
      <c r="M294" s="38" t="str">
        <f t="shared" si="42"/>
        <v>021E</v>
      </c>
      <c r="N294" s="69">
        <f t="shared" si="41"/>
        <v>542</v>
      </c>
      <c r="O294" s="96"/>
      <c r="P294" s="97"/>
      <c r="Q294" s="98"/>
      <c r="R294" s="135"/>
      <c r="U294" s="48" t="str">
        <f t="shared" si="40"/>
        <v/>
      </c>
      <c r="V294" s="16"/>
      <c r="W294" s="34"/>
      <c r="X294" s="35"/>
      <c r="Z294" s="74"/>
      <c r="AA294" s="130" t="str" cm="1">
        <f t="array" ref="AA294">HEX2ASCII(AB294)&amp;HEX2ASCII(AC294)&amp;HEX2ASCII(AD294)&amp;HEX2ASCII(AE294)&amp;HEX2ASCII(AF294)&amp;HEX2ASCII(AG294)&amp;HEX2ASCII(AH294)&amp;HEX2ASCII(AI294)</f>
        <v/>
      </c>
      <c r="AB294" s="147"/>
      <c r="AC294" s="148"/>
      <c r="AD294" s="148"/>
      <c r="AE294" s="148"/>
      <c r="AF294" s="148"/>
      <c r="AG294" s="148"/>
      <c r="AH294" s="148"/>
      <c r="AI294" s="149"/>
    </row>
    <row r="295" spans="11:35">
      <c r="K295" s="85"/>
      <c r="L295" s="54" t="str">
        <f t="shared" si="39"/>
        <v/>
      </c>
      <c r="M295" s="38" t="str">
        <f t="shared" si="42"/>
        <v>021F</v>
      </c>
      <c r="N295" s="69">
        <f t="shared" si="41"/>
        <v>543</v>
      </c>
      <c r="O295" s="96"/>
      <c r="P295" s="97"/>
      <c r="Q295" s="98"/>
      <c r="R295" s="135"/>
      <c r="U295" s="48" t="str">
        <f t="shared" si="40"/>
        <v/>
      </c>
      <c r="V295" s="16"/>
      <c r="W295" s="34"/>
      <c r="X295" s="35"/>
      <c r="Z295" s="74"/>
      <c r="AA295" s="130" t="str" cm="1">
        <f t="array" ref="AA295">HEX2ASCII(AB295)&amp;HEX2ASCII(AC295)&amp;HEX2ASCII(AD295)&amp;HEX2ASCII(AE295)&amp;HEX2ASCII(AF295)&amp;HEX2ASCII(AG295)&amp;HEX2ASCII(AH295)&amp;HEX2ASCII(AI295)</f>
        <v/>
      </c>
      <c r="AB295" s="147"/>
      <c r="AC295" s="148"/>
      <c r="AD295" s="148"/>
      <c r="AE295" s="148"/>
      <c r="AF295" s="148"/>
      <c r="AG295" s="148"/>
      <c r="AH295" s="148"/>
      <c r="AI295" s="149"/>
    </row>
    <row r="296" spans="11:35">
      <c r="K296" s="85"/>
      <c r="L296" s="54" t="str">
        <f t="shared" si="39"/>
        <v/>
      </c>
      <c r="M296" s="38" t="str">
        <f t="shared" si="42"/>
        <v>0220</v>
      </c>
      <c r="N296" s="69">
        <f t="shared" si="41"/>
        <v>544</v>
      </c>
      <c r="O296" s="96"/>
      <c r="P296" s="97"/>
      <c r="Q296" s="98"/>
      <c r="R296" s="135"/>
      <c r="U296" s="48" t="str">
        <f t="shared" si="40"/>
        <v/>
      </c>
      <c r="V296" s="16"/>
      <c r="W296" s="34"/>
      <c r="X296" s="35"/>
      <c r="Z296" s="74"/>
      <c r="AA296" s="130" t="str" cm="1">
        <f t="array" ref="AA296">HEX2ASCII(AB296)&amp;HEX2ASCII(AC296)&amp;HEX2ASCII(AD296)&amp;HEX2ASCII(AE296)&amp;HEX2ASCII(AF296)&amp;HEX2ASCII(AG296)&amp;HEX2ASCII(AH296)&amp;HEX2ASCII(AI296)</f>
        <v/>
      </c>
      <c r="AB296" s="147"/>
      <c r="AC296" s="148"/>
      <c r="AD296" s="148"/>
      <c r="AE296" s="148"/>
      <c r="AF296" s="148"/>
      <c r="AG296" s="148"/>
      <c r="AH296" s="148"/>
      <c r="AI296" s="149"/>
    </row>
    <row r="297" spans="11:35">
      <c r="K297" s="85"/>
      <c r="L297" s="54" t="str">
        <f t="shared" si="39"/>
        <v/>
      </c>
      <c r="M297" s="38" t="str">
        <f t="shared" si="42"/>
        <v>0221</v>
      </c>
      <c r="N297" s="69">
        <f t="shared" si="41"/>
        <v>545</v>
      </c>
      <c r="O297" s="96"/>
      <c r="P297" s="97"/>
      <c r="Q297" s="98"/>
      <c r="R297" s="135"/>
      <c r="U297" s="48" t="str">
        <f t="shared" si="40"/>
        <v/>
      </c>
      <c r="V297" s="16"/>
      <c r="W297" s="34"/>
      <c r="X297" s="35"/>
      <c r="Z297" s="74"/>
      <c r="AA297" s="130" t="str" cm="1">
        <f t="array" ref="AA297">HEX2ASCII(AB297)&amp;HEX2ASCII(AC297)&amp;HEX2ASCII(AD297)&amp;HEX2ASCII(AE297)&amp;HEX2ASCII(AF297)&amp;HEX2ASCII(AG297)&amp;HEX2ASCII(AH297)&amp;HEX2ASCII(AI297)</f>
        <v/>
      </c>
      <c r="AB297" s="147"/>
      <c r="AC297" s="148"/>
      <c r="AD297" s="148"/>
      <c r="AE297" s="148"/>
      <c r="AF297" s="148"/>
      <c r="AG297" s="148"/>
      <c r="AH297" s="148"/>
      <c r="AI297" s="149"/>
    </row>
    <row r="298" spans="11:35">
      <c r="K298" s="85"/>
      <c r="L298" s="54" t="str">
        <f t="shared" si="39"/>
        <v/>
      </c>
      <c r="M298" s="38" t="str">
        <f t="shared" si="42"/>
        <v>0222</v>
      </c>
      <c r="N298" s="69">
        <f t="shared" si="41"/>
        <v>546</v>
      </c>
      <c r="O298" s="96"/>
      <c r="P298" s="97"/>
      <c r="Q298" s="98"/>
      <c r="R298" s="135"/>
      <c r="U298" s="48" t="str">
        <f t="shared" si="40"/>
        <v/>
      </c>
      <c r="V298" s="16"/>
      <c r="W298" s="34"/>
      <c r="X298" s="35"/>
      <c r="Z298" s="74"/>
      <c r="AA298" s="130" t="str" cm="1">
        <f t="array" ref="AA298">HEX2ASCII(AB298)&amp;HEX2ASCII(AC298)&amp;HEX2ASCII(AD298)&amp;HEX2ASCII(AE298)&amp;HEX2ASCII(AF298)&amp;HEX2ASCII(AG298)&amp;HEX2ASCII(AH298)&amp;HEX2ASCII(AI298)</f>
        <v/>
      </c>
      <c r="AB298" s="147"/>
      <c r="AC298" s="148"/>
      <c r="AD298" s="148"/>
      <c r="AE298" s="148"/>
      <c r="AF298" s="148"/>
      <c r="AG298" s="148"/>
      <c r="AH298" s="148"/>
      <c r="AI298" s="149"/>
    </row>
    <row r="299" spans="11:35">
      <c r="K299" s="85"/>
      <c r="L299" s="54" t="str">
        <f t="shared" si="39"/>
        <v/>
      </c>
      <c r="M299" s="38" t="str">
        <f t="shared" si="42"/>
        <v>0223</v>
      </c>
      <c r="N299" s="69">
        <f t="shared" si="41"/>
        <v>547</v>
      </c>
      <c r="O299" s="96"/>
      <c r="P299" s="97"/>
      <c r="Q299" s="98"/>
      <c r="R299" s="135"/>
      <c r="U299" s="48" t="str">
        <f t="shared" si="40"/>
        <v/>
      </c>
      <c r="V299" s="16"/>
      <c r="W299" s="34"/>
      <c r="X299" s="35"/>
      <c r="Z299" s="74"/>
      <c r="AA299" s="130" t="str" cm="1">
        <f t="array" ref="AA299">HEX2ASCII(AB299)&amp;HEX2ASCII(AC299)&amp;HEX2ASCII(AD299)&amp;HEX2ASCII(AE299)&amp;HEX2ASCII(AF299)&amp;HEX2ASCII(AG299)&amp;HEX2ASCII(AH299)&amp;HEX2ASCII(AI299)</f>
        <v/>
      </c>
      <c r="AB299" s="147"/>
      <c r="AC299" s="148"/>
      <c r="AD299" s="148"/>
      <c r="AE299" s="148"/>
      <c r="AF299" s="148"/>
      <c r="AG299" s="148"/>
      <c r="AH299" s="148"/>
      <c r="AI299" s="149"/>
    </row>
    <row r="300" spans="11:35">
      <c r="K300" s="85"/>
      <c r="L300" s="54" t="str">
        <f t="shared" si="39"/>
        <v/>
      </c>
      <c r="M300" s="38" t="str">
        <f t="shared" si="42"/>
        <v>0224</v>
      </c>
      <c r="N300" s="69">
        <f t="shared" si="41"/>
        <v>548</v>
      </c>
      <c r="O300" s="96"/>
      <c r="P300" s="97"/>
      <c r="Q300" s="98"/>
      <c r="R300" s="135"/>
      <c r="U300" s="48" t="str">
        <f t="shared" si="40"/>
        <v/>
      </c>
      <c r="V300" s="16"/>
      <c r="W300" s="34"/>
      <c r="X300" s="35"/>
      <c r="Z300" s="74"/>
      <c r="AA300" s="130" t="str" cm="1">
        <f t="array" ref="AA300">HEX2ASCII(AB300)&amp;HEX2ASCII(AC300)&amp;HEX2ASCII(AD300)&amp;HEX2ASCII(AE300)&amp;HEX2ASCII(AF300)&amp;HEX2ASCII(AG300)&amp;HEX2ASCII(AH300)&amp;HEX2ASCII(AI300)</f>
        <v/>
      </c>
      <c r="AB300" s="147"/>
      <c r="AC300" s="148"/>
      <c r="AD300" s="148"/>
      <c r="AE300" s="148"/>
      <c r="AF300" s="148"/>
      <c r="AG300" s="148"/>
      <c r="AH300" s="148"/>
      <c r="AI300" s="149"/>
    </row>
    <row r="301" spans="11:35">
      <c r="K301" s="85"/>
      <c r="L301" s="54" t="str">
        <f t="shared" si="39"/>
        <v/>
      </c>
      <c r="M301" s="38" t="str">
        <f t="shared" si="42"/>
        <v>0225</v>
      </c>
      <c r="N301" s="69">
        <f t="shared" si="41"/>
        <v>549</v>
      </c>
      <c r="O301" s="96"/>
      <c r="P301" s="97"/>
      <c r="Q301" s="98"/>
      <c r="R301" s="135"/>
      <c r="U301" s="48" t="str">
        <f t="shared" si="40"/>
        <v/>
      </c>
      <c r="V301" s="16"/>
      <c r="W301" s="34"/>
      <c r="X301" s="35"/>
      <c r="Z301" s="74"/>
      <c r="AA301" s="130" t="str" cm="1">
        <f t="array" ref="AA301">HEX2ASCII(AB301)&amp;HEX2ASCII(AC301)&amp;HEX2ASCII(AD301)&amp;HEX2ASCII(AE301)&amp;HEX2ASCII(AF301)&amp;HEX2ASCII(AG301)&amp;HEX2ASCII(AH301)&amp;HEX2ASCII(AI301)</f>
        <v/>
      </c>
      <c r="AB301" s="147"/>
      <c r="AC301" s="148"/>
      <c r="AD301" s="148"/>
      <c r="AE301" s="148"/>
      <c r="AF301" s="148"/>
      <c r="AG301" s="148"/>
      <c r="AH301" s="148"/>
      <c r="AI301" s="149"/>
    </row>
    <row r="302" spans="11:35">
      <c r="K302" s="85"/>
      <c r="L302" s="54" t="str">
        <f t="shared" si="39"/>
        <v/>
      </c>
      <c r="M302" s="38" t="str">
        <f t="shared" si="42"/>
        <v>0226</v>
      </c>
      <c r="N302" s="69">
        <f t="shared" si="41"/>
        <v>550</v>
      </c>
      <c r="O302" s="96"/>
      <c r="P302" s="97"/>
      <c r="Q302" s="98"/>
      <c r="R302" s="135"/>
      <c r="U302" s="48" t="str">
        <f t="shared" si="40"/>
        <v/>
      </c>
      <c r="V302" s="16"/>
      <c r="W302" s="34"/>
      <c r="X302" s="35"/>
      <c r="Z302" s="74"/>
      <c r="AA302" s="130" t="str" cm="1">
        <f t="array" ref="AA302">HEX2ASCII(AB302)&amp;HEX2ASCII(AC302)&amp;HEX2ASCII(AD302)&amp;HEX2ASCII(AE302)&amp;HEX2ASCII(AF302)&amp;HEX2ASCII(AG302)&amp;HEX2ASCII(AH302)&amp;HEX2ASCII(AI302)</f>
        <v/>
      </c>
      <c r="AB302" s="147"/>
      <c r="AC302" s="148"/>
      <c r="AD302" s="148"/>
      <c r="AE302" s="148"/>
      <c r="AF302" s="148"/>
      <c r="AG302" s="148"/>
      <c r="AH302" s="148"/>
      <c r="AI302" s="149"/>
    </row>
    <row r="303" spans="11:35">
      <c r="K303" s="85"/>
      <c r="L303" s="54" t="str">
        <f t="shared" si="39"/>
        <v/>
      </c>
      <c r="M303" s="38" t="str">
        <f t="shared" si="42"/>
        <v>0227</v>
      </c>
      <c r="N303" s="69">
        <f t="shared" si="41"/>
        <v>551</v>
      </c>
      <c r="O303" s="96"/>
      <c r="P303" s="97"/>
      <c r="Q303" s="98"/>
      <c r="R303" s="135"/>
      <c r="U303" s="48" t="str">
        <f t="shared" si="40"/>
        <v/>
      </c>
      <c r="V303" s="16"/>
      <c r="W303" s="34"/>
      <c r="X303" s="35"/>
      <c r="Z303" s="74"/>
      <c r="AA303" s="130" t="str" cm="1">
        <f t="array" ref="AA303">HEX2ASCII(AB303)&amp;HEX2ASCII(AC303)&amp;HEX2ASCII(AD303)&amp;HEX2ASCII(AE303)&amp;HEX2ASCII(AF303)&amp;HEX2ASCII(AG303)&amp;HEX2ASCII(AH303)&amp;HEX2ASCII(AI303)</f>
        <v/>
      </c>
      <c r="AB303" s="147"/>
      <c r="AC303" s="148"/>
      <c r="AD303" s="148"/>
      <c r="AE303" s="148"/>
      <c r="AF303" s="148"/>
      <c r="AG303" s="148"/>
      <c r="AH303" s="148"/>
      <c r="AI303" s="149"/>
    </row>
    <row r="304" spans="11:35">
      <c r="K304" s="85"/>
      <c r="L304" s="54" t="str">
        <f t="shared" si="39"/>
        <v/>
      </c>
      <c r="M304" s="38" t="str">
        <f t="shared" si="42"/>
        <v>0228</v>
      </c>
      <c r="N304" s="69">
        <f t="shared" si="41"/>
        <v>552</v>
      </c>
      <c r="O304" s="96"/>
      <c r="P304" s="97"/>
      <c r="Q304" s="98"/>
      <c r="R304" s="135"/>
      <c r="U304" s="48" t="str">
        <f t="shared" si="40"/>
        <v/>
      </c>
      <c r="V304" s="16"/>
      <c r="W304" s="34"/>
      <c r="X304" s="35"/>
      <c r="Z304" s="74"/>
      <c r="AA304" s="130" t="str" cm="1">
        <f t="array" ref="AA304">HEX2ASCII(AB304)&amp;HEX2ASCII(AC304)&amp;HEX2ASCII(AD304)&amp;HEX2ASCII(AE304)&amp;HEX2ASCII(AF304)&amp;HEX2ASCII(AG304)&amp;HEX2ASCII(AH304)&amp;HEX2ASCII(AI304)</f>
        <v/>
      </c>
      <c r="AB304" s="147"/>
      <c r="AC304" s="148"/>
      <c r="AD304" s="148"/>
      <c r="AE304" s="148"/>
      <c r="AF304" s="148"/>
      <c r="AG304" s="148"/>
      <c r="AH304" s="148"/>
      <c r="AI304" s="149"/>
    </row>
    <row r="305" spans="11:35">
      <c r="K305" s="85"/>
      <c r="L305" s="54" t="str">
        <f t="shared" si="39"/>
        <v/>
      </c>
      <c r="M305" s="38" t="str">
        <f t="shared" si="42"/>
        <v>0229</v>
      </c>
      <c r="N305" s="69">
        <f t="shared" si="41"/>
        <v>553</v>
      </c>
      <c r="O305" s="96"/>
      <c r="P305" s="97"/>
      <c r="Q305" s="98"/>
      <c r="R305" s="135"/>
      <c r="U305" s="48" t="str">
        <f t="shared" si="40"/>
        <v/>
      </c>
      <c r="V305" s="16"/>
      <c r="W305" s="34"/>
      <c r="X305" s="35"/>
      <c r="Z305" s="74"/>
      <c r="AA305" s="130" t="str" cm="1">
        <f t="array" ref="AA305">HEX2ASCII(AB305)&amp;HEX2ASCII(AC305)&amp;HEX2ASCII(AD305)&amp;HEX2ASCII(AE305)&amp;HEX2ASCII(AF305)&amp;HEX2ASCII(AG305)&amp;HEX2ASCII(AH305)&amp;HEX2ASCII(AI305)</f>
        <v/>
      </c>
      <c r="AB305" s="147"/>
      <c r="AC305" s="148"/>
      <c r="AD305" s="148"/>
      <c r="AE305" s="148"/>
      <c r="AF305" s="148"/>
      <c r="AG305" s="148"/>
      <c r="AH305" s="148"/>
      <c r="AI305" s="149"/>
    </row>
    <row r="306" spans="11:35">
      <c r="K306" s="85"/>
      <c r="L306" s="54" t="str">
        <f t="shared" si="39"/>
        <v/>
      </c>
      <c r="M306" s="38" t="str">
        <f t="shared" si="42"/>
        <v>022A</v>
      </c>
      <c r="N306" s="69">
        <f t="shared" si="41"/>
        <v>554</v>
      </c>
      <c r="O306" s="96"/>
      <c r="P306" s="97"/>
      <c r="Q306" s="98"/>
      <c r="R306" s="135"/>
      <c r="U306" s="48" t="str">
        <f t="shared" si="40"/>
        <v/>
      </c>
      <c r="V306" s="16"/>
      <c r="W306" s="34"/>
      <c r="X306" s="35"/>
      <c r="Z306" s="74"/>
      <c r="AA306" s="130" t="str" cm="1">
        <f t="array" ref="AA306">HEX2ASCII(AB306)&amp;HEX2ASCII(AC306)&amp;HEX2ASCII(AD306)&amp;HEX2ASCII(AE306)&amp;HEX2ASCII(AF306)&amp;HEX2ASCII(AG306)&amp;HEX2ASCII(AH306)&amp;HEX2ASCII(AI306)</f>
        <v/>
      </c>
      <c r="AB306" s="147"/>
      <c r="AC306" s="148"/>
      <c r="AD306" s="148"/>
      <c r="AE306" s="148"/>
      <c r="AF306" s="148"/>
      <c r="AG306" s="148"/>
      <c r="AH306" s="148"/>
      <c r="AI306" s="149"/>
    </row>
    <row r="307" spans="11:35">
      <c r="K307" s="85"/>
      <c r="L307" s="54" t="str">
        <f t="shared" si="39"/>
        <v/>
      </c>
      <c r="M307" s="38" t="str">
        <f t="shared" si="42"/>
        <v>022B</v>
      </c>
      <c r="N307" s="69">
        <f t="shared" si="41"/>
        <v>555</v>
      </c>
      <c r="O307" s="96"/>
      <c r="P307" s="97"/>
      <c r="Q307" s="98"/>
      <c r="R307" s="135"/>
      <c r="U307" s="48" t="str">
        <f t="shared" si="40"/>
        <v/>
      </c>
      <c r="V307" s="16"/>
      <c r="W307" s="34"/>
      <c r="X307" s="35"/>
      <c r="Z307" s="74"/>
      <c r="AA307" s="130" t="str" cm="1">
        <f t="array" ref="AA307">HEX2ASCII(AB307)&amp;HEX2ASCII(AC307)&amp;HEX2ASCII(AD307)&amp;HEX2ASCII(AE307)&amp;HEX2ASCII(AF307)&amp;HEX2ASCII(AG307)&amp;HEX2ASCII(AH307)&amp;HEX2ASCII(AI307)</f>
        <v/>
      </c>
      <c r="AB307" s="147"/>
      <c r="AC307" s="148"/>
      <c r="AD307" s="148"/>
      <c r="AE307" s="148"/>
      <c r="AF307" s="148"/>
      <c r="AG307" s="148"/>
      <c r="AH307" s="148"/>
      <c r="AI307" s="149"/>
    </row>
    <row r="308" spans="11:35">
      <c r="K308" s="85"/>
      <c r="L308" s="54" t="str">
        <f t="shared" si="39"/>
        <v/>
      </c>
      <c r="M308" s="38" t="str">
        <f t="shared" si="42"/>
        <v>022C</v>
      </c>
      <c r="N308" s="69">
        <f t="shared" si="41"/>
        <v>556</v>
      </c>
      <c r="O308" s="96"/>
      <c r="P308" s="97"/>
      <c r="Q308" s="98"/>
      <c r="R308" s="135"/>
      <c r="U308" s="48" t="str">
        <f t="shared" si="40"/>
        <v/>
      </c>
      <c r="V308" s="16"/>
      <c r="W308" s="34"/>
      <c r="X308" s="35"/>
      <c r="Z308" s="74"/>
      <c r="AA308" s="130" t="str" cm="1">
        <f t="array" ref="AA308">HEX2ASCII(AB308)&amp;HEX2ASCII(AC308)&amp;HEX2ASCII(AD308)&amp;HEX2ASCII(AE308)&amp;HEX2ASCII(AF308)&amp;HEX2ASCII(AG308)&amp;HEX2ASCII(AH308)&amp;HEX2ASCII(AI308)</f>
        <v/>
      </c>
      <c r="AB308" s="147"/>
      <c r="AC308" s="148"/>
      <c r="AD308" s="148"/>
      <c r="AE308" s="148"/>
      <c r="AF308" s="148"/>
      <c r="AG308" s="148"/>
      <c r="AH308" s="148"/>
      <c r="AI308" s="149"/>
    </row>
    <row r="309" spans="11:35">
      <c r="K309" s="85"/>
      <c r="L309" s="54" t="str">
        <f t="shared" si="39"/>
        <v/>
      </c>
      <c r="M309" s="38" t="str">
        <f t="shared" si="42"/>
        <v>022D</v>
      </c>
      <c r="N309" s="69">
        <f t="shared" si="41"/>
        <v>557</v>
      </c>
      <c r="O309" s="96"/>
      <c r="P309" s="97"/>
      <c r="Q309" s="98"/>
      <c r="R309" s="135"/>
      <c r="U309" s="48" t="str">
        <f t="shared" si="40"/>
        <v/>
      </c>
      <c r="V309" s="16"/>
      <c r="W309" s="34"/>
      <c r="X309" s="35"/>
      <c r="Z309" s="74"/>
      <c r="AA309" s="130" t="str" cm="1">
        <f t="array" ref="AA309">HEX2ASCII(AB309)&amp;HEX2ASCII(AC309)&amp;HEX2ASCII(AD309)&amp;HEX2ASCII(AE309)&amp;HEX2ASCII(AF309)&amp;HEX2ASCII(AG309)&amp;HEX2ASCII(AH309)&amp;HEX2ASCII(AI309)</f>
        <v/>
      </c>
      <c r="AB309" s="147"/>
      <c r="AC309" s="148"/>
      <c r="AD309" s="148"/>
      <c r="AE309" s="148"/>
      <c r="AF309" s="148"/>
      <c r="AG309" s="148"/>
      <c r="AH309" s="148"/>
      <c r="AI309" s="149"/>
    </row>
    <row r="310" spans="11:35">
      <c r="K310" s="85"/>
      <c r="L310" s="54" t="str">
        <f t="shared" si="39"/>
        <v/>
      </c>
      <c r="M310" s="38" t="str">
        <f t="shared" si="42"/>
        <v>022E</v>
      </c>
      <c r="N310" s="69">
        <f t="shared" si="41"/>
        <v>558</v>
      </c>
      <c r="O310" s="96"/>
      <c r="P310" s="97"/>
      <c r="Q310" s="98"/>
      <c r="R310" s="135"/>
      <c r="U310" s="48" t="str">
        <f t="shared" si="40"/>
        <v/>
      </c>
      <c r="V310" s="16"/>
      <c r="W310" s="34"/>
      <c r="X310" s="35"/>
      <c r="Z310" s="74"/>
      <c r="AA310" s="130" t="str" cm="1">
        <f t="array" ref="AA310">HEX2ASCII(AB310)&amp;HEX2ASCII(AC310)&amp;HEX2ASCII(AD310)&amp;HEX2ASCII(AE310)&amp;HEX2ASCII(AF310)&amp;HEX2ASCII(AG310)&amp;HEX2ASCII(AH310)&amp;HEX2ASCII(AI310)</f>
        <v/>
      </c>
      <c r="AB310" s="147"/>
      <c r="AC310" s="148"/>
      <c r="AD310" s="148"/>
      <c r="AE310" s="148"/>
      <c r="AF310" s="148"/>
      <c r="AG310" s="148"/>
      <c r="AH310" s="148"/>
      <c r="AI310" s="149"/>
    </row>
    <row r="311" spans="11:35">
      <c r="K311" s="85"/>
      <c r="L311" s="54" t="str">
        <f t="shared" si="39"/>
        <v/>
      </c>
      <c r="M311" s="38" t="str">
        <f t="shared" si="42"/>
        <v>022F</v>
      </c>
      <c r="N311" s="69">
        <f t="shared" si="41"/>
        <v>559</v>
      </c>
      <c r="O311" s="96"/>
      <c r="P311" s="97"/>
      <c r="Q311" s="98"/>
      <c r="R311" s="135"/>
      <c r="U311" s="48" t="str">
        <f t="shared" si="40"/>
        <v/>
      </c>
      <c r="V311" s="16"/>
      <c r="W311" s="34"/>
      <c r="X311" s="35"/>
      <c r="Z311" s="74"/>
      <c r="AA311" s="130" t="str" cm="1">
        <f t="array" ref="AA311">HEX2ASCII(AB311)&amp;HEX2ASCII(AC311)&amp;HEX2ASCII(AD311)&amp;HEX2ASCII(AE311)&amp;HEX2ASCII(AF311)&amp;HEX2ASCII(AG311)&amp;HEX2ASCII(AH311)&amp;HEX2ASCII(AI311)</f>
        <v/>
      </c>
      <c r="AB311" s="147"/>
      <c r="AC311" s="148"/>
      <c r="AD311" s="148"/>
      <c r="AE311" s="148"/>
      <c r="AF311" s="148"/>
      <c r="AG311" s="148"/>
      <c r="AH311" s="148"/>
      <c r="AI311" s="149"/>
    </row>
    <row r="312" spans="11:35">
      <c r="K312" s="85"/>
      <c r="L312" s="54" t="str">
        <f t="shared" si="39"/>
        <v/>
      </c>
      <c r="M312" s="38" t="str">
        <f t="shared" si="42"/>
        <v>0230</v>
      </c>
      <c r="N312" s="69">
        <f t="shared" si="41"/>
        <v>560</v>
      </c>
      <c r="O312" s="96"/>
      <c r="P312" s="97"/>
      <c r="Q312" s="98"/>
      <c r="R312" s="135"/>
      <c r="U312" s="48" t="str">
        <f t="shared" si="40"/>
        <v/>
      </c>
      <c r="V312" s="16"/>
      <c r="W312" s="34"/>
      <c r="X312" s="35"/>
      <c r="Z312" s="74"/>
      <c r="AA312" s="130" t="str" cm="1">
        <f t="array" ref="AA312">HEX2ASCII(AB312)&amp;HEX2ASCII(AC312)&amp;HEX2ASCII(AD312)&amp;HEX2ASCII(AE312)&amp;HEX2ASCII(AF312)&amp;HEX2ASCII(AG312)&amp;HEX2ASCII(AH312)&amp;HEX2ASCII(AI312)</f>
        <v/>
      </c>
      <c r="AB312" s="147"/>
      <c r="AC312" s="148"/>
      <c r="AD312" s="148"/>
      <c r="AE312" s="148"/>
      <c r="AF312" s="148"/>
      <c r="AG312" s="148"/>
      <c r="AH312" s="148"/>
      <c r="AI312" s="149"/>
    </row>
    <row r="313" spans="11:35">
      <c r="K313" s="85"/>
      <c r="L313" s="54" t="str">
        <f t="shared" si="39"/>
        <v/>
      </c>
      <c r="M313" s="38" t="str">
        <f t="shared" si="42"/>
        <v>0231</v>
      </c>
      <c r="N313" s="69">
        <f t="shared" si="41"/>
        <v>561</v>
      </c>
      <c r="O313" s="96"/>
      <c r="P313" s="97"/>
      <c r="Q313" s="98"/>
      <c r="R313" s="135"/>
      <c r="U313" s="48" t="str">
        <f t="shared" si="40"/>
        <v/>
      </c>
      <c r="V313" s="16"/>
      <c r="W313" s="34"/>
      <c r="X313" s="35"/>
      <c r="Z313" s="74"/>
      <c r="AA313" s="130" t="str" cm="1">
        <f t="array" ref="AA313">HEX2ASCII(AB313)&amp;HEX2ASCII(AC313)&amp;HEX2ASCII(AD313)&amp;HEX2ASCII(AE313)&amp;HEX2ASCII(AF313)&amp;HEX2ASCII(AG313)&amp;HEX2ASCII(AH313)&amp;HEX2ASCII(AI313)</f>
        <v/>
      </c>
      <c r="AB313" s="147"/>
      <c r="AC313" s="148"/>
      <c r="AD313" s="148"/>
      <c r="AE313" s="148"/>
      <c r="AF313" s="148"/>
      <c r="AG313" s="148"/>
      <c r="AH313" s="148"/>
      <c r="AI313" s="149"/>
    </row>
    <row r="314" spans="11:35">
      <c r="K314" s="85"/>
      <c r="L314" s="54" t="str">
        <f t="shared" si="39"/>
        <v/>
      </c>
      <c r="M314" s="38" t="str">
        <f t="shared" si="42"/>
        <v>0232</v>
      </c>
      <c r="N314" s="69">
        <f t="shared" si="41"/>
        <v>562</v>
      </c>
      <c r="O314" s="96"/>
      <c r="P314" s="97"/>
      <c r="Q314" s="98"/>
      <c r="R314" s="135"/>
      <c r="U314" s="48" t="str">
        <f t="shared" si="40"/>
        <v/>
      </c>
      <c r="V314" s="16"/>
      <c r="W314" s="34"/>
      <c r="X314" s="35"/>
      <c r="Z314" s="74"/>
      <c r="AA314" s="130" t="str" cm="1">
        <f t="array" ref="AA314">HEX2ASCII(AB314)&amp;HEX2ASCII(AC314)&amp;HEX2ASCII(AD314)&amp;HEX2ASCII(AE314)&amp;HEX2ASCII(AF314)&amp;HEX2ASCII(AG314)&amp;HEX2ASCII(AH314)&amp;HEX2ASCII(AI314)</f>
        <v/>
      </c>
      <c r="AB314" s="147"/>
      <c r="AC314" s="148"/>
      <c r="AD314" s="148"/>
      <c r="AE314" s="148"/>
      <c r="AF314" s="148"/>
      <c r="AG314" s="148"/>
      <c r="AH314" s="148"/>
      <c r="AI314" s="149"/>
    </row>
    <row r="315" spans="11:35">
      <c r="K315" s="85"/>
      <c r="L315" s="54" t="str">
        <f t="shared" si="39"/>
        <v/>
      </c>
      <c r="M315" s="38" t="str">
        <f t="shared" si="42"/>
        <v>0233</v>
      </c>
      <c r="N315" s="69">
        <f t="shared" si="41"/>
        <v>563</v>
      </c>
      <c r="O315" s="96"/>
      <c r="P315" s="97"/>
      <c r="Q315" s="98"/>
      <c r="R315" s="135"/>
      <c r="U315" s="48" t="str">
        <f t="shared" si="40"/>
        <v/>
      </c>
      <c r="V315" s="16"/>
      <c r="W315" s="34"/>
      <c r="X315" s="35"/>
      <c r="Z315" s="74"/>
      <c r="AA315" s="130" t="str" cm="1">
        <f t="array" ref="AA315">HEX2ASCII(AB315)&amp;HEX2ASCII(AC315)&amp;HEX2ASCII(AD315)&amp;HEX2ASCII(AE315)&amp;HEX2ASCII(AF315)&amp;HEX2ASCII(AG315)&amp;HEX2ASCII(AH315)&amp;HEX2ASCII(AI315)</f>
        <v/>
      </c>
      <c r="AB315" s="147"/>
      <c r="AC315" s="148"/>
      <c r="AD315" s="148"/>
      <c r="AE315" s="148"/>
      <c r="AF315" s="148"/>
      <c r="AG315" s="148"/>
      <c r="AH315" s="148"/>
      <c r="AI315" s="149"/>
    </row>
    <row r="316" spans="11:35">
      <c r="K316" s="85"/>
      <c r="L316" s="54" t="str">
        <f t="shared" si="39"/>
        <v/>
      </c>
      <c r="M316" s="38" t="str">
        <f t="shared" si="42"/>
        <v>0234</v>
      </c>
      <c r="N316" s="69">
        <f t="shared" si="41"/>
        <v>564</v>
      </c>
      <c r="O316" s="96"/>
      <c r="P316" s="97"/>
      <c r="Q316" s="98"/>
      <c r="R316" s="135"/>
      <c r="U316" s="48" t="str">
        <f t="shared" si="40"/>
        <v/>
      </c>
      <c r="V316" s="16"/>
      <c r="W316" s="34"/>
      <c r="X316" s="35"/>
      <c r="Z316" s="74"/>
      <c r="AA316" s="130" t="str" cm="1">
        <f t="array" ref="AA316">HEX2ASCII(AB316)&amp;HEX2ASCII(AC316)&amp;HEX2ASCII(AD316)&amp;HEX2ASCII(AE316)&amp;HEX2ASCII(AF316)&amp;HEX2ASCII(AG316)&amp;HEX2ASCII(AH316)&amp;HEX2ASCII(AI316)</f>
        <v/>
      </c>
      <c r="AB316" s="147"/>
      <c r="AC316" s="148"/>
      <c r="AD316" s="148"/>
      <c r="AE316" s="148"/>
      <c r="AF316" s="148"/>
      <c r="AG316" s="148"/>
      <c r="AH316" s="148"/>
      <c r="AI316" s="149"/>
    </row>
    <row r="317" spans="11:35">
      <c r="K317" s="85"/>
      <c r="L317" s="54" t="str">
        <f t="shared" si="39"/>
        <v/>
      </c>
      <c r="M317" s="38" t="str">
        <f t="shared" si="42"/>
        <v>0235</v>
      </c>
      <c r="N317" s="69">
        <f t="shared" si="41"/>
        <v>565</v>
      </c>
      <c r="O317" s="96"/>
      <c r="P317" s="97"/>
      <c r="Q317" s="98"/>
      <c r="R317" s="135"/>
      <c r="U317" s="48" t="str">
        <f t="shared" si="40"/>
        <v/>
      </c>
      <c r="V317" s="16"/>
      <c r="W317" s="34"/>
      <c r="X317" s="35"/>
      <c r="Z317" s="74"/>
      <c r="AA317" s="130" t="str" cm="1">
        <f t="array" ref="AA317">HEX2ASCII(AB317)&amp;HEX2ASCII(AC317)&amp;HEX2ASCII(AD317)&amp;HEX2ASCII(AE317)&amp;HEX2ASCII(AF317)&amp;HEX2ASCII(AG317)&amp;HEX2ASCII(AH317)&amp;HEX2ASCII(AI317)</f>
        <v/>
      </c>
      <c r="AB317" s="147"/>
      <c r="AC317" s="148"/>
      <c r="AD317" s="148"/>
      <c r="AE317" s="148"/>
      <c r="AF317" s="148"/>
      <c r="AG317" s="148"/>
      <c r="AH317" s="148"/>
      <c r="AI317" s="149"/>
    </row>
    <row r="318" spans="11:35">
      <c r="K318" s="85"/>
      <c r="L318" s="54" t="str">
        <f t="shared" si="39"/>
        <v/>
      </c>
      <c r="M318" s="38" t="str">
        <f t="shared" si="42"/>
        <v>0236</v>
      </c>
      <c r="N318" s="69">
        <f t="shared" si="41"/>
        <v>566</v>
      </c>
      <c r="O318" s="96"/>
      <c r="P318" s="97"/>
      <c r="Q318" s="98"/>
      <c r="R318" s="135"/>
      <c r="U318" s="48" t="str">
        <f t="shared" si="40"/>
        <v/>
      </c>
      <c r="V318" s="16"/>
      <c r="W318" s="34"/>
      <c r="X318" s="35"/>
      <c r="Z318" s="74"/>
      <c r="AA318" s="130" t="str" cm="1">
        <f t="array" ref="AA318">HEX2ASCII(AB318)&amp;HEX2ASCII(AC318)&amp;HEX2ASCII(AD318)&amp;HEX2ASCII(AE318)&amp;HEX2ASCII(AF318)&amp;HEX2ASCII(AG318)&amp;HEX2ASCII(AH318)&amp;HEX2ASCII(AI318)</f>
        <v/>
      </c>
      <c r="AB318" s="147"/>
      <c r="AC318" s="148"/>
      <c r="AD318" s="148"/>
      <c r="AE318" s="148"/>
      <c r="AF318" s="148"/>
      <c r="AG318" s="148"/>
      <c r="AH318" s="148"/>
      <c r="AI318" s="149"/>
    </row>
    <row r="319" spans="11:35">
      <c r="K319" s="85"/>
      <c r="L319" s="54" t="str">
        <f t="shared" si="39"/>
        <v/>
      </c>
      <c r="M319" s="38" t="str">
        <f t="shared" si="42"/>
        <v>0237</v>
      </c>
      <c r="N319" s="69">
        <f t="shared" si="41"/>
        <v>567</v>
      </c>
      <c r="O319" s="96"/>
      <c r="P319" s="97"/>
      <c r="Q319" s="98"/>
      <c r="R319" s="135"/>
      <c r="U319" s="48" t="str">
        <f t="shared" si="40"/>
        <v/>
      </c>
      <c r="V319" s="16"/>
      <c r="W319" s="34"/>
      <c r="X319" s="35"/>
      <c r="Z319" s="74"/>
      <c r="AA319" s="130" t="str" cm="1">
        <f t="array" ref="AA319">HEX2ASCII(AB319)&amp;HEX2ASCII(AC319)&amp;HEX2ASCII(AD319)&amp;HEX2ASCII(AE319)&amp;HEX2ASCII(AF319)&amp;HEX2ASCII(AG319)&amp;HEX2ASCII(AH319)&amp;HEX2ASCII(AI319)</f>
        <v/>
      </c>
      <c r="AB319" s="147"/>
      <c r="AC319" s="148"/>
      <c r="AD319" s="148"/>
      <c r="AE319" s="148"/>
      <c r="AF319" s="148"/>
      <c r="AG319" s="148"/>
      <c r="AH319" s="148"/>
      <c r="AI319" s="149"/>
    </row>
    <row r="320" spans="11:35">
      <c r="K320" s="85"/>
      <c r="L320" s="54" t="str">
        <f t="shared" si="39"/>
        <v/>
      </c>
      <c r="M320" s="38" t="str">
        <f t="shared" si="42"/>
        <v>0238</v>
      </c>
      <c r="N320" s="69">
        <f t="shared" si="41"/>
        <v>568</v>
      </c>
      <c r="O320" s="96"/>
      <c r="P320" s="97"/>
      <c r="Q320" s="98"/>
      <c r="R320" s="135"/>
      <c r="U320" s="48" t="str">
        <f t="shared" si="40"/>
        <v/>
      </c>
      <c r="V320" s="16"/>
      <c r="W320" s="34"/>
      <c r="X320" s="35"/>
      <c r="Z320" s="74"/>
      <c r="AA320" s="130" t="str" cm="1">
        <f t="array" ref="AA320">HEX2ASCII(AB320)&amp;HEX2ASCII(AC320)&amp;HEX2ASCII(AD320)&amp;HEX2ASCII(AE320)&amp;HEX2ASCII(AF320)&amp;HEX2ASCII(AG320)&amp;HEX2ASCII(AH320)&amp;HEX2ASCII(AI320)</f>
        <v/>
      </c>
      <c r="AB320" s="147"/>
      <c r="AC320" s="148"/>
      <c r="AD320" s="148"/>
      <c r="AE320" s="148"/>
      <c r="AF320" s="148"/>
      <c r="AG320" s="148"/>
      <c r="AH320" s="148"/>
      <c r="AI320" s="149"/>
    </row>
    <row r="321" spans="11:35">
      <c r="K321" s="85"/>
      <c r="L321" s="54" t="str">
        <f t="shared" si="39"/>
        <v/>
      </c>
      <c r="M321" s="38" t="str">
        <f t="shared" si="42"/>
        <v>0239</v>
      </c>
      <c r="N321" s="69">
        <f t="shared" si="41"/>
        <v>569</v>
      </c>
      <c r="O321" s="96"/>
      <c r="P321" s="97"/>
      <c r="Q321" s="98"/>
      <c r="R321" s="135"/>
      <c r="U321" s="48" t="str">
        <f t="shared" si="40"/>
        <v/>
      </c>
      <c r="V321" s="16"/>
      <c r="W321" s="34"/>
      <c r="X321" s="35"/>
      <c r="Z321" s="74"/>
      <c r="AA321" s="130" t="str" cm="1">
        <f t="array" ref="AA321">HEX2ASCII(AB321)&amp;HEX2ASCII(AC321)&amp;HEX2ASCII(AD321)&amp;HEX2ASCII(AE321)&amp;HEX2ASCII(AF321)&amp;HEX2ASCII(AG321)&amp;HEX2ASCII(AH321)&amp;HEX2ASCII(AI321)</f>
        <v/>
      </c>
      <c r="AB321" s="147"/>
      <c r="AC321" s="148"/>
      <c r="AD321" s="148"/>
      <c r="AE321" s="148"/>
      <c r="AF321" s="148"/>
      <c r="AG321" s="148"/>
      <c r="AH321" s="148"/>
      <c r="AI321" s="149"/>
    </row>
    <row r="322" spans="11:35">
      <c r="K322" s="85"/>
      <c r="L322" s="54" t="str">
        <f t="shared" si="39"/>
        <v/>
      </c>
      <c r="M322" s="38" t="str">
        <f t="shared" si="42"/>
        <v>023A</v>
      </c>
      <c r="N322" s="69">
        <f t="shared" si="41"/>
        <v>570</v>
      </c>
      <c r="O322" s="96"/>
      <c r="P322" s="97"/>
      <c r="Q322" s="98"/>
      <c r="R322" s="135"/>
      <c r="U322" s="48" t="str">
        <f t="shared" si="40"/>
        <v/>
      </c>
      <c r="V322" s="16"/>
      <c r="W322" s="34"/>
      <c r="X322" s="35"/>
      <c r="Z322" s="74"/>
      <c r="AA322" s="130" t="str" cm="1">
        <f t="array" ref="AA322">HEX2ASCII(AB322)&amp;HEX2ASCII(AC322)&amp;HEX2ASCII(AD322)&amp;HEX2ASCII(AE322)&amp;HEX2ASCII(AF322)&amp;HEX2ASCII(AG322)&amp;HEX2ASCII(AH322)&amp;HEX2ASCII(AI322)</f>
        <v/>
      </c>
      <c r="AB322" s="147"/>
      <c r="AC322" s="148"/>
      <c r="AD322" s="148"/>
      <c r="AE322" s="148"/>
      <c r="AF322" s="148"/>
      <c r="AG322" s="148"/>
      <c r="AH322" s="148"/>
      <c r="AI322" s="149"/>
    </row>
    <row r="323" spans="11:35">
      <c r="K323" s="85"/>
      <c r="L323" s="54" t="str">
        <f t="shared" si="39"/>
        <v/>
      </c>
      <c r="M323" s="38" t="str">
        <f t="shared" si="42"/>
        <v>023B</v>
      </c>
      <c r="N323" s="69">
        <f t="shared" si="41"/>
        <v>571</v>
      </c>
      <c r="O323" s="96"/>
      <c r="P323" s="97"/>
      <c r="Q323" s="98"/>
      <c r="R323" s="135"/>
      <c r="U323" s="48" t="str">
        <f t="shared" si="40"/>
        <v/>
      </c>
      <c r="V323" s="16"/>
      <c r="W323" s="34"/>
      <c r="X323" s="35"/>
      <c r="Z323" s="74"/>
      <c r="AA323" s="130" t="str" cm="1">
        <f t="array" ref="AA323">HEX2ASCII(AB323)&amp;HEX2ASCII(AC323)&amp;HEX2ASCII(AD323)&amp;HEX2ASCII(AE323)&amp;HEX2ASCII(AF323)&amp;HEX2ASCII(AG323)&amp;HEX2ASCII(AH323)&amp;HEX2ASCII(AI323)</f>
        <v/>
      </c>
      <c r="AB323" s="147"/>
      <c r="AC323" s="148"/>
      <c r="AD323" s="148"/>
      <c r="AE323" s="148"/>
      <c r="AF323" s="148"/>
      <c r="AG323" s="148"/>
      <c r="AH323" s="148"/>
      <c r="AI323" s="149"/>
    </row>
    <row r="324" spans="11:35">
      <c r="K324" s="85"/>
      <c r="L324" s="54" t="str">
        <f t="shared" si="39"/>
        <v/>
      </c>
      <c r="M324" s="38" t="str">
        <f t="shared" si="42"/>
        <v>023C</v>
      </c>
      <c r="N324" s="69">
        <f t="shared" si="41"/>
        <v>572</v>
      </c>
      <c r="O324" s="96"/>
      <c r="P324" s="97"/>
      <c r="Q324" s="98"/>
      <c r="R324" s="135"/>
      <c r="U324" s="48" t="str">
        <f t="shared" si="40"/>
        <v/>
      </c>
      <c r="V324" s="16"/>
      <c r="W324" s="34"/>
      <c r="X324" s="35"/>
      <c r="Z324" s="74"/>
      <c r="AA324" s="130" t="str" cm="1">
        <f t="array" ref="AA324">HEX2ASCII(AB324)&amp;HEX2ASCII(AC324)&amp;HEX2ASCII(AD324)&amp;HEX2ASCII(AE324)&amp;HEX2ASCII(AF324)&amp;HEX2ASCII(AG324)&amp;HEX2ASCII(AH324)&amp;HEX2ASCII(AI324)</f>
        <v/>
      </c>
      <c r="AB324" s="147"/>
      <c r="AC324" s="148"/>
      <c r="AD324" s="148"/>
      <c r="AE324" s="148"/>
      <c r="AF324" s="148"/>
      <c r="AG324" s="148"/>
      <c r="AH324" s="148"/>
      <c r="AI324" s="149"/>
    </row>
    <row r="325" spans="11:35">
      <c r="K325" s="85"/>
      <c r="L325" s="54" t="str">
        <f t="shared" si="39"/>
        <v/>
      </c>
      <c r="M325" s="38" t="str">
        <f t="shared" si="42"/>
        <v>023D</v>
      </c>
      <c r="N325" s="69">
        <f t="shared" si="41"/>
        <v>573</v>
      </c>
      <c r="O325" s="96"/>
      <c r="P325" s="97"/>
      <c r="Q325" s="98"/>
      <c r="R325" s="135"/>
      <c r="U325" s="48" t="str">
        <f t="shared" si="40"/>
        <v/>
      </c>
      <c r="V325" s="16"/>
      <c r="W325" s="34"/>
      <c r="X325" s="35"/>
      <c r="Z325" s="74"/>
      <c r="AA325" s="130" t="str" cm="1">
        <f t="array" ref="AA325">HEX2ASCII(AB325)&amp;HEX2ASCII(AC325)&amp;HEX2ASCII(AD325)&amp;HEX2ASCII(AE325)&amp;HEX2ASCII(AF325)&amp;HEX2ASCII(AG325)&amp;HEX2ASCII(AH325)&amp;HEX2ASCII(AI325)</f>
        <v/>
      </c>
      <c r="AB325" s="147"/>
      <c r="AC325" s="148"/>
      <c r="AD325" s="148"/>
      <c r="AE325" s="148"/>
      <c r="AF325" s="148"/>
      <c r="AG325" s="148"/>
      <c r="AH325" s="148"/>
      <c r="AI325" s="149"/>
    </row>
    <row r="326" spans="11:35">
      <c r="K326" s="85"/>
      <c r="L326" s="54" t="str">
        <f t="shared" si="39"/>
        <v/>
      </c>
      <c r="M326" s="38" t="str">
        <f t="shared" si="42"/>
        <v>023E</v>
      </c>
      <c r="N326" s="69">
        <f t="shared" si="41"/>
        <v>574</v>
      </c>
      <c r="O326" s="96"/>
      <c r="P326" s="97"/>
      <c r="Q326" s="98"/>
      <c r="R326" s="135"/>
      <c r="U326" s="48" t="str">
        <f t="shared" si="40"/>
        <v/>
      </c>
      <c r="V326" s="16"/>
      <c r="W326" s="34"/>
      <c r="X326" s="35"/>
      <c r="Z326" s="74"/>
      <c r="AA326" s="130" t="str" cm="1">
        <f t="array" ref="AA326">HEX2ASCII(AB326)&amp;HEX2ASCII(AC326)&amp;HEX2ASCII(AD326)&amp;HEX2ASCII(AE326)&amp;HEX2ASCII(AF326)&amp;HEX2ASCII(AG326)&amp;HEX2ASCII(AH326)&amp;HEX2ASCII(AI326)</f>
        <v/>
      </c>
      <c r="AB326" s="147"/>
      <c r="AC326" s="148"/>
      <c r="AD326" s="148"/>
      <c r="AE326" s="148"/>
      <c r="AF326" s="148"/>
      <c r="AG326" s="148"/>
      <c r="AH326" s="148"/>
      <c r="AI326" s="149"/>
    </row>
    <row r="327" spans="11:35">
      <c r="K327" s="85"/>
      <c r="L327" s="54" t="str">
        <f t="shared" si="39"/>
        <v/>
      </c>
      <c r="M327" s="38" t="str">
        <f t="shared" si="42"/>
        <v>023F</v>
      </c>
      <c r="N327" s="69">
        <f t="shared" si="41"/>
        <v>575</v>
      </c>
      <c r="O327" s="96"/>
      <c r="P327" s="97"/>
      <c r="Q327" s="98"/>
      <c r="R327" s="135"/>
      <c r="U327" s="48" t="str">
        <f t="shared" si="40"/>
        <v/>
      </c>
      <c r="V327" s="16"/>
      <c r="W327" s="34"/>
      <c r="X327" s="35"/>
      <c r="Z327" s="74"/>
      <c r="AA327" s="130" t="str" cm="1">
        <f t="array" ref="AA327">HEX2ASCII(AB327)&amp;HEX2ASCII(AC327)&amp;HEX2ASCII(AD327)&amp;HEX2ASCII(AE327)&amp;HEX2ASCII(AF327)&amp;HEX2ASCII(AG327)&amp;HEX2ASCII(AH327)&amp;HEX2ASCII(AI327)</f>
        <v/>
      </c>
      <c r="AB327" s="147"/>
      <c r="AC327" s="148"/>
      <c r="AD327" s="148"/>
      <c r="AE327" s="148"/>
      <c r="AF327" s="148"/>
      <c r="AG327" s="148"/>
      <c r="AH327" s="148"/>
      <c r="AI327" s="149"/>
    </row>
    <row r="328" spans="11:35">
      <c r="K328" s="85"/>
      <c r="L328" s="54" t="str">
        <f t="shared" si="39"/>
        <v/>
      </c>
      <c r="M328" s="38" t="str">
        <f t="shared" si="42"/>
        <v>0240</v>
      </c>
      <c r="N328" s="69">
        <f t="shared" si="41"/>
        <v>576</v>
      </c>
      <c r="O328" s="96"/>
      <c r="P328" s="97"/>
      <c r="Q328" s="98"/>
      <c r="R328" s="135"/>
      <c r="U328" s="48" t="str">
        <f t="shared" si="40"/>
        <v/>
      </c>
      <c r="V328" s="16"/>
      <c r="W328" s="34"/>
      <c r="X328" s="35"/>
      <c r="Z328" s="74"/>
      <c r="AA328" s="130" t="str" cm="1">
        <f t="array" ref="AA328">HEX2ASCII(AB328)&amp;HEX2ASCII(AC328)&amp;HEX2ASCII(AD328)&amp;HEX2ASCII(AE328)&amp;HEX2ASCII(AF328)&amp;HEX2ASCII(AG328)&amp;HEX2ASCII(AH328)&amp;HEX2ASCII(AI328)</f>
        <v/>
      </c>
      <c r="AB328" s="147"/>
      <c r="AC328" s="148"/>
      <c r="AD328" s="148"/>
      <c r="AE328" s="148"/>
      <c r="AF328" s="148"/>
      <c r="AG328" s="148"/>
      <c r="AH328" s="148"/>
      <c r="AI328" s="149"/>
    </row>
    <row r="329" spans="11:35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0241</v>
      </c>
      <c r="N329" s="69">
        <f t="shared" si="41"/>
        <v>577</v>
      </c>
      <c r="O329" s="96"/>
      <c r="P329" s="97"/>
      <c r="Q329" s="98"/>
      <c r="R329" s="135"/>
      <c r="U329" s="48" t="str">
        <f t="shared" ref="U329:U392" si="44">IF(V329&gt;0,RIGHT("0000"&amp;DEC2HEX(V329),4),"")</f>
        <v/>
      </c>
      <c r="V329" s="16"/>
      <c r="W329" s="34"/>
      <c r="X329" s="35"/>
      <c r="Z329" s="74"/>
      <c r="AA329" s="130" t="str" cm="1">
        <f t="array" ref="AA329">HEX2ASCII(AB329)&amp;HEX2ASCII(AC329)&amp;HEX2ASCII(AD329)&amp;HEX2ASCII(AE329)&amp;HEX2ASCII(AF329)&amp;HEX2ASCII(AG329)&amp;HEX2ASCII(AH329)&amp;HEX2ASCII(AI329)</f>
        <v/>
      </c>
      <c r="AB329" s="147"/>
      <c r="AC329" s="148"/>
      <c r="AD329" s="148"/>
      <c r="AE329" s="148"/>
      <c r="AF329" s="148"/>
      <c r="AG329" s="148"/>
      <c r="AH329" s="148"/>
      <c r="AI329" s="149"/>
    </row>
    <row r="330" spans="11:35">
      <c r="K330" s="85"/>
      <c r="L330" s="54" t="str">
        <f t="shared" si="43"/>
        <v/>
      </c>
      <c r="M330" s="38" t="str">
        <f t="shared" si="42"/>
        <v>0242</v>
      </c>
      <c r="N330" s="69">
        <f t="shared" ref="N330:N393" si="45">N329+0*COUNTA(P329:R329)+1</f>
        <v>578</v>
      </c>
      <c r="O330" s="96"/>
      <c r="P330" s="97"/>
      <c r="Q330" s="98"/>
      <c r="R330" s="135"/>
      <c r="U330" s="48" t="str">
        <f t="shared" si="44"/>
        <v/>
      </c>
      <c r="V330" s="16"/>
      <c r="W330" s="34"/>
      <c r="X330" s="35"/>
      <c r="Z330" s="74"/>
      <c r="AA330" s="130" t="str" cm="1">
        <f t="array" ref="AA330">HEX2ASCII(AB330)&amp;HEX2ASCII(AC330)&amp;HEX2ASCII(AD330)&amp;HEX2ASCII(AE330)&amp;HEX2ASCII(AF330)&amp;HEX2ASCII(AG330)&amp;HEX2ASCII(AH330)&amp;HEX2ASCII(AI330)</f>
        <v/>
      </c>
      <c r="AB330" s="147"/>
      <c r="AC330" s="148"/>
      <c r="AD330" s="148"/>
      <c r="AE330" s="148"/>
      <c r="AF330" s="148"/>
      <c r="AG330" s="148"/>
      <c r="AH330" s="148"/>
      <c r="AI330" s="149"/>
    </row>
    <row r="331" spans="11:35">
      <c r="K331" s="85"/>
      <c r="L331" s="54" t="str">
        <f t="shared" si="43"/>
        <v/>
      </c>
      <c r="M331" s="38" t="str">
        <f t="shared" si="42"/>
        <v>0243</v>
      </c>
      <c r="N331" s="69">
        <f t="shared" si="45"/>
        <v>579</v>
      </c>
      <c r="O331" s="96"/>
      <c r="P331" s="97"/>
      <c r="Q331" s="98"/>
      <c r="R331" s="135"/>
      <c r="U331" s="48" t="str">
        <f t="shared" si="44"/>
        <v/>
      </c>
      <c r="V331" s="16"/>
      <c r="W331" s="34"/>
      <c r="X331" s="35"/>
      <c r="Z331" s="74"/>
      <c r="AA331" s="130" t="str" cm="1">
        <f t="array" ref="AA331">HEX2ASCII(AB331)&amp;HEX2ASCII(AC331)&amp;HEX2ASCII(AD331)&amp;HEX2ASCII(AE331)&amp;HEX2ASCII(AF331)&amp;HEX2ASCII(AG331)&amp;HEX2ASCII(AH331)&amp;HEX2ASCII(AI331)</f>
        <v/>
      </c>
      <c r="AB331" s="147"/>
      <c r="AC331" s="148"/>
      <c r="AD331" s="148"/>
      <c r="AE331" s="148"/>
      <c r="AF331" s="148"/>
      <c r="AG331" s="148"/>
      <c r="AH331" s="148"/>
      <c r="AI331" s="149"/>
    </row>
    <row r="332" spans="11:35">
      <c r="K332" s="85"/>
      <c r="L332" s="54" t="str">
        <f t="shared" si="43"/>
        <v/>
      </c>
      <c r="M332" s="38" t="str">
        <f t="shared" si="42"/>
        <v>0244</v>
      </c>
      <c r="N332" s="69">
        <f t="shared" si="45"/>
        <v>580</v>
      </c>
      <c r="O332" s="96"/>
      <c r="P332" s="97"/>
      <c r="Q332" s="98"/>
      <c r="R332" s="135"/>
      <c r="U332" s="48" t="str">
        <f t="shared" si="44"/>
        <v/>
      </c>
      <c r="V332" s="16"/>
      <c r="W332" s="34"/>
      <c r="X332" s="35"/>
      <c r="Z332" s="74"/>
      <c r="AA332" s="130" t="str" cm="1">
        <f t="array" ref="AA332">HEX2ASCII(AB332)&amp;HEX2ASCII(AC332)&amp;HEX2ASCII(AD332)&amp;HEX2ASCII(AE332)&amp;HEX2ASCII(AF332)&amp;HEX2ASCII(AG332)&amp;HEX2ASCII(AH332)&amp;HEX2ASCII(AI332)</f>
        <v/>
      </c>
      <c r="AB332" s="147"/>
      <c r="AC332" s="148"/>
      <c r="AD332" s="148"/>
      <c r="AE332" s="148"/>
      <c r="AF332" s="148"/>
      <c r="AG332" s="148"/>
      <c r="AH332" s="148"/>
      <c r="AI332" s="149"/>
    </row>
    <row r="333" spans="11:35">
      <c r="K333" s="85"/>
      <c r="L333" s="54" t="str">
        <f t="shared" si="43"/>
        <v/>
      </c>
      <c r="M333" s="38" t="str">
        <f t="shared" si="42"/>
        <v>0245</v>
      </c>
      <c r="N333" s="69">
        <f t="shared" si="45"/>
        <v>581</v>
      </c>
      <c r="O333" s="96"/>
      <c r="P333" s="97"/>
      <c r="Q333" s="98"/>
      <c r="R333" s="135"/>
      <c r="U333" s="48" t="str">
        <f t="shared" si="44"/>
        <v/>
      </c>
      <c r="V333" s="16"/>
      <c r="W333" s="34"/>
      <c r="X333" s="35"/>
      <c r="Z333" s="74"/>
      <c r="AA333" s="130" t="str" cm="1">
        <f t="array" ref="AA333">HEX2ASCII(AB333)&amp;HEX2ASCII(AC333)&amp;HEX2ASCII(AD333)&amp;HEX2ASCII(AE333)&amp;HEX2ASCII(AF333)&amp;HEX2ASCII(AG333)&amp;HEX2ASCII(AH333)&amp;HEX2ASCII(AI333)</f>
        <v/>
      </c>
      <c r="AB333" s="147"/>
      <c r="AC333" s="148"/>
      <c r="AD333" s="148"/>
      <c r="AE333" s="148"/>
      <c r="AF333" s="148"/>
      <c r="AG333" s="148"/>
      <c r="AH333" s="148"/>
      <c r="AI333" s="149"/>
    </row>
    <row r="334" spans="11:35">
      <c r="K334" s="85"/>
      <c r="L334" s="54" t="str">
        <f t="shared" si="43"/>
        <v/>
      </c>
      <c r="M334" s="38" t="str">
        <f t="shared" si="42"/>
        <v>0246</v>
      </c>
      <c r="N334" s="69">
        <f t="shared" si="45"/>
        <v>582</v>
      </c>
      <c r="O334" s="96"/>
      <c r="P334" s="97"/>
      <c r="Q334" s="98"/>
      <c r="R334" s="135"/>
      <c r="U334" s="48" t="str">
        <f t="shared" si="44"/>
        <v/>
      </c>
      <c r="V334" s="16"/>
      <c r="W334" s="34"/>
      <c r="X334" s="35"/>
      <c r="Z334" s="74"/>
      <c r="AA334" s="130" t="str" cm="1">
        <f t="array" ref="AA334">HEX2ASCII(AB334)&amp;HEX2ASCII(AC334)&amp;HEX2ASCII(AD334)&amp;HEX2ASCII(AE334)&amp;HEX2ASCII(AF334)&amp;HEX2ASCII(AG334)&amp;HEX2ASCII(AH334)&amp;HEX2ASCII(AI334)</f>
        <v/>
      </c>
      <c r="AB334" s="147"/>
      <c r="AC334" s="148"/>
      <c r="AD334" s="148"/>
      <c r="AE334" s="148"/>
      <c r="AF334" s="148"/>
      <c r="AG334" s="148"/>
      <c r="AH334" s="148"/>
      <c r="AI334" s="149"/>
    </row>
    <row r="335" spans="11:35">
      <c r="K335" s="85"/>
      <c r="L335" s="54" t="str">
        <f t="shared" si="43"/>
        <v/>
      </c>
      <c r="M335" s="38" t="str">
        <f t="shared" si="42"/>
        <v>0247</v>
      </c>
      <c r="N335" s="69">
        <f t="shared" si="45"/>
        <v>583</v>
      </c>
      <c r="O335" s="96"/>
      <c r="P335" s="97"/>
      <c r="Q335" s="98"/>
      <c r="R335" s="135"/>
      <c r="U335" s="48" t="str">
        <f t="shared" si="44"/>
        <v/>
      </c>
      <c r="V335" s="16"/>
      <c r="W335" s="34"/>
      <c r="X335" s="35"/>
      <c r="Z335" s="74"/>
      <c r="AA335" s="130" t="str" cm="1">
        <f t="array" ref="AA335">HEX2ASCII(AB335)&amp;HEX2ASCII(AC335)&amp;HEX2ASCII(AD335)&amp;HEX2ASCII(AE335)&amp;HEX2ASCII(AF335)&amp;HEX2ASCII(AG335)&amp;HEX2ASCII(AH335)&amp;HEX2ASCII(AI335)</f>
        <v/>
      </c>
      <c r="AB335" s="147"/>
      <c r="AC335" s="148"/>
      <c r="AD335" s="148"/>
      <c r="AE335" s="148"/>
      <c r="AF335" s="148"/>
      <c r="AG335" s="148"/>
      <c r="AH335" s="148"/>
      <c r="AI335" s="149"/>
    </row>
    <row r="336" spans="11:35">
      <c r="K336" s="85"/>
      <c r="L336" s="54" t="str">
        <f t="shared" si="43"/>
        <v/>
      </c>
      <c r="M336" s="38" t="str">
        <f t="shared" si="42"/>
        <v>0248</v>
      </c>
      <c r="N336" s="69">
        <f t="shared" si="45"/>
        <v>584</v>
      </c>
      <c r="O336" s="96"/>
      <c r="P336" s="97"/>
      <c r="Q336" s="98"/>
      <c r="R336" s="135"/>
      <c r="U336" s="48" t="str">
        <f t="shared" si="44"/>
        <v/>
      </c>
      <c r="V336" s="16"/>
      <c r="W336" s="34"/>
      <c r="X336" s="35"/>
      <c r="Z336" s="74"/>
      <c r="AA336" s="130" t="str" cm="1">
        <f t="array" ref="AA336">HEX2ASCII(AB336)&amp;HEX2ASCII(AC336)&amp;HEX2ASCII(AD336)&amp;HEX2ASCII(AE336)&amp;HEX2ASCII(AF336)&amp;HEX2ASCII(AG336)&amp;HEX2ASCII(AH336)&amp;HEX2ASCII(AI336)</f>
        <v/>
      </c>
      <c r="AB336" s="147"/>
      <c r="AC336" s="148"/>
      <c r="AD336" s="148"/>
      <c r="AE336" s="148"/>
      <c r="AF336" s="148"/>
      <c r="AG336" s="148"/>
      <c r="AH336" s="148"/>
      <c r="AI336" s="149"/>
    </row>
    <row r="337" spans="11:35">
      <c r="K337" s="85"/>
      <c r="L337" s="54" t="str">
        <f t="shared" si="43"/>
        <v/>
      </c>
      <c r="M337" s="38" t="str">
        <f t="shared" si="42"/>
        <v>0249</v>
      </c>
      <c r="N337" s="69">
        <f t="shared" si="45"/>
        <v>585</v>
      </c>
      <c r="O337" s="96"/>
      <c r="P337" s="97"/>
      <c r="Q337" s="98"/>
      <c r="R337" s="135"/>
      <c r="U337" s="48" t="str">
        <f t="shared" si="44"/>
        <v/>
      </c>
      <c r="V337" s="16"/>
      <c r="W337" s="34"/>
      <c r="X337" s="35"/>
      <c r="Z337" s="74"/>
      <c r="AA337" s="130" t="str" cm="1">
        <f t="array" ref="AA337">HEX2ASCII(AB337)&amp;HEX2ASCII(AC337)&amp;HEX2ASCII(AD337)&amp;HEX2ASCII(AE337)&amp;HEX2ASCII(AF337)&amp;HEX2ASCII(AG337)&amp;HEX2ASCII(AH337)&amp;HEX2ASCII(AI337)</f>
        <v/>
      </c>
      <c r="AB337" s="147"/>
      <c r="AC337" s="148"/>
      <c r="AD337" s="148"/>
      <c r="AE337" s="148"/>
      <c r="AF337" s="148"/>
      <c r="AG337" s="148"/>
      <c r="AH337" s="148"/>
      <c r="AI337" s="149"/>
    </row>
    <row r="338" spans="11:35">
      <c r="K338" s="85"/>
      <c r="L338" s="54" t="str">
        <f t="shared" si="43"/>
        <v/>
      </c>
      <c r="M338" s="38" t="str">
        <f t="shared" si="42"/>
        <v>024A</v>
      </c>
      <c r="N338" s="69">
        <f t="shared" si="45"/>
        <v>586</v>
      </c>
      <c r="O338" s="96"/>
      <c r="P338" s="97"/>
      <c r="Q338" s="98"/>
      <c r="R338" s="135"/>
      <c r="U338" s="48" t="str">
        <f t="shared" si="44"/>
        <v/>
      </c>
      <c r="V338" s="16"/>
      <c r="W338" s="34"/>
      <c r="X338" s="35"/>
      <c r="Z338" s="74"/>
      <c r="AA338" s="130" t="str" cm="1">
        <f t="array" ref="AA338">HEX2ASCII(AB338)&amp;HEX2ASCII(AC338)&amp;HEX2ASCII(AD338)&amp;HEX2ASCII(AE338)&amp;HEX2ASCII(AF338)&amp;HEX2ASCII(AG338)&amp;HEX2ASCII(AH338)&amp;HEX2ASCII(AI338)</f>
        <v/>
      </c>
      <c r="AB338" s="147"/>
      <c r="AC338" s="148"/>
      <c r="AD338" s="148"/>
      <c r="AE338" s="148"/>
      <c r="AF338" s="148"/>
      <c r="AG338" s="148"/>
      <c r="AH338" s="148"/>
      <c r="AI338" s="149"/>
    </row>
    <row r="339" spans="11:35">
      <c r="K339" s="85"/>
      <c r="L339" s="54" t="str">
        <f t="shared" si="43"/>
        <v/>
      </c>
      <c r="M339" s="38" t="str">
        <f t="shared" si="42"/>
        <v>024B</v>
      </c>
      <c r="N339" s="69">
        <f t="shared" si="45"/>
        <v>587</v>
      </c>
      <c r="O339" s="96"/>
      <c r="P339" s="97"/>
      <c r="Q339" s="98"/>
      <c r="R339" s="135"/>
      <c r="U339" s="48" t="str">
        <f t="shared" si="44"/>
        <v/>
      </c>
      <c r="V339" s="16"/>
      <c r="W339" s="34"/>
      <c r="X339" s="35"/>
      <c r="Z339" s="74"/>
      <c r="AA339" s="130" t="str" cm="1">
        <f t="array" ref="AA339">HEX2ASCII(AB339)&amp;HEX2ASCII(AC339)&amp;HEX2ASCII(AD339)&amp;HEX2ASCII(AE339)&amp;HEX2ASCII(AF339)&amp;HEX2ASCII(AG339)&amp;HEX2ASCII(AH339)&amp;HEX2ASCII(AI339)</f>
        <v/>
      </c>
      <c r="AB339" s="147"/>
      <c r="AC339" s="148"/>
      <c r="AD339" s="148"/>
      <c r="AE339" s="148"/>
      <c r="AF339" s="148"/>
      <c r="AG339" s="148"/>
      <c r="AH339" s="148"/>
      <c r="AI339" s="149"/>
    </row>
    <row r="340" spans="11:35">
      <c r="K340" s="85"/>
      <c r="L340" s="54" t="str">
        <f t="shared" si="43"/>
        <v/>
      </c>
      <c r="M340" s="38" t="str">
        <f t="shared" si="42"/>
        <v>024C</v>
      </c>
      <c r="N340" s="69">
        <f t="shared" si="45"/>
        <v>588</v>
      </c>
      <c r="O340" s="96"/>
      <c r="P340" s="97"/>
      <c r="Q340" s="98"/>
      <c r="R340" s="135"/>
      <c r="U340" s="48" t="str">
        <f t="shared" si="44"/>
        <v/>
      </c>
      <c r="V340" s="16"/>
      <c r="W340" s="34"/>
      <c r="X340" s="35"/>
      <c r="Z340" s="74"/>
      <c r="AA340" s="130" t="str" cm="1">
        <f t="array" ref="AA340">HEX2ASCII(AB340)&amp;HEX2ASCII(AC340)&amp;HEX2ASCII(AD340)&amp;HEX2ASCII(AE340)&amp;HEX2ASCII(AF340)&amp;HEX2ASCII(AG340)&amp;HEX2ASCII(AH340)&amp;HEX2ASCII(AI340)</f>
        <v/>
      </c>
      <c r="AB340" s="147"/>
      <c r="AC340" s="148"/>
      <c r="AD340" s="148"/>
      <c r="AE340" s="148"/>
      <c r="AF340" s="148"/>
      <c r="AG340" s="148"/>
      <c r="AH340" s="148"/>
      <c r="AI340" s="149"/>
    </row>
    <row r="341" spans="11:35">
      <c r="K341" s="85"/>
      <c r="L341" s="54" t="str">
        <f t="shared" si="43"/>
        <v/>
      </c>
      <c r="M341" s="38" t="str">
        <f t="shared" si="42"/>
        <v>024D</v>
      </c>
      <c r="N341" s="69">
        <f t="shared" si="45"/>
        <v>589</v>
      </c>
      <c r="O341" s="96"/>
      <c r="P341" s="97"/>
      <c r="Q341" s="98"/>
      <c r="R341" s="135"/>
      <c r="U341" s="48" t="str">
        <f t="shared" si="44"/>
        <v/>
      </c>
      <c r="V341" s="16"/>
      <c r="W341" s="34"/>
      <c r="X341" s="35"/>
      <c r="Z341" s="74"/>
      <c r="AA341" s="130" t="str" cm="1">
        <f t="array" ref="AA341">HEX2ASCII(AB341)&amp;HEX2ASCII(AC341)&amp;HEX2ASCII(AD341)&amp;HEX2ASCII(AE341)&amp;HEX2ASCII(AF341)&amp;HEX2ASCII(AG341)&amp;HEX2ASCII(AH341)&amp;HEX2ASCII(AI341)</f>
        <v/>
      </c>
      <c r="AB341" s="147"/>
      <c r="AC341" s="148"/>
      <c r="AD341" s="148"/>
      <c r="AE341" s="148"/>
      <c r="AF341" s="148"/>
      <c r="AG341" s="148"/>
      <c r="AH341" s="148"/>
      <c r="AI341" s="149"/>
    </row>
    <row r="342" spans="11:35">
      <c r="K342" s="85"/>
      <c r="L342" s="54" t="str">
        <f t="shared" si="43"/>
        <v/>
      </c>
      <c r="M342" s="38" t="str">
        <f t="shared" si="42"/>
        <v>024E</v>
      </c>
      <c r="N342" s="69">
        <f t="shared" si="45"/>
        <v>590</v>
      </c>
      <c r="O342" s="96"/>
      <c r="P342" s="97"/>
      <c r="Q342" s="98"/>
      <c r="R342" s="135"/>
      <c r="U342" s="48" t="str">
        <f t="shared" si="44"/>
        <v/>
      </c>
      <c r="V342" s="16"/>
      <c r="W342" s="34"/>
      <c r="X342" s="35"/>
      <c r="Z342" s="74"/>
      <c r="AA342" s="130" t="str" cm="1">
        <f t="array" ref="AA342">HEX2ASCII(AB342)&amp;HEX2ASCII(AC342)&amp;HEX2ASCII(AD342)&amp;HEX2ASCII(AE342)&amp;HEX2ASCII(AF342)&amp;HEX2ASCII(AG342)&amp;HEX2ASCII(AH342)&amp;HEX2ASCII(AI342)</f>
        <v/>
      </c>
      <c r="AB342" s="147"/>
      <c r="AC342" s="148"/>
      <c r="AD342" s="148"/>
      <c r="AE342" s="148"/>
      <c r="AF342" s="148"/>
      <c r="AG342" s="148"/>
      <c r="AH342" s="148"/>
      <c r="AI342" s="149"/>
    </row>
    <row r="343" spans="11:35">
      <c r="K343" s="85"/>
      <c r="L343" s="54" t="str">
        <f t="shared" si="43"/>
        <v/>
      </c>
      <c r="M343" s="38" t="str">
        <f t="shared" si="42"/>
        <v>024F</v>
      </c>
      <c r="N343" s="69">
        <f t="shared" si="45"/>
        <v>591</v>
      </c>
      <c r="O343" s="96"/>
      <c r="P343" s="97"/>
      <c r="Q343" s="98"/>
      <c r="R343" s="135"/>
      <c r="U343" s="48" t="str">
        <f t="shared" si="44"/>
        <v/>
      </c>
      <c r="V343" s="16"/>
      <c r="W343" s="34"/>
      <c r="X343" s="35"/>
      <c r="Z343" s="74"/>
      <c r="AA343" s="130" t="str" cm="1">
        <f t="array" ref="AA343">HEX2ASCII(AB343)&amp;HEX2ASCII(AC343)&amp;HEX2ASCII(AD343)&amp;HEX2ASCII(AE343)&amp;HEX2ASCII(AF343)&amp;HEX2ASCII(AG343)&amp;HEX2ASCII(AH343)&amp;HEX2ASCII(AI343)</f>
        <v/>
      </c>
      <c r="AB343" s="147"/>
      <c r="AC343" s="148"/>
      <c r="AD343" s="148"/>
      <c r="AE343" s="148"/>
      <c r="AF343" s="148"/>
      <c r="AG343" s="148"/>
      <c r="AH343" s="148"/>
      <c r="AI343" s="149"/>
    </row>
    <row r="344" spans="11:35">
      <c r="K344" s="85"/>
      <c r="L344" s="54" t="str">
        <f t="shared" si="43"/>
        <v/>
      </c>
      <c r="M344" s="38" t="str">
        <f t="shared" si="42"/>
        <v>0250</v>
      </c>
      <c r="N344" s="69">
        <f t="shared" si="45"/>
        <v>592</v>
      </c>
      <c r="O344" s="96"/>
      <c r="P344" s="97"/>
      <c r="Q344" s="98"/>
      <c r="R344" s="135"/>
      <c r="U344" s="48" t="str">
        <f t="shared" si="44"/>
        <v/>
      </c>
      <c r="V344" s="16"/>
      <c r="W344" s="34"/>
      <c r="X344" s="35"/>
      <c r="Z344" s="74"/>
      <c r="AA344" s="130" t="str" cm="1">
        <f t="array" ref="AA344">HEX2ASCII(AB344)&amp;HEX2ASCII(AC344)&amp;HEX2ASCII(AD344)&amp;HEX2ASCII(AE344)&amp;HEX2ASCII(AF344)&amp;HEX2ASCII(AG344)&amp;HEX2ASCII(AH344)&amp;HEX2ASCII(AI344)</f>
        <v/>
      </c>
      <c r="AB344" s="147"/>
      <c r="AC344" s="148"/>
      <c r="AD344" s="148"/>
      <c r="AE344" s="148"/>
      <c r="AF344" s="148"/>
      <c r="AG344" s="148"/>
      <c r="AH344" s="148"/>
      <c r="AI344" s="149"/>
    </row>
    <row r="345" spans="11:35">
      <c r="K345" s="85"/>
      <c r="L345" s="54" t="str">
        <f t="shared" si="43"/>
        <v/>
      </c>
      <c r="M345" s="38" t="str">
        <f t="shared" si="42"/>
        <v>0251</v>
      </c>
      <c r="N345" s="69">
        <f t="shared" si="45"/>
        <v>593</v>
      </c>
      <c r="O345" s="96"/>
      <c r="P345" s="97"/>
      <c r="Q345" s="98"/>
      <c r="R345" s="135"/>
      <c r="U345" s="48" t="str">
        <f t="shared" si="44"/>
        <v/>
      </c>
      <c r="V345" s="16"/>
      <c r="W345" s="34"/>
      <c r="X345" s="35"/>
      <c r="Z345" s="74"/>
      <c r="AA345" s="130" t="str" cm="1">
        <f t="array" ref="AA345">HEX2ASCII(AB345)&amp;HEX2ASCII(AC345)&amp;HEX2ASCII(AD345)&amp;HEX2ASCII(AE345)&amp;HEX2ASCII(AF345)&amp;HEX2ASCII(AG345)&amp;HEX2ASCII(AH345)&amp;HEX2ASCII(AI345)</f>
        <v/>
      </c>
      <c r="AB345" s="147"/>
      <c r="AC345" s="148"/>
      <c r="AD345" s="148"/>
      <c r="AE345" s="148"/>
      <c r="AF345" s="148"/>
      <c r="AG345" s="148"/>
      <c r="AH345" s="148"/>
      <c r="AI345" s="149"/>
    </row>
    <row r="346" spans="11:35">
      <c r="K346" s="85"/>
      <c r="L346" s="54" t="str">
        <f t="shared" si="43"/>
        <v/>
      </c>
      <c r="M346" s="38" t="str">
        <f t="shared" si="42"/>
        <v>0252</v>
      </c>
      <c r="N346" s="69">
        <f t="shared" si="45"/>
        <v>594</v>
      </c>
      <c r="O346" s="96"/>
      <c r="P346" s="97"/>
      <c r="Q346" s="98"/>
      <c r="R346" s="135"/>
      <c r="U346" s="48" t="str">
        <f t="shared" si="44"/>
        <v/>
      </c>
      <c r="V346" s="16"/>
      <c r="W346" s="34"/>
      <c r="X346" s="35"/>
      <c r="Z346" s="74"/>
      <c r="AA346" s="130" t="str" cm="1">
        <f t="array" ref="AA346">HEX2ASCII(AB346)&amp;HEX2ASCII(AC346)&amp;HEX2ASCII(AD346)&amp;HEX2ASCII(AE346)&amp;HEX2ASCII(AF346)&amp;HEX2ASCII(AG346)&amp;HEX2ASCII(AH346)&amp;HEX2ASCII(AI346)</f>
        <v/>
      </c>
      <c r="AB346" s="147"/>
      <c r="AC346" s="148"/>
      <c r="AD346" s="148"/>
      <c r="AE346" s="148"/>
      <c r="AF346" s="148"/>
      <c r="AG346" s="148"/>
      <c r="AH346" s="148"/>
      <c r="AI346" s="149"/>
    </row>
    <row r="347" spans="11:35">
      <c r="K347" s="85"/>
      <c r="L347" s="54" t="str">
        <f t="shared" si="43"/>
        <v/>
      </c>
      <c r="M347" s="38" t="str">
        <f t="shared" si="42"/>
        <v>0253</v>
      </c>
      <c r="N347" s="69">
        <f t="shared" si="45"/>
        <v>595</v>
      </c>
      <c r="O347" s="96"/>
      <c r="P347" s="97"/>
      <c r="Q347" s="98"/>
      <c r="R347" s="135"/>
      <c r="U347" s="48" t="str">
        <f t="shared" si="44"/>
        <v/>
      </c>
      <c r="V347" s="16"/>
      <c r="W347" s="34"/>
      <c r="X347" s="35"/>
      <c r="Z347" s="74"/>
      <c r="AA347" s="130" t="str" cm="1">
        <f t="array" ref="AA347">HEX2ASCII(AB347)&amp;HEX2ASCII(AC347)&amp;HEX2ASCII(AD347)&amp;HEX2ASCII(AE347)&amp;HEX2ASCII(AF347)&amp;HEX2ASCII(AG347)&amp;HEX2ASCII(AH347)&amp;HEX2ASCII(AI347)</f>
        <v/>
      </c>
      <c r="AB347" s="147"/>
      <c r="AC347" s="148"/>
      <c r="AD347" s="148"/>
      <c r="AE347" s="148"/>
      <c r="AF347" s="148"/>
      <c r="AG347" s="148"/>
      <c r="AH347" s="148"/>
      <c r="AI347" s="149"/>
    </row>
    <row r="348" spans="11:35">
      <c r="K348" s="85"/>
      <c r="L348" s="54" t="str">
        <f t="shared" si="43"/>
        <v/>
      </c>
      <c r="M348" s="38" t="str">
        <f t="shared" si="42"/>
        <v>0254</v>
      </c>
      <c r="N348" s="69">
        <f t="shared" si="45"/>
        <v>596</v>
      </c>
      <c r="O348" s="96"/>
      <c r="P348" s="97"/>
      <c r="Q348" s="98"/>
      <c r="R348" s="135"/>
      <c r="U348" s="48" t="str">
        <f t="shared" si="44"/>
        <v/>
      </c>
      <c r="V348" s="16"/>
      <c r="W348" s="34"/>
      <c r="X348" s="35"/>
      <c r="Z348" s="74"/>
      <c r="AA348" s="130" t="str" cm="1">
        <f t="array" ref="AA348">HEX2ASCII(AB348)&amp;HEX2ASCII(AC348)&amp;HEX2ASCII(AD348)&amp;HEX2ASCII(AE348)&amp;HEX2ASCII(AF348)&amp;HEX2ASCII(AG348)&amp;HEX2ASCII(AH348)&amp;HEX2ASCII(AI348)</f>
        <v/>
      </c>
      <c r="AB348" s="147"/>
      <c r="AC348" s="148"/>
      <c r="AD348" s="148"/>
      <c r="AE348" s="148"/>
      <c r="AF348" s="148"/>
      <c r="AG348" s="148"/>
      <c r="AH348" s="148"/>
      <c r="AI348" s="149"/>
    </row>
    <row r="349" spans="11:35">
      <c r="K349" s="85"/>
      <c r="L349" s="54" t="str">
        <f t="shared" si="43"/>
        <v/>
      </c>
      <c r="M349" s="38" t="str">
        <f t="shared" ref="M349:M412" si="46">IFERROR(RIGHT("0000"&amp;DEC2HEX(N349),4),"")</f>
        <v>0255</v>
      </c>
      <c r="N349" s="69">
        <f t="shared" si="45"/>
        <v>597</v>
      </c>
      <c r="O349" s="96"/>
      <c r="P349" s="97"/>
      <c r="Q349" s="98"/>
      <c r="R349" s="135"/>
      <c r="U349" s="48" t="str">
        <f t="shared" si="44"/>
        <v/>
      </c>
      <c r="V349" s="16"/>
      <c r="W349" s="34"/>
      <c r="X349" s="35"/>
      <c r="Z349" s="74"/>
      <c r="AA349" s="130" t="str" cm="1">
        <f t="array" ref="AA349">HEX2ASCII(AB349)&amp;HEX2ASCII(AC349)&amp;HEX2ASCII(AD349)&amp;HEX2ASCII(AE349)&amp;HEX2ASCII(AF349)&amp;HEX2ASCII(AG349)&amp;HEX2ASCII(AH349)&amp;HEX2ASCII(AI349)</f>
        <v/>
      </c>
      <c r="AB349" s="147"/>
      <c r="AC349" s="148"/>
      <c r="AD349" s="148"/>
      <c r="AE349" s="148"/>
      <c r="AF349" s="148"/>
      <c r="AG349" s="148"/>
      <c r="AH349" s="148"/>
      <c r="AI349" s="149"/>
    </row>
    <row r="350" spans="11:35">
      <c r="K350" s="85"/>
      <c r="L350" s="54" t="str">
        <f t="shared" si="43"/>
        <v/>
      </c>
      <c r="M350" s="38" t="str">
        <f t="shared" si="46"/>
        <v>0256</v>
      </c>
      <c r="N350" s="69">
        <f t="shared" si="45"/>
        <v>598</v>
      </c>
      <c r="O350" s="96"/>
      <c r="P350" s="97"/>
      <c r="Q350" s="98"/>
      <c r="R350" s="135"/>
      <c r="U350" s="48" t="str">
        <f t="shared" si="44"/>
        <v/>
      </c>
      <c r="V350" s="16"/>
      <c r="W350" s="34"/>
      <c r="X350" s="35"/>
      <c r="Z350" s="74"/>
      <c r="AA350" s="130" t="str" cm="1">
        <f t="array" ref="AA350">HEX2ASCII(AB350)&amp;HEX2ASCII(AC350)&amp;HEX2ASCII(AD350)&amp;HEX2ASCII(AE350)&amp;HEX2ASCII(AF350)&amp;HEX2ASCII(AG350)&amp;HEX2ASCII(AH350)&amp;HEX2ASCII(AI350)</f>
        <v/>
      </c>
      <c r="AB350" s="147"/>
      <c r="AC350" s="148"/>
      <c r="AD350" s="148"/>
      <c r="AE350" s="148"/>
      <c r="AF350" s="148"/>
      <c r="AG350" s="148"/>
      <c r="AH350" s="148"/>
      <c r="AI350" s="149"/>
    </row>
    <row r="351" spans="11:35">
      <c r="K351" s="85"/>
      <c r="L351" s="54" t="str">
        <f t="shared" si="43"/>
        <v/>
      </c>
      <c r="M351" s="38" t="str">
        <f t="shared" si="46"/>
        <v>0257</v>
      </c>
      <c r="N351" s="69">
        <f t="shared" si="45"/>
        <v>599</v>
      </c>
      <c r="O351" s="96"/>
      <c r="P351" s="97"/>
      <c r="Q351" s="98"/>
      <c r="R351" s="135"/>
      <c r="U351" s="48" t="str">
        <f t="shared" si="44"/>
        <v/>
      </c>
      <c r="V351" s="16"/>
      <c r="W351" s="34"/>
      <c r="X351" s="35"/>
      <c r="Z351" s="74"/>
      <c r="AA351" s="130" t="str" cm="1">
        <f t="array" ref="AA351">HEX2ASCII(AB351)&amp;HEX2ASCII(AC351)&amp;HEX2ASCII(AD351)&amp;HEX2ASCII(AE351)&amp;HEX2ASCII(AF351)&amp;HEX2ASCII(AG351)&amp;HEX2ASCII(AH351)&amp;HEX2ASCII(AI351)</f>
        <v/>
      </c>
      <c r="AB351" s="147"/>
      <c r="AC351" s="148"/>
      <c r="AD351" s="148"/>
      <c r="AE351" s="148"/>
      <c r="AF351" s="148"/>
      <c r="AG351" s="148"/>
      <c r="AH351" s="148"/>
      <c r="AI351" s="149"/>
    </row>
    <row r="352" spans="11:35">
      <c r="K352" s="85"/>
      <c r="L352" s="54" t="str">
        <f t="shared" si="43"/>
        <v/>
      </c>
      <c r="M352" s="38" t="str">
        <f t="shared" si="46"/>
        <v>0258</v>
      </c>
      <c r="N352" s="69">
        <f t="shared" si="45"/>
        <v>600</v>
      </c>
      <c r="O352" s="96"/>
      <c r="P352" s="97"/>
      <c r="Q352" s="98"/>
      <c r="R352" s="135"/>
      <c r="U352" s="48" t="str">
        <f t="shared" si="44"/>
        <v/>
      </c>
      <c r="V352" s="16"/>
      <c r="W352" s="34"/>
      <c r="X352" s="35"/>
      <c r="Z352" s="74"/>
      <c r="AA352" s="130" t="str" cm="1">
        <f t="array" ref="AA352">HEX2ASCII(AB352)&amp;HEX2ASCII(AC352)&amp;HEX2ASCII(AD352)&amp;HEX2ASCII(AE352)&amp;HEX2ASCII(AF352)&amp;HEX2ASCII(AG352)&amp;HEX2ASCII(AH352)&amp;HEX2ASCII(AI352)</f>
        <v/>
      </c>
      <c r="AB352" s="147"/>
      <c r="AC352" s="148"/>
      <c r="AD352" s="148"/>
      <c r="AE352" s="148"/>
      <c r="AF352" s="148"/>
      <c r="AG352" s="148"/>
      <c r="AH352" s="148"/>
      <c r="AI352" s="149"/>
    </row>
    <row r="353" spans="11:35">
      <c r="K353" s="85"/>
      <c r="L353" s="54" t="str">
        <f t="shared" si="43"/>
        <v/>
      </c>
      <c r="M353" s="38" t="str">
        <f t="shared" si="46"/>
        <v>0259</v>
      </c>
      <c r="N353" s="69">
        <f t="shared" si="45"/>
        <v>601</v>
      </c>
      <c r="O353" s="96"/>
      <c r="P353" s="97"/>
      <c r="Q353" s="98"/>
      <c r="R353" s="135"/>
      <c r="U353" s="48" t="str">
        <f t="shared" si="44"/>
        <v/>
      </c>
      <c r="V353" s="16"/>
      <c r="W353" s="34"/>
      <c r="X353" s="35"/>
      <c r="Z353" s="74"/>
      <c r="AA353" s="130" t="str" cm="1">
        <f t="array" ref="AA353">HEX2ASCII(AB353)&amp;HEX2ASCII(AC353)&amp;HEX2ASCII(AD353)&amp;HEX2ASCII(AE353)&amp;HEX2ASCII(AF353)&amp;HEX2ASCII(AG353)&amp;HEX2ASCII(AH353)&amp;HEX2ASCII(AI353)</f>
        <v/>
      </c>
      <c r="AB353" s="147"/>
      <c r="AC353" s="148"/>
      <c r="AD353" s="148"/>
      <c r="AE353" s="148"/>
      <c r="AF353" s="148"/>
      <c r="AG353" s="148"/>
      <c r="AH353" s="148"/>
      <c r="AI353" s="149"/>
    </row>
    <row r="354" spans="11:35">
      <c r="K354" s="85"/>
      <c r="L354" s="54" t="str">
        <f t="shared" si="43"/>
        <v/>
      </c>
      <c r="M354" s="38" t="str">
        <f t="shared" si="46"/>
        <v>025A</v>
      </c>
      <c r="N354" s="69">
        <f t="shared" si="45"/>
        <v>602</v>
      </c>
      <c r="O354" s="96"/>
      <c r="P354" s="97"/>
      <c r="Q354" s="98"/>
      <c r="R354" s="135"/>
      <c r="U354" s="48" t="str">
        <f t="shared" si="44"/>
        <v/>
      </c>
      <c r="V354" s="16"/>
      <c r="W354" s="34"/>
      <c r="X354" s="35"/>
      <c r="Z354" s="74"/>
      <c r="AA354" s="130" t="str" cm="1">
        <f t="array" ref="AA354">HEX2ASCII(AB354)&amp;HEX2ASCII(AC354)&amp;HEX2ASCII(AD354)&amp;HEX2ASCII(AE354)&amp;HEX2ASCII(AF354)&amp;HEX2ASCII(AG354)&amp;HEX2ASCII(AH354)&amp;HEX2ASCII(AI354)</f>
        <v/>
      </c>
      <c r="AB354" s="147"/>
      <c r="AC354" s="148"/>
      <c r="AD354" s="148"/>
      <c r="AE354" s="148"/>
      <c r="AF354" s="148"/>
      <c r="AG354" s="148"/>
      <c r="AH354" s="148"/>
      <c r="AI354" s="149"/>
    </row>
    <row r="355" spans="11:35">
      <c r="K355" s="85"/>
      <c r="L355" s="54" t="str">
        <f t="shared" si="43"/>
        <v/>
      </c>
      <c r="M355" s="38" t="str">
        <f t="shared" si="46"/>
        <v>025B</v>
      </c>
      <c r="N355" s="69">
        <f t="shared" si="45"/>
        <v>603</v>
      </c>
      <c r="O355" s="96"/>
      <c r="P355" s="97"/>
      <c r="Q355" s="98"/>
      <c r="R355" s="135"/>
      <c r="U355" s="48" t="str">
        <f t="shared" si="44"/>
        <v/>
      </c>
      <c r="V355" s="16"/>
      <c r="W355" s="34"/>
      <c r="X355" s="35"/>
      <c r="Z355" s="74"/>
      <c r="AA355" s="130" t="str" cm="1">
        <f t="array" ref="AA355">HEX2ASCII(AB355)&amp;HEX2ASCII(AC355)&amp;HEX2ASCII(AD355)&amp;HEX2ASCII(AE355)&amp;HEX2ASCII(AF355)&amp;HEX2ASCII(AG355)&amp;HEX2ASCII(AH355)&amp;HEX2ASCII(AI355)</f>
        <v/>
      </c>
      <c r="AB355" s="147"/>
      <c r="AC355" s="148"/>
      <c r="AD355" s="148"/>
      <c r="AE355" s="148"/>
      <c r="AF355" s="148"/>
      <c r="AG355" s="148"/>
      <c r="AH355" s="148"/>
      <c r="AI355" s="149"/>
    </row>
    <row r="356" spans="11:35">
      <c r="K356" s="85"/>
      <c r="L356" s="54" t="str">
        <f t="shared" si="43"/>
        <v/>
      </c>
      <c r="M356" s="38" t="str">
        <f t="shared" si="46"/>
        <v>025C</v>
      </c>
      <c r="N356" s="69">
        <f t="shared" si="45"/>
        <v>604</v>
      </c>
      <c r="O356" s="96"/>
      <c r="P356" s="97"/>
      <c r="Q356" s="98"/>
      <c r="R356" s="135"/>
      <c r="U356" s="48" t="str">
        <f t="shared" si="44"/>
        <v/>
      </c>
      <c r="V356" s="16"/>
      <c r="W356" s="34"/>
      <c r="X356" s="35"/>
      <c r="Z356" s="74"/>
      <c r="AA356" s="130" t="str" cm="1">
        <f t="array" ref="AA356">HEX2ASCII(AB356)&amp;HEX2ASCII(AC356)&amp;HEX2ASCII(AD356)&amp;HEX2ASCII(AE356)&amp;HEX2ASCII(AF356)&amp;HEX2ASCII(AG356)&amp;HEX2ASCII(AH356)&amp;HEX2ASCII(AI356)</f>
        <v/>
      </c>
      <c r="AB356" s="147"/>
      <c r="AC356" s="148"/>
      <c r="AD356" s="148"/>
      <c r="AE356" s="148"/>
      <c r="AF356" s="148"/>
      <c r="AG356" s="148"/>
      <c r="AH356" s="148"/>
      <c r="AI356" s="149"/>
    </row>
    <row r="357" spans="11:35">
      <c r="K357" s="85"/>
      <c r="L357" s="54" t="str">
        <f t="shared" si="43"/>
        <v/>
      </c>
      <c r="M357" s="38" t="str">
        <f t="shared" si="46"/>
        <v>025D</v>
      </c>
      <c r="N357" s="69">
        <f t="shared" si="45"/>
        <v>605</v>
      </c>
      <c r="O357" s="96"/>
      <c r="P357" s="97"/>
      <c r="Q357" s="98"/>
      <c r="R357" s="135"/>
      <c r="U357" s="48" t="str">
        <f t="shared" si="44"/>
        <v/>
      </c>
      <c r="V357" s="16"/>
      <c r="W357" s="34"/>
      <c r="X357" s="35"/>
      <c r="Z357" s="74"/>
      <c r="AA357" s="130" t="str" cm="1">
        <f t="array" ref="AA357">HEX2ASCII(AB357)&amp;HEX2ASCII(AC357)&amp;HEX2ASCII(AD357)&amp;HEX2ASCII(AE357)&amp;HEX2ASCII(AF357)&amp;HEX2ASCII(AG357)&amp;HEX2ASCII(AH357)&amp;HEX2ASCII(AI357)</f>
        <v/>
      </c>
      <c r="AB357" s="147"/>
      <c r="AC357" s="148"/>
      <c r="AD357" s="148"/>
      <c r="AE357" s="148"/>
      <c r="AF357" s="148"/>
      <c r="AG357" s="148"/>
      <c r="AH357" s="148"/>
      <c r="AI357" s="149"/>
    </row>
    <row r="358" spans="11:35">
      <c r="K358" s="85"/>
      <c r="L358" s="54" t="str">
        <f t="shared" si="43"/>
        <v/>
      </c>
      <c r="M358" s="38" t="str">
        <f t="shared" si="46"/>
        <v>025E</v>
      </c>
      <c r="N358" s="69">
        <f t="shared" si="45"/>
        <v>606</v>
      </c>
      <c r="O358" s="96"/>
      <c r="P358" s="97"/>
      <c r="Q358" s="98"/>
      <c r="R358" s="135"/>
      <c r="U358" s="48" t="str">
        <f t="shared" si="44"/>
        <v/>
      </c>
      <c r="V358" s="16"/>
      <c r="W358" s="34"/>
      <c r="X358" s="35"/>
      <c r="Z358" s="74"/>
      <c r="AA358" s="130" t="str" cm="1">
        <f t="array" ref="AA358">HEX2ASCII(AB358)&amp;HEX2ASCII(AC358)&amp;HEX2ASCII(AD358)&amp;HEX2ASCII(AE358)&amp;HEX2ASCII(AF358)&amp;HEX2ASCII(AG358)&amp;HEX2ASCII(AH358)&amp;HEX2ASCII(AI358)</f>
        <v/>
      </c>
      <c r="AB358" s="147"/>
      <c r="AC358" s="148"/>
      <c r="AD358" s="148"/>
      <c r="AE358" s="148"/>
      <c r="AF358" s="148"/>
      <c r="AG358" s="148"/>
      <c r="AH358" s="148"/>
      <c r="AI358" s="149"/>
    </row>
    <row r="359" spans="11:35">
      <c r="K359" s="85"/>
      <c r="L359" s="54" t="str">
        <f t="shared" si="43"/>
        <v/>
      </c>
      <c r="M359" s="38" t="str">
        <f t="shared" si="46"/>
        <v>025F</v>
      </c>
      <c r="N359" s="69">
        <f t="shared" si="45"/>
        <v>607</v>
      </c>
      <c r="O359" s="96"/>
      <c r="P359" s="97"/>
      <c r="Q359" s="98"/>
      <c r="R359" s="135"/>
      <c r="U359" s="48" t="str">
        <f t="shared" si="44"/>
        <v/>
      </c>
      <c r="V359" s="16"/>
      <c r="W359" s="34"/>
      <c r="X359" s="35"/>
      <c r="Z359" s="74"/>
      <c r="AA359" s="130" t="str" cm="1">
        <f t="array" ref="AA359">HEX2ASCII(AB359)&amp;HEX2ASCII(AC359)&amp;HEX2ASCII(AD359)&amp;HEX2ASCII(AE359)&amp;HEX2ASCII(AF359)&amp;HEX2ASCII(AG359)&amp;HEX2ASCII(AH359)&amp;HEX2ASCII(AI359)</f>
        <v/>
      </c>
      <c r="AB359" s="147"/>
      <c r="AC359" s="148"/>
      <c r="AD359" s="148"/>
      <c r="AE359" s="148"/>
      <c r="AF359" s="148"/>
      <c r="AG359" s="148"/>
      <c r="AH359" s="148"/>
      <c r="AI359" s="149"/>
    </row>
    <row r="360" spans="11:35">
      <c r="K360" s="85"/>
      <c r="L360" s="54" t="str">
        <f t="shared" si="43"/>
        <v/>
      </c>
      <c r="M360" s="38" t="str">
        <f t="shared" si="46"/>
        <v>0260</v>
      </c>
      <c r="N360" s="69">
        <f t="shared" si="45"/>
        <v>608</v>
      </c>
      <c r="O360" s="96"/>
      <c r="P360" s="97"/>
      <c r="Q360" s="98"/>
      <c r="R360" s="135"/>
      <c r="U360" s="48" t="str">
        <f t="shared" si="44"/>
        <v/>
      </c>
      <c r="V360" s="16"/>
      <c r="W360" s="34"/>
      <c r="X360" s="35"/>
      <c r="Z360" s="74"/>
      <c r="AA360" s="130" t="str" cm="1">
        <f t="array" ref="AA360">HEX2ASCII(AB360)&amp;HEX2ASCII(AC360)&amp;HEX2ASCII(AD360)&amp;HEX2ASCII(AE360)&amp;HEX2ASCII(AF360)&amp;HEX2ASCII(AG360)&amp;HEX2ASCII(AH360)&amp;HEX2ASCII(AI360)</f>
        <v/>
      </c>
      <c r="AB360" s="147"/>
      <c r="AC360" s="148"/>
      <c r="AD360" s="148"/>
      <c r="AE360" s="148"/>
      <c r="AF360" s="148"/>
      <c r="AG360" s="148"/>
      <c r="AH360" s="148"/>
      <c r="AI360" s="149"/>
    </row>
    <row r="361" spans="11:35">
      <c r="K361" s="85"/>
      <c r="L361" s="54" t="str">
        <f t="shared" si="43"/>
        <v/>
      </c>
      <c r="M361" s="38" t="str">
        <f t="shared" si="46"/>
        <v>0261</v>
      </c>
      <c r="N361" s="69">
        <f t="shared" si="45"/>
        <v>609</v>
      </c>
      <c r="O361" s="96"/>
      <c r="P361" s="97"/>
      <c r="Q361" s="98"/>
      <c r="R361" s="135"/>
      <c r="U361" s="48" t="str">
        <f t="shared" si="44"/>
        <v/>
      </c>
      <c r="V361" s="16"/>
      <c r="W361" s="34"/>
      <c r="X361" s="35"/>
      <c r="Z361" s="74"/>
      <c r="AA361" s="130" t="str" cm="1">
        <f t="array" ref="AA361">HEX2ASCII(AB361)&amp;HEX2ASCII(AC361)&amp;HEX2ASCII(AD361)&amp;HEX2ASCII(AE361)&amp;HEX2ASCII(AF361)&amp;HEX2ASCII(AG361)&amp;HEX2ASCII(AH361)&amp;HEX2ASCII(AI361)</f>
        <v/>
      </c>
      <c r="AB361" s="147"/>
      <c r="AC361" s="148"/>
      <c r="AD361" s="148"/>
      <c r="AE361" s="148"/>
      <c r="AF361" s="148"/>
      <c r="AG361" s="148"/>
      <c r="AH361" s="148"/>
      <c r="AI361" s="149"/>
    </row>
    <row r="362" spans="11:35">
      <c r="K362" s="85"/>
      <c r="L362" s="54" t="str">
        <f t="shared" si="43"/>
        <v/>
      </c>
      <c r="M362" s="38" t="str">
        <f t="shared" si="46"/>
        <v>0262</v>
      </c>
      <c r="N362" s="69">
        <f t="shared" si="45"/>
        <v>610</v>
      </c>
      <c r="O362" s="96"/>
      <c r="P362" s="97"/>
      <c r="Q362" s="98"/>
      <c r="R362" s="135"/>
      <c r="U362" s="48" t="str">
        <f t="shared" si="44"/>
        <v/>
      </c>
      <c r="V362" s="16"/>
      <c r="W362" s="34"/>
      <c r="X362" s="35"/>
      <c r="Z362" s="74"/>
      <c r="AA362" s="130" t="str" cm="1">
        <f t="array" ref="AA362">HEX2ASCII(AB362)&amp;HEX2ASCII(AC362)&amp;HEX2ASCII(AD362)&amp;HEX2ASCII(AE362)&amp;HEX2ASCII(AF362)&amp;HEX2ASCII(AG362)&amp;HEX2ASCII(AH362)&amp;HEX2ASCII(AI362)</f>
        <v/>
      </c>
      <c r="AB362" s="147"/>
      <c r="AC362" s="148"/>
      <c r="AD362" s="148"/>
      <c r="AE362" s="148"/>
      <c r="AF362" s="148"/>
      <c r="AG362" s="148"/>
      <c r="AH362" s="148"/>
      <c r="AI362" s="149"/>
    </row>
    <row r="363" spans="11:35">
      <c r="K363" s="85"/>
      <c r="L363" s="54" t="str">
        <f t="shared" si="43"/>
        <v/>
      </c>
      <c r="M363" s="38" t="str">
        <f t="shared" si="46"/>
        <v>0263</v>
      </c>
      <c r="N363" s="69">
        <f t="shared" si="45"/>
        <v>611</v>
      </c>
      <c r="O363" s="96"/>
      <c r="P363" s="97"/>
      <c r="Q363" s="98"/>
      <c r="R363" s="135"/>
      <c r="U363" s="48" t="str">
        <f t="shared" si="44"/>
        <v/>
      </c>
      <c r="V363" s="16"/>
      <c r="W363" s="34"/>
      <c r="X363" s="35"/>
      <c r="Z363" s="74"/>
      <c r="AA363" s="130" t="str" cm="1">
        <f t="array" ref="AA363">HEX2ASCII(AB363)&amp;HEX2ASCII(AC363)&amp;HEX2ASCII(AD363)&amp;HEX2ASCII(AE363)&amp;HEX2ASCII(AF363)&amp;HEX2ASCII(AG363)&amp;HEX2ASCII(AH363)&amp;HEX2ASCII(AI363)</f>
        <v/>
      </c>
      <c r="AB363" s="147"/>
      <c r="AC363" s="148"/>
      <c r="AD363" s="148"/>
      <c r="AE363" s="148"/>
      <c r="AF363" s="148"/>
      <c r="AG363" s="148"/>
      <c r="AH363" s="148"/>
      <c r="AI363" s="149"/>
    </row>
    <row r="364" spans="11:35">
      <c r="K364" s="85"/>
      <c r="L364" s="54" t="str">
        <f t="shared" si="43"/>
        <v/>
      </c>
      <c r="M364" s="38" t="str">
        <f t="shared" si="46"/>
        <v>0264</v>
      </c>
      <c r="N364" s="69">
        <f t="shared" si="45"/>
        <v>612</v>
      </c>
      <c r="O364" s="96"/>
      <c r="P364" s="97"/>
      <c r="Q364" s="98"/>
      <c r="R364" s="135"/>
      <c r="U364" s="48" t="str">
        <f t="shared" si="44"/>
        <v/>
      </c>
      <c r="V364" s="16"/>
      <c r="W364" s="34"/>
      <c r="X364" s="35"/>
      <c r="Z364" s="74"/>
      <c r="AA364" s="130" t="str" cm="1">
        <f t="array" ref="AA364">HEX2ASCII(AB364)&amp;HEX2ASCII(AC364)&amp;HEX2ASCII(AD364)&amp;HEX2ASCII(AE364)&amp;HEX2ASCII(AF364)&amp;HEX2ASCII(AG364)&amp;HEX2ASCII(AH364)&amp;HEX2ASCII(AI364)</f>
        <v/>
      </c>
      <c r="AB364" s="147"/>
      <c r="AC364" s="148"/>
      <c r="AD364" s="148"/>
      <c r="AE364" s="148"/>
      <c r="AF364" s="148"/>
      <c r="AG364" s="148"/>
      <c r="AH364" s="148"/>
      <c r="AI364" s="149"/>
    </row>
    <row r="365" spans="11:35">
      <c r="K365" s="85"/>
      <c r="L365" s="54" t="str">
        <f t="shared" si="43"/>
        <v/>
      </c>
      <c r="M365" s="38" t="str">
        <f t="shared" si="46"/>
        <v>0265</v>
      </c>
      <c r="N365" s="69">
        <f t="shared" si="45"/>
        <v>613</v>
      </c>
      <c r="O365" s="96"/>
      <c r="P365" s="97"/>
      <c r="Q365" s="98"/>
      <c r="R365" s="135"/>
      <c r="U365" s="48" t="str">
        <f t="shared" si="44"/>
        <v/>
      </c>
      <c r="V365" s="16"/>
      <c r="W365" s="34"/>
      <c r="X365" s="35"/>
      <c r="Z365" s="74"/>
      <c r="AA365" s="130" t="str" cm="1">
        <f t="array" ref="AA365">HEX2ASCII(AB365)&amp;HEX2ASCII(AC365)&amp;HEX2ASCII(AD365)&amp;HEX2ASCII(AE365)&amp;HEX2ASCII(AF365)&amp;HEX2ASCII(AG365)&amp;HEX2ASCII(AH365)&amp;HEX2ASCII(AI365)</f>
        <v/>
      </c>
      <c r="AB365" s="147"/>
      <c r="AC365" s="148"/>
      <c r="AD365" s="148"/>
      <c r="AE365" s="148"/>
      <c r="AF365" s="148"/>
      <c r="AG365" s="148"/>
      <c r="AH365" s="148"/>
      <c r="AI365" s="149"/>
    </row>
    <row r="366" spans="11:35">
      <c r="K366" s="85"/>
      <c r="L366" s="54" t="str">
        <f t="shared" si="43"/>
        <v/>
      </c>
      <c r="M366" s="38" t="str">
        <f t="shared" si="46"/>
        <v>0266</v>
      </c>
      <c r="N366" s="69">
        <f t="shared" si="45"/>
        <v>614</v>
      </c>
      <c r="O366" s="96"/>
      <c r="P366" s="97"/>
      <c r="Q366" s="98"/>
      <c r="R366" s="135"/>
      <c r="U366" s="48" t="str">
        <f t="shared" si="44"/>
        <v/>
      </c>
      <c r="V366" s="16"/>
      <c r="W366" s="34"/>
      <c r="X366" s="35"/>
      <c r="Z366" s="74"/>
      <c r="AA366" s="130" t="str" cm="1">
        <f t="array" ref="AA366">HEX2ASCII(AB366)&amp;HEX2ASCII(AC366)&amp;HEX2ASCII(AD366)&amp;HEX2ASCII(AE366)&amp;HEX2ASCII(AF366)&amp;HEX2ASCII(AG366)&amp;HEX2ASCII(AH366)&amp;HEX2ASCII(AI366)</f>
        <v/>
      </c>
      <c r="AB366" s="147"/>
      <c r="AC366" s="148"/>
      <c r="AD366" s="148"/>
      <c r="AE366" s="148"/>
      <c r="AF366" s="148"/>
      <c r="AG366" s="148"/>
      <c r="AH366" s="148"/>
      <c r="AI366" s="149"/>
    </row>
    <row r="367" spans="11:35">
      <c r="K367" s="85"/>
      <c r="L367" s="54" t="str">
        <f t="shared" si="43"/>
        <v/>
      </c>
      <c r="M367" s="38" t="str">
        <f t="shared" si="46"/>
        <v>0267</v>
      </c>
      <c r="N367" s="69">
        <f t="shared" si="45"/>
        <v>615</v>
      </c>
      <c r="O367" s="96"/>
      <c r="P367" s="97"/>
      <c r="Q367" s="98"/>
      <c r="R367" s="135"/>
      <c r="U367" s="48" t="str">
        <f t="shared" si="44"/>
        <v/>
      </c>
      <c r="V367" s="16"/>
      <c r="W367" s="34"/>
      <c r="X367" s="35"/>
      <c r="Z367" s="74"/>
      <c r="AA367" s="130" t="str" cm="1">
        <f t="array" ref="AA367">HEX2ASCII(AB367)&amp;HEX2ASCII(AC367)&amp;HEX2ASCII(AD367)&amp;HEX2ASCII(AE367)&amp;HEX2ASCII(AF367)&amp;HEX2ASCII(AG367)&amp;HEX2ASCII(AH367)&amp;HEX2ASCII(AI367)</f>
        <v/>
      </c>
      <c r="AB367" s="147"/>
      <c r="AC367" s="148"/>
      <c r="AD367" s="148"/>
      <c r="AE367" s="148"/>
      <c r="AF367" s="148"/>
      <c r="AG367" s="148"/>
      <c r="AH367" s="148"/>
      <c r="AI367" s="149"/>
    </row>
    <row r="368" spans="11:35">
      <c r="K368" s="85"/>
      <c r="L368" s="54" t="str">
        <f t="shared" si="43"/>
        <v/>
      </c>
      <c r="M368" s="38" t="str">
        <f t="shared" si="46"/>
        <v>0268</v>
      </c>
      <c r="N368" s="69">
        <f t="shared" si="45"/>
        <v>616</v>
      </c>
      <c r="O368" s="96"/>
      <c r="P368" s="97"/>
      <c r="Q368" s="98"/>
      <c r="R368" s="135"/>
      <c r="U368" s="48" t="str">
        <f t="shared" si="44"/>
        <v/>
      </c>
      <c r="V368" s="16"/>
      <c r="W368" s="34"/>
      <c r="X368" s="35"/>
      <c r="Z368" s="74"/>
      <c r="AA368" s="130" t="str" cm="1">
        <f t="array" ref="AA368">HEX2ASCII(AB368)&amp;HEX2ASCII(AC368)&amp;HEX2ASCII(AD368)&amp;HEX2ASCII(AE368)&amp;HEX2ASCII(AF368)&amp;HEX2ASCII(AG368)&amp;HEX2ASCII(AH368)&amp;HEX2ASCII(AI368)</f>
        <v/>
      </c>
      <c r="AB368" s="147"/>
      <c r="AC368" s="148"/>
      <c r="AD368" s="148"/>
      <c r="AE368" s="148"/>
      <c r="AF368" s="148"/>
      <c r="AG368" s="148"/>
      <c r="AH368" s="148"/>
      <c r="AI368" s="149"/>
    </row>
    <row r="369" spans="11:35">
      <c r="K369" s="85"/>
      <c r="L369" s="54" t="str">
        <f t="shared" si="43"/>
        <v/>
      </c>
      <c r="M369" s="38" t="str">
        <f t="shared" si="46"/>
        <v>0269</v>
      </c>
      <c r="N369" s="69">
        <f t="shared" si="45"/>
        <v>617</v>
      </c>
      <c r="O369" s="96"/>
      <c r="P369" s="97"/>
      <c r="Q369" s="98"/>
      <c r="R369" s="135"/>
      <c r="U369" s="48" t="str">
        <f t="shared" si="44"/>
        <v/>
      </c>
      <c r="V369" s="16"/>
      <c r="W369" s="34"/>
      <c r="X369" s="35"/>
      <c r="Z369" s="74"/>
      <c r="AA369" s="130" t="str" cm="1">
        <f t="array" ref="AA369">HEX2ASCII(AB369)&amp;HEX2ASCII(AC369)&amp;HEX2ASCII(AD369)&amp;HEX2ASCII(AE369)&amp;HEX2ASCII(AF369)&amp;HEX2ASCII(AG369)&amp;HEX2ASCII(AH369)&amp;HEX2ASCII(AI369)</f>
        <v/>
      </c>
      <c r="AB369" s="147"/>
      <c r="AC369" s="148"/>
      <c r="AD369" s="148"/>
      <c r="AE369" s="148"/>
      <c r="AF369" s="148"/>
      <c r="AG369" s="148"/>
      <c r="AH369" s="148"/>
      <c r="AI369" s="149"/>
    </row>
    <row r="370" spans="11:35">
      <c r="K370" s="85"/>
      <c r="L370" s="54" t="str">
        <f t="shared" si="43"/>
        <v/>
      </c>
      <c r="M370" s="38" t="str">
        <f t="shared" si="46"/>
        <v>026A</v>
      </c>
      <c r="N370" s="69">
        <f t="shared" si="45"/>
        <v>618</v>
      </c>
      <c r="O370" s="96"/>
      <c r="P370" s="97"/>
      <c r="Q370" s="98"/>
      <c r="R370" s="135"/>
      <c r="U370" s="48" t="str">
        <f t="shared" si="44"/>
        <v/>
      </c>
      <c r="V370" s="16"/>
      <c r="W370" s="34"/>
      <c r="X370" s="35"/>
      <c r="Z370" s="74"/>
      <c r="AA370" s="130" t="str" cm="1">
        <f t="array" ref="AA370">HEX2ASCII(AB370)&amp;HEX2ASCII(AC370)&amp;HEX2ASCII(AD370)&amp;HEX2ASCII(AE370)&amp;HEX2ASCII(AF370)&amp;HEX2ASCII(AG370)&amp;HEX2ASCII(AH370)&amp;HEX2ASCII(AI370)</f>
        <v/>
      </c>
      <c r="AB370" s="147"/>
      <c r="AC370" s="148"/>
      <c r="AD370" s="148"/>
      <c r="AE370" s="148"/>
      <c r="AF370" s="148"/>
      <c r="AG370" s="148"/>
      <c r="AH370" s="148"/>
      <c r="AI370" s="149"/>
    </row>
    <row r="371" spans="11:35">
      <c r="K371" s="85"/>
      <c r="L371" s="54" t="str">
        <f t="shared" si="43"/>
        <v/>
      </c>
      <c r="M371" s="38" t="str">
        <f t="shared" si="46"/>
        <v>026B</v>
      </c>
      <c r="N371" s="69">
        <f t="shared" si="45"/>
        <v>619</v>
      </c>
      <c r="O371" s="96"/>
      <c r="P371" s="97"/>
      <c r="Q371" s="98"/>
      <c r="R371" s="135"/>
      <c r="U371" s="48" t="str">
        <f t="shared" si="44"/>
        <v/>
      </c>
      <c r="V371" s="16"/>
      <c r="W371" s="34"/>
      <c r="X371" s="35"/>
      <c r="Z371" s="74"/>
      <c r="AA371" s="130" t="str" cm="1">
        <f t="array" ref="AA371">HEX2ASCII(AB371)&amp;HEX2ASCII(AC371)&amp;HEX2ASCII(AD371)&amp;HEX2ASCII(AE371)&amp;HEX2ASCII(AF371)&amp;HEX2ASCII(AG371)&amp;HEX2ASCII(AH371)&amp;HEX2ASCII(AI371)</f>
        <v/>
      </c>
      <c r="AB371" s="147"/>
      <c r="AC371" s="148"/>
      <c r="AD371" s="148"/>
      <c r="AE371" s="148"/>
      <c r="AF371" s="148"/>
      <c r="AG371" s="148"/>
      <c r="AH371" s="148"/>
      <c r="AI371" s="149"/>
    </row>
    <row r="372" spans="11:35">
      <c r="K372" s="85"/>
      <c r="L372" s="54" t="str">
        <f t="shared" si="43"/>
        <v/>
      </c>
      <c r="M372" s="38" t="str">
        <f t="shared" si="46"/>
        <v>026C</v>
      </c>
      <c r="N372" s="69">
        <f t="shared" si="45"/>
        <v>620</v>
      </c>
      <c r="O372" s="96"/>
      <c r="P372" s="97"/>
      <c r="Q372" s="98"/>
      <c r="R372" s="135"/>
      <c r="U372" s="48" t="str">
        <f t="shared" si="44"/>
        <v/>
      </c>
      <c r="V372" s="16"/>
      <c r="W372" s="34"/>
      <c r="X372" s="35"/>
      <c r="Z372" s="74"/>
      <c r="AA372" s="130" t="str" cm="1">
        <f t="array" ref="AA372">HEX2ASCII(AB372)&amp;HEX2ASCII(AC372)&amp;HEX2ASCII(AD372)&amp;HEX2ASCII(AE372)&amp;HEX2ASCII(AF372)&amp;HEX2ASCII(AG372)&amp;HEX2ASCII(AH372)&amp;HEX2ASCII(AI372)</f>
        <v/>
      </c>
      <c r="AB372" s="147"/>
      <c r="AC372" s="148"/>
      <c r="AD372" s="148"/>
      <c r="AE372" s="148"/>
      <c r="AF372" s="148"/>
      <c r="AG372" s="148"/>
      <c r="AH372" s="148"/>
      <c r="AI372" s="149"/>
    </row>
    <row r="373" spans="11:35">
      <c r="K373" s="85"/>
      <c r="L373" s="54" t="str">
        <f t="shared" si="43"/>
        <v/>
      </c>
      <c r="M373" s="38" t="str">
        <f t="shared" si="46"/>
        <v>026D</v>
      </c>
      <c r="N373" s="69">
        <f t="shared" si="45"/>
        <v>621</v>
      </c>
      <c r="O373" s="96"/>
      <c r="P373" s="97"/>
      <c r="Q373" s="98"/>
      <c r="R373" s="135"/>
      <c r="U373" s="48" t="str">
        <f t="shared" si="44"/>
        <v/>
      </c>
      <c r="V373" s="16"/>
      <c r="W373" s="34"/>
      <c r="X373" s="35"/>
      <c r="Z373" s="74"/>
      <c r="AA373" s="130" t="str" cm="1">
        <f t="array" ref="AA373">HEX2ASCII(AB373)&amp;HEX2ASCII(AC373)&amp;HEX2ASCII(AD373)&amp;HEX2ASCII(AE373)&amp;HEX2ASCII(AF373)&amp;HEX2ASCII(AG373)&amp;HEX2ASCII(AH373)&amp;HEX2ASCII(AI373)</f>
        <v/>
      </c>
      <c r="AB373" s="147"/>
      <c r="AC373" s="148"/>
      <c r="AD373" s="148"/>
      <c r="AE373" s="148"/>
      <c r="AF373" s="148"/>
      <c r="AG373" s="148"/>
      <c r="AH373" s="148"/>
      <c r="AI373" s="149"/>
    </row>
    <row r="374" spans="11:35">
      <c r="K374" s="85"/>
      <c r="L374" s="54" t="str">
        <f t="shared" si="43"/>
        <v/>
      </c>
      <c r="M374" s="38" t="str">
        <f t="shared" si="46"/>
        <v>026E</v>
      </c>
      <c r="N374" s="69">
        <f t="shared" si="45"/>
        <v>622</v>
      </c>
      <c r="O374" s="96"/>
      <c r="P374" s="97"/>
      <c r="Q374" s="98"/>
      <c r="R374" s="135"/>
      <c r="U374" s="48" t="str">
        <f t="shared" si="44"/>
        <v/>
      </c>
      <c r="V374" s="16"/>
      <c r="W374" s="34"/>
      <c r="X374" s="35"/>
      <c r="Z374" s="74"/>
      <c r="AA374" s="130" t="str" cm="1">
        <f t="array" ref="AA374">HEX2ASCII(AB374)&amp;HEX2ASCII(AC374)&amp;HEX2ASCII(AD374)&amp;HEX2ASCII(AE374)&amp;HEX2ASCII(AF374)&amp;HEX2ASCII(AG374)&amp;HEX2ASCII(AH374)&amp;HEX2ASCII(AI374)</f>
        <v/>
      </c>
      <c r="AB374" s="147"/>
      <c r="AC374" s="148"/>
      <c r="AD374" s="148"/>
      <c r="AE374" s="148"/>
      <c r="AF374" s="148"/>
      <c r="AG374" s="148"/>
      <c r="AH374" s="148"/>
      <c r="AI374" s="149"/>
    </row>
    <row r="375" spans="11:35">
      <c r="K375" s="85"/>
      <c r="L375" s="54" t="str">
        <f t="shared" si="43"/>
        <v/>
      </c>
      <c r="M375" s="38" t="str">
        <f t="shared" si="46"/>
        <v>026F</v>
      </c>
      <c r="N375" s="69">
        <f t="shared" si="45"/>
        <v>623</v>
      </c>
      <c r="O375" s="96"/>
      <c r="P375" s="97"/>
      <c r="Q375" s="98"/>
      <c r="R375" s="135"/>
      <c r="U375" s="48" t="str">
        <f t="shared" si="44"/>
        <v/>
      </c>
      <c r="V375" s="16"/>
      <c r="W375" s="34"/>
      <c r="X375" s="35"/>
      <c r="Z375" s="74"/>
      <c r="AA375" s="130" t="str" cm="1">
        <f t="array" ref="AA375">HEX2ASCII(AB375)&amp;HEX2ASCII(AC375)&amp;HEX2ASCII(AD375)&amp;HEX2ASCII(AE375)&amp;HEX2ASCII(AF375)&amp;HEX2ASCII(AG375)&amp;HEX2ASCII(AH375)&amp;HEX2ASCII(AI375)</f>
        <v/>
      </c>
      <c r="AB375" s="147"/>
      <c r="AC375" s="148"/>
      <c r="AD375" s="148"/>
      <c r="AE375" s="148"/>
      <c r="AF375" s="148"/>
      <c r="AG375" s="148"/>
      <c r="AH375" s="148"/>
      <c r="AI375" s="149"/>
    </row>
    <row r="376" spans="11:35">
      <c r="K376" s="85"/>
      <c r="L376" s="54" t="str">
        <f t="shared" si="43"/>
        <v/>
      </c>
      <c r="M376" s="38" t="str">
        <f t="shared" si="46"/>
        <v>0270</v>
      </c>
      <c r="N376" s="69">
        <f t="shared" si="45"/>
        <v>624</v>
      </c>
      <c r="O376" s="96"/>
      <c r="P376" s="97"/>
      <c r="Q376" s="98"/>
      <c r="R376" s="135"/>
      <c r="U376" s="48" t="str">
        <f t="shared" si="44"/>
        <v/>
      </c>
      <c r="V376" s="16"/>
      <c r="W376" s="34"/>
      <c r="X376" s="35"/>
      <c r="Z376" s="74"/>
      <c r="AA376" s="130" t="str" cm="1">
        <f t="array" ref="AA376">HEX2ASCII(AB376)&amp;HEX2ASCII(AC376)&amp;HEX2ASCII(AD376)&amp;HEX2ASCII(AE376)&amp;HEX2ASCII(AF376)&amp;HEX2ASCII(AG376)&amp;HEX2ASCII(AH376)&amp;HEX2ASCII(AI376)</f>
        <v/>
      </c>
      <c r="AB376" s="147"/>
      <c r="AC376" s="148"/>
      <c r="AD376" s="148"/>
      <c r="AE376" s="148"/>
      <c r="AF376" s="148"/>
      <c r="AG376" s="148"/>
      <c r="AH376" s="148"/>
      <c r="AI376" s="149"/>
    </row>
    <row r="377" spans="11:35">
      <c r="K377" s="85"/>
      <c r="L377" s="54" t="str">
        <f t="shared" si="43"/>
        <v/>
      </c>
      <c r="M377" s="38" t="str">
        <f t="shared" si="46"/>
        <v>0271</v>
      </c>
      <c r="N377" s="69">
        <f t="shared" si="45"/>
        <v>625</v>
      </c>
      <c r="O377" s="96"/>
      <c r="P377" s="97"/>
      <c r="Q377" s="98"/>
      <c r="R377" s="135"/>
      <c r="U377" s="48" t="str">
        <f t="shared" si="44"/>
        <v/>
      </c>
      <c r="V377" s="16"/>
      <c r="W377" s="34"/>
      <c r="X377" s="35"/>
      <c r="Z377" s="74"/>
      <c r="AA377" s="130" t="str" cm="1">
        <f t="array" ref="AA377">HEX2ASCII(AB377)&amp;HEX2ASCII(AC377)&amp;HEX2ASCII(AD377)&amp;HEX2ASCII(AE377)&amp;HEX2ASCII(AF377)&amp;HEX2ASCII(AG377)&amp;HEX2ASCII(AH377)&amp;HEX2ASCII(AI377)</f>
        <v/>
      </c>
      <c r="AB377" s="147"/>
      <c r="AC377" s="148"/>
      <c r="AD377" s="148"/>
      <c r="AE377" s="148"/>
      <c r="AF377" s="148"/>
      <c r="AG377" s="148"/>
      <c r="AH377" s="148"/>
      <c r="AI377" s="149"/>
    </row>
    <row r="378" spans="11:35">
      <c r="K378" s="85"/>
      <c r="L378" s="54" t="str">
        <f t="shared" si="43"/>
        <v/>
      </c>
      <c r="M378" s="38" t="str">
        <f t="shared" si="46"/>
        <v>0272</v>
      </c>
      <c r="N378" s="69">
        <f t="shared" si="45"/>
        <v>626</v>
      </c>
      <c r="O378" s="96"/>
      <c r="P378" s="97"/>
      <c r="Q378" s="98"/>
      <c r="R378" s="135"/>
      <c r="U378" s="48" t="str">
        <f t="shared" si="44"/>
        <v/>
      </c>
      <c r="V378" s="16"/>
      <c r="W378" s="34"/>
      <c r="X378" s="35"/>
      <c r="Z378" s="74"/>
      <c r="AA378" s="130" t="str" cm="1">
        <f t="array" ref="AA378">HEX2ASCII(AB378)&amp;HEX2ASCII(AC378)&amp;HEX2ASCII(AD378)&amp;HEX2ASCII(AE378)&amp;HEX2ASCII(AF378)&amp;HEX2ASCII(AG378)&amp;HEX2ASCII(AH378)&amp;HEX2ASCII(AI378)</f>
        <v/>
      </c>
      <c r="AB378" s="147"/>
      <c r="AC378" s="148"/>
      <c r="AD378" s="148"/>
      <c r="AE378" s="148"/>
      <c r="AF378" s="148"/>
      <c r="AG378" s="148"/>
      <c r="AH378" s="148"/>
      <c r="AI378" s="149"/>
    </row>
    <row r="379" spans="11:35">
      <c r="K379" s="85"/>
      <c r="L379" s="54" t="str">
        <f t="shared" si="43"/>
        <v/>
      </c>
      <c r="M379" s="38" t="str">
        <f t="shared" si="46"/>
        <v>0273</v>
      </c>
      <c r="N379" s="69">
        <f t="shared" si="45"/>
        <v>627</v>
      </c>
      <c r="O379" s="96"/>
      <c r="P379" s="97"/>
      <c r="Q379" s="98"/>
      <c r="R379" s="135"/>
      <c r="U379" s="48" t="str">
        <f t="shared" si="44"/>
        <v/>
      </c>
      <c r="V379" s="16"/>
      <c r="W379" s="34"/>
      <c r="X379" s="35"/>
      <c r="Z379" s="74"/>
      <c r="AA379" s="130" t="str" cm="1">
        <f t="array" ref="AA379">HEX2ASCII(AB379)&amp;HEX2ASCII(AC379)&amp;HEX2ASCII(AD379)&amp;HEX2ASCII(AE379)&amp;HEX2ASCII(AF379)&amp;HEX2ASCII(AG379)&amp;HEX2ASCII(AH379)&amp;HEX2ASCII(AI379)</f>
        <v/>
      </c>
      <c r="AB379" s="147"/>
      <c r="AC379" s="148"/>
      <c r="AD379" s="148"/>
      <c r="AE379" s="148"/>
      <c r="AF379" s="148"/>
      <c r="AG379" s="148"/>
      <c r="AH379" s="148"/>
      <c r="AI379" s="149"/>
    </row>
    <row r="380" spans="11:35">
      <c r="K380" s="85"/>
      <c r="L380" s="54" t="str">
        <f t="shared" si="43"/>
        <v/>
      </c>
      <c r="M380" s="38" t="str">
        <f t="shared" si="46"/>
        <v>0274</v>
      </c>
      <c r="N380" s="69">
        <f t="shared" si="45"/>
        <v>628</v>
      </c>
      <c r="O380" s="96"/>
      <c r="P380" s="97"/>
      <c r="Q380" s="98"/>
      <c r="R380" s="135"/>
      <c r="U380" s="48" t="str">
        <f t="shared" si="44"/>
        <v/>
      </c>
      <c r="V380" s="16"/>
      <c r="W380" s="34"/>
      <c r="X380" s="35"/>
      <c r="Z380" s="74"/>
      <c r="AA380" s="130" t="str" cm="1">
        <f t="array" ref="AA380">HEX2ASCII(AB380)&amp;HEX2ASCII(AC380)&amp;HEX2ASCII(AD380)&amp;HEX2ASCII(AE380)&amp;HEX2ASCII(AF380)&amp;HEX2ASCII(AG380)&amp;HEX2ASCII(AH380)&amp;HEX2ASCII(AI380)</f>
        <v/>
      </c>
      <c r="AB380" s="147"/>
      <c r="AC380" s="148"/>
      <c r="AD380" s="148"/>
      <c r="AE380" s="148"/>
      <c r="AF380" s="148"/>
      <c r="AG380" s="148"/>
      <c r="AH380" s="148"/>
      <c r="AI380" s="149"/>
    </row>
    <row r="381" spans="11:35">
      <c r="K381" s="85"/>
      <c r="L381" s="54" t="str">
        <f t="shared" si="43"/>
        <v/>
      </c>
      <c r="M381" s="38" t="str">
        <f t="shared" si="46"/>
        <v>0275</v>
      </c>
      <c r="N381" s="69">
        <f t="shared" si="45"/>
        <v>629</v>
      </c>
      <c r="O381" s="96"/>
      <c r="P381" s="97"/>
      <c r="Q381" s="98"/>
      <c r="R381" s="135"/>
      <c r="U381" s="48" t="str">
        <f t="shared" si="44"/>
        <v/>
      </c>
      <c r="V381" s="16"/>
      <c r="W381" s="34"/>
      <c r="X381" s="35"/>
      <c r="Z381" s="74"/>
      <c r="AA381" s="130" t="str" cm="1">
        <f t="array" ref="AA381">HEX2ASCII(AB381)&amp;HEX2ASCII(AC381)&amp;HEX2ASCII(AD381)&amp;HEX2ASCII(AE381)&amp;HEX2ASCII(AF381)&amp;HEX2ASCII(AG381)&amp;HEX2ASCII(AH381)&amp;HEX2ASCII(AI381)</f>
        <v/>
      </c>
      <c r="AB381" s="147"/>
      <c r="AC381" s="148"/>
      <c r="AD381" s="148"/>
      <c r="AE381" s="148"/>
      <c r="AF381" s="148"/>
      <c r="AG381" s="148"/>
      <c r="AH381" s="148"/>
      <c r="AI381" s="149"/>
    </row>
    <row r="382" spans="11:35">
      <c r="K382" s="85"/>
      <c r="L382" s="54" t="str">
        <f t="shared" si="43"/>
        <v/>
      </c>
      <c r="M382" s="38" t="str">
        <f t="shared" si="46"/>
        <v>0276</v>
      </c>
      <c r="N382" s="69">
        <f t="shared" si="45"/>
        <v>630</v>
      </c>
      <c r="O382" s="96"/>
      <c r="P382" s="97"/>
      <c r="Q382" s="98"/>
      <c r="R382" s="135"/>
      <c r="U382" s="48" t="str">
        <f t="shared" si="44"/>
        <v/>
      </c>
      <c r="V382" s="16"/>
      <c r="W382" s="34"/>
      <c r="X382" s="35"/>
      <c r="Z382" s="74"/>
      <c r="AA382" s="130" t="str" cm="1">
        <f t="array" ref="AA382">HEX2ASCII(AB382)&amp;HEX2ASCII(AC382)&amp;HEX2ASCII(AD382)&amp;HEX2ASCII(AE382)&amp;HEX2ASCII(AF382)&amp;HEX2ASCII(AG382)&amp;HEX2ASCII(AH382)&amp;HEX2ASCII(AI382)</f>
        <v/>
      </c>
      <c r="AB382" s="147"/>
      <c r="AC382" s="148"/>
      <c r="AD382" s="148"/>
      <c r="AE382" s="148"/>
      <c r="AF382" s="148"/>
      <c r="AG382" s="148"/>
      <c r="AH382" s="148"/>
      <c r="AI382" s="149"/>
    </row>
    <row r="383" spans="11:35">
      <c r="K383" s="85"/>
      <c r="L383" s="54" t="str">
        <f t="shared" si="43"/>
        <v/>
      </c>
      <c r="M383" s="38" t="str">
        <f t="shared" si="46"/>
        <v>0277</v>
      </c>
      <c r="N383" s="69">
        <f t="shared" si="45"/>
        <v>631</v>
      </c>
      <c r="O383" s="96"/>
      <c r="P383" s="97"/>
      <c r="Q383" s="98"/>
      <c r="R383" s="135"/>
      <c r="U383" s="48" t="str">
        <f t="shared" si="44"/>
        <v/>
      </c>
      <c r="V383" s="16"/>
      <c r="W383" s="34"/>
      <c r="X383" s="35"/>
      <c r="Z383" s="74"/>
      <c r="AA383" s="130" t="str" cm="1">
        <f t="array" ref="AA383">HEX2ASCII(AB383)&amp;HEX2ASCII(AC383)&amp;HEX2ASCII(AD383)&amp;HEX2ASCII(AE383)&amp;HEX2ASCII(AF383)&amp;HEX2ASCII(AG383)&amp;HEX2ASCII(AH383)&amp;HEX2ASCII(AI383)</f>
        <v/>
      </c>
      <c r="AB383" s="147"/>
      <c r="AC383" s="148"/>
      <c r="AD383" s="148"/>
      <c r="AE383" s="148"/>
      <c r="AF383" s="148"/>
      <c r="AG383" s="148"/>
      <c r="AH383" s="148"/>
      <c r="AI383" s="149"/>
    </row>
    <row r="384" spans="11:35">
      <c r="K384" s="85"/>
      <c r="L384" s="54" t="str">
        <f t="shared" si="43"/>
        <v/>
      </c>
      <c r="M384" s="38" t="str">
        <f t="shared" si="46"/>
        <v>0278</v>
      </c>
      <c r="N384" s="69">
        <f t="shared" si="45"/>
        <v>632</v>
      </c>
      <c r="O384" s="96"/>
      <c r="P384" s="97"/>
      <c r="Q384" s="98"/>
      <c r="R384" s="135"/>
      <c r="U384" s="48" t="str">
        <f t="shared" si="44"/>
        <v/>
      </c>
      <c r="V384" s="16"/>
      <c r="W384" s="34"/>
      <c r="X384" s="35"/>
      <c r="Z384" s="74"/>
      <c r="AA384" s="130" t="str" cm="1">
        <f t="array" ref="AA384">HEX2ASCII(AB384)&amp;HEX2ASCII(AC384)&amp;HEX2ASCII(AD384)&amp;HEX2ASCII(AE384)&amp;HEX2ASCII(AF384)&amp;HEX2ASCII(AG384)&amp;HEX2ASCII(AH384)&amp;HEX2ASCII(AI384)</f>
        <v/>
      </c>
      <c r="AB384" s="147"/>
      <c r="AC384" s="148"/>
      <c r="AD384" s="148"/>
      <c r="AE384" s="148"/>
      <c r="AF384" s="148"/>
      <c r="AG384" s="148"/>
      <c r="AH384" s="148"/>
      <c r="AI384" s="149"/>
    </row>
    <row r="385" spans="11:35">
      <c r="K385" s="85"/>
      <c r="L385" s="54" t="str">
        <f t="shared" si="43"/>
        <v/>
      </c>
      <c r="M385" s="38" t="str">
        <f t="shared" si="46"/>
        <v>0279</v>
      </c>
      <c r="N385" s="69">
        <f t="shared" si="45"/>
        <v>633</v>
      </c>
      <c r="O385" s="96"/>
      <c r="P385" s="97"/>
      <c r="Q385" s="98"/>
      <c r="R385" s="135"/>
      <c r="U385" s="48" t="str">
        <f t="shared" si="44"/>
        <v/>
      </c>
      <c r="V385" s="16"/>
      <c r="W385" s="34"/>
      <c r="X385" s="35"/>
      <c r="Z385" s="74"/>
      <c r="AA385" s="130" t="str" cm="1">
        <f t="array" ref="AA385">HEX2ASCII(AB385)&amp;HEX2ASCII(AC385)&amp;HEX2ASCII(AD385)&amp;HEX2ASCII(AE385)&amp;HEX2ASCII(AF385)&amp;HEX2ASCII(AG385)&amp;HEX2ASCII(AH385)&amp;HEX2ASCII(AI385)</f>
        <v/>
      </c>
      <c r="AB385" s="147"/>
      <c r="AC385" s="148"/>
      <c r="AD385" s="148"/>
      <c r="AE385" s="148"/>
      <c r="AF385" s="148"/>
      <c r="AG385" s="148"/>
      <c r="AH385" s="148"/>
      <c r="AI385" s="149"/>
    </row>
    <row r="386" spans="11:35">
      <c r="K386" s="85"/>
      <c r="L386" s="54" t="str">
        <f t="shared" si="43"/>
        <v/>
      </c>
      <c r="M386" s="38" t="str">
        <f t="shared" si="46"/>
        <v>027A</v>
      </c>
      <c r="N386" s="69">
        <f t="shared" si="45"/>
        <v>634</v>
      </c>
      <c r="O386" s="96"/>
      <c r="P386" s="97"/>
      <c r="Q386" s="98"/>
      <c r="R386" s="135"/>
      <c r="U386" s="48" t="str">
        <f t="shared" si="44"/>
        <v/>
      </c>
      <c r="V386" s="16"/>
      <c r="W386" s="34"/>
      <c r="X386" s="35"/>
      <c r="Z386" s="74"/>
      <c r="AA386" s="130" t="str" cm="1">
        <f t="array" ref="AA386">HEX2ASCII(AB386)&amp;HEX2ASCII(AC386)&amp;HEX2ASCII(AD386)&amp;HEX2ASCII(AE386)&amp;HEX2ASCII(AF386)&amp;HEX2ASCII(AG386)&amp;HEX2ASCII(AH386)&amp;HEX2ASCII(AI386)</f>
        <v/>
      </c>
      <c r="AB386" s="147"/>
      <c r="AC386" s="148"/>
      <c r="AD386" s="148"/>
      <c r="AE386" s="148"/>
      <c r="AF386" s="148"/>
      <c r="AG386" s="148"/>
      <c r="AH386" s="148"/>
      <c r="AI386" s="149"/>
    </row>
    <row r="387" spans="11:35">
      <c r="K387" s="85"/>
      <c r="L387" s="54" t="str">
        <f t="shared" si="43"/>
        <v/>
      </c>
      <c r="M387" s="38" t="str">
        <f t="shared" si="46"/>
        <v>027B</v>
      </c>
      <c r="N387" s="69">
        <f t="shared" si="45"/>
        <v>635</v>
      </c>
      <c r="O387" s="96"/>
      <c r="P387" s="97"/>
      <c r="Q387" s="98"/>
      <c r="R387" s="135"/>
      <c r="U387" s="48" t="str">
        <f t="shared" si="44"/>
        <v/>
      </c>
      <c r="V387" s="16"/>
      <c r="W387" s="34"/>
      <c r="X387" s="35"/>
      <c r="Z387" s="74"/>
      <c r="AA387" s="130" t="str" cm="1">
        <f t="array" ref="AA387">HEX2ASCII(AB387)&amp;HEX2ASCII(AC387)&amp;HEX2ASCII(AD387)&amp;HEX2ASCII(AE387)&amp;HEX2ASCII(AF387)&amp;HEX2ASCII(AG387)&amp;HEX2ASCII(AH387)&amp;HEX2ASCII(AI387)</f>
        <v/>
      </c>
      <c r="AB387" s="147"/>
      <c r="AC387" s="148"/>
      <c r="AD387" s="148"/>
      <c r="AE387" s="148"/>
      <c r="AF387" s="148"/>
      <c r="AG387" s="148"/>
      <c r="AH387" s="148"/>
      <c r="AI387" s="149"/>
    </row>
    <row r="388" spans="11:35">
      <c r="K388" s="85"/>
      <c r="L388" s="54" t="str">
        <f t="shared" si="43"/>
        <v/>
      </c>
      <c r="M388" s="38" t="str">
        <f t="shared" si="46"/>
        <v>027C</v>
      </c>
      <c r="N388" s="69">
        <f t="shared" si="45"/>
        <v>636</v>
      </c>
      <c r="O388" s="96"/>
      <c r="P388" s="97"/>
      <c r="Q388" s="98"/>
      <c r="R388" s="135"/>
      <c r="U388" s="48" t="str">
        <f t="shared" si="44"/>
        <v/>
      </c>
      <c r="V388" s="16"/>
      <c r="W388" s="34"/>
      <c r="X388" s="35"/>
      <c r="Z388" s="74"/>
      <c r="AA388" s="130" t="str" cm="1">
        <f t="array" ref="AA388">HEX2ASCII(AB388)&amp;HEX2ASCII(AC388)&amp;HEX2ASCII(AD388)&amp;HEX2ASCII(AE388)&amp;HEX2ASCII(AF388)&amp;HEX2ASCII(AG388)&amp;HEX2ASCII(AH388)&amp;HEX2ASCII(AI388)</f>
        <v/>
      </c>
      <c r="AB388" s="147"/>
      <c r="AC388" s="148"/>
      <c r="AD388" s="148"/>
      <c r="AE388" s="148"/>
      <c r="AF388" s="148"/>
      <c r="AG388" s="148"/>
      <c r="AH388" s="148"/>
      <c r="AI388" s="149"/>
    </row>
    <row r="389" spans="11:35">
      <c r="K389" s="85"/>
      <c r="L389" s="54" t="str">
        <f t="shared" si="43"/>
        <v/>
      </c>
      <c r="M389" s="38" t="str">
        <f t="shared" si="46"/>
        <v>027D</v>
      </c>
      <c r="N389" s="69">
        <f t="shared" si="45"/>
        <v>637</v>
      </c>
      <c r="O389" s="96"/>
      <c r="P389" s="97"/>
      <c r="Q389" s="98"/>
      <c r="R389" s="135"/>
      <c r="U389" s="48" t="str">
        <f t="shared" si="44"/>
        <v/>
      </c>
      <c r="V389" s="16"/>
      <c r="W389" s="34"/>
      <c r="X389" s="35"/>
      <c r="Z389" s="74"/>
      <c r="AA389" s="130" t="str" cm="1">
        <f t="array" ref="AA389">HEX2ASCII(AB389)&amp;HEX2ASCII(AC389)&amp;HEX2ASCII(AD389)&amp;HEX2ASCII(AE389)&amp;HEX2ASCII(AF389)&amp;HEX2ASCII(AG389)&amp;HEX2ASCII(AH389)&amp;HEX2ASCII(AI389)</f>
        <v/>
      </c>
      <c r="AB389" s="147"/>
      <c r="AC389" s="148"/>
      <c r="AD389" s="148"/>
      <c r="AE389" s="148"/>
      <c r="AF389" s="148"/>
      <c r="AG389" s="148"/>
      <c r="AH389" s="148"/>
      <c r="AI389" s="149"/>
    </row>
    <row r="390" spans="11:35">
      <c r="K390" s="85"/>
      <c r="L390" s="54" t="str">
        <f t="shared" si="43"/>
        <v/>
      </c>
      <c r="M390" s="38" t="str">
        <f t="shared" si="46"/>
        <v>027E</v>
      </c>
      <c r="N390" s="69">
        <f t="shared" si="45"/>
        <v>638</v>
      </c>
      <c r="O390" s="96"/>
      <c r="P390" s="97"/>
      <c r="Q390" s="98"/>
      <c r="R390" s="135"/>
      <c r="U390" s="48" t="str">
        <f t="shared" si="44"/>
        <v/>
      </c>
      <c r="V390" s="16"/>
      <c r="W390" s="34"/>
      <c r="X390" s="35"/>
      <c r="Z390" s="74"/>
      <c r="AA390" s="130" t="str" cm="1">
        <f t="array" ref="AA390">HEX2ASCII(AB390)&amp;HEX2ASCII(AC390)&amp;HEX2ASCII(AD390)&amp;HEX2ASCII(AE390)&amp;HEX2ASCII(AF390)&amp;HEX2ASCII(AG390)&amp;HEX2ASCII(AH390)&amp;HEX2ASCII(AI390)</f>
        <v/>
      </c>
      <c r="AB390" s="147"/>
      <c r="AC390" s="148"/>
      <c r="AD390" s="148"/>
      <c r="AE390" s="148"/>
      <c r="AF390" s="148"/>
      <c r="AG390" s="148"/>
      <c r="AH390" s="148"/>
      <c r="AI390" s="149"/>
    </row>
    <row r="391" spans="11:35">
      <c r="K391" s="85"/>
      <c r="L391" s="54" t="str">
        <f t="shared" si="43"/>
        <v/>
      </c>
      <c r="M391" s="38" t="str">
        <f t="shared" si="46"/>
        <v>027F</v>
      </c>
      <c r="N391" s="69">
        <f t="shared" si="45"/>
        <v>639</v>
      </c>
      <c r="O391" s="96"/>
      <c r="P391" s="97"/>
      <c r="Q391" s="98"/>
      <c r="R391" s="135"/>
      <c r="U391" s="48" t="str">
        <f t="shared" si="44"/>
        <v/>
      </c>
      <c r="V391" s="16"/>
      <c r="W391" s="34"/>
      <c r="X391" s="35"/>
      <c r="Z391" s="74"/>
      <c r="AA391" s="130" t="str" cm="1">
        <f t="array" ref="AA391">HEX2ASCII(AB391)&amp;HEX2ASCII(AC391)&amp;HEX2ASCII(AD391)&amp;HEX2ASCII(AE391)&amp;HEX2ASCII(AF391)&amp;HEX2ASCII(AG391)&amp;HEX2ASCII(AH391)&amp;HEX2ASCII(AI391)</f>
        <v/>
      </c>
      <c r="AB391" s="147"/>
      <c r="AC391" s="148"/>
      <c r="AD391" s="148"/>
      <c r="AE391" s="148"/>
      <c r="AF391" s="148"/>
      <c r="AG391" s="148"/>
      <c r="AH391" s="148"/>
      <c r="AI391" s="149"/>
    </row>
    <row r="392" spans="11:35">
      <c r="K392" s="85"/>
      <c r="L392" s="54" t="str">
        <f t="shared" si="43"/>
        <v/>
      </c>
      <c r="M392" s="38" t="str">
        <f t="shared" si="46"/>
        <v>0280</v>
      </c>
      <c r="N392" s="69">
        <f t="shared" si="45"/>
        <v>640</v>
      </c>
      <c r="O392" s="96"/>
      <c r="P392" s="97"/>
      <c r="Q392" s="98"/>
      <c r="R392" s="135"/>
      <c r="U392" s="48" t="str">
        <f t="shared" si="44"/>
        <v/>
      </c>
      <c r="V392" s="16"/>
      <c r="W392" s="34"/>
      <c r="X392" s="35"/>
      <c r="Z392" s="74"/>
      <c r="AA392" s="130" t="str" cm="1">
        <f t="array" ref="AA392">HEX2ASCII(AB392)&amp;HEX2ASCII(AC392)&amp;HEX2ASCII(AD392)&amp;HEX2ASCII(AE392)&amp;HEX2ASCII(AF392)&amp;HEX2ASCII(AG392)&amp;HEX2ASCII(AH392)&amp;HEX2ASCII(AI392)</f>
        <v/>
      </c>
      <c r="AB392" s="147"/>
      <c r="AC392" s="148"/>
      <c r="AD392" s="148"/>
      <c r="AE392" s="148"/>
      <c r="AF392" s="148"/>
      <c r="AG392" s="148"/>
      <c r="AH392" s="148"/>
      <c r="AI392" s="149"/>
    </row>
    <row r="393" spans="11:35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0281</v>
      </c>
      <c r="N393" s="69">
        <f t="shared" si="45"/>
        <v>641</v>
      </c>
      <c r="O393" s="96"/>
      <c r="P393" s="97"/>
      <c r="Q393" s="98"/>
      <c r="R393" s="135"/>
      <c r="U393" s="48" t="str">
        <f t="shared" ref="U393:U456" si="48">IF(V393&gt;0,RIGHT("0000"&amp;DEC2HEX(V393),4),"")</f>
        <v/>
      </c>
      <c r="V393" s="16"/>
      <c r="W393" s="34"/>
      <c r="X393" s="35"/>
      <c r="Z393" s="74"/>
      <c r="AA393" s="130" t="str" cm="1">
        <f t="array" ref="AA393">HEX2ASCII(AB393)&amp;HEX2ASCII(AC393)&amp;HEX2ASCII(AD393)&amp;HEX2ASCII(AE393)&amp;HEX2ASCII(AF393)&amp;HEX2ASCII(AG393)&amp;HEX2ASCII(AH393)&amp;HEX2ASCII(AI393)</f>
        <v/>
      </c>
      <c r="AB393" s="147"/>
      <c r="AC393" s="148"/>
      <c r="AD393" s="148"/>
      <c r="AE393" s="148"/>
      <c r="AF393" s="148"/>
      <c r="AG393" s="148"/>
      <c r="AH393" s="148"/>
      <c r="AI393" s="149"/>
    </row>
    <row r="394" spans="11:35">
      <c r="K394" s="85"/>
      <c r="L394" s="54" t="str">
        <f t="shared" si="47"/>
        <v/>
      </c>
      <c r="M394" s="38" t="str">
        <f t="shared" si="46"/>
        <v>0282</v>
      </c>
      <c r="N394" s="69">
        <f t="shared" ref="N394:N457" si="49">N393+0*COUNTA(P393:R393)+1</f>
        <v>642</v>
      </c>
      <c r="O394" s="96"/>
      <c r="P394" s="97"/>
      <c r="Q394" s="98"/>
      <c r="R394" s="135"/>
      <c r="U394" s="48" t="str">
        <f t="shared" si="48"/>
        <v/>
      </c>
      <c r="V394" s="16"/>
      <c r="W394" s="34"/>
      <c r="X394" s="35"/>
      <c r="Z394" s="74"/>
      <c r="AA394" s="130" t="str" cm="1">
        <f t="array" ref="AA394">HEX2ASCII(AB394)&amp;HEX2ASCII(AC394)&amp;HEX2ASCII(AD394)&amp;HEX2ASCII(AE394)&amp;HEX2ASCII(AF394)&amp;HEX2ASCII(AG394)&amp;HEX2ASCII(AH394)&amp;HEX2ASCII(AI394)</f>
        <v/>
      </c>
      <c r="AB394" s="147"/>
      <c r="AC394" s="148"/>
      <c r="AD394" s="148"/>
      <c r="AE394" s="148"/>
      <c r="AF394" s="148"/>
      <c r="AG394" s="148"/>
      <c r="AH394" s="148"/>
      <c r="AI394" s="149"/>
    </row>
    <row r="395" spans="11:35">
      <c r="K395" s="85"/>
      <c r="L395" s="54" t="str">
        <f t="shared" si="47"/>
        <v/>
      </c>
      <c r="M395" s="38" t="str">
        <f t="shared" si="46"/>
        <v>0283</v>
      </c>
      <c r="N395" s="69">
        <f t="shared" si="49"/>
        <v>643</v>
      </c>
      <c r="O395" s="96"/>
      <c r="P395" s="97"/>
      <c r="Q395" s="98"/>
      <c r="R395" s="135"/>
      <c r="U395" s="48" t="str">
        <f t="shared" si="48"/>
        <v/>
      </c>
      <c r="V395" s="16"/>
      <c r="W395" s="34"/>
      <c r="X395" s="35"/>
      <c r="Z395" s="74"/>
      <c r="AA395" s="130" t="str" cm="1">
        <f t="array" ref="AA395">HEX2ASCII(AB395)&amp;HEX2ASCII(AC395)&amp;HEX2ASCII(AD395)&amp;HEX2ASCII(AE395)&amp;HEX2ASCII(AF395)&amp;HEX2ASCII(AG395)&amp;HEX2ASCII(AH395)&amp;HEX2ASCII(AI395)</f>
        <v/>
      </c>
      <c r="AB395" s="147"/>
      <c r="AC395" s="148"/>
      <c r="AD395" s="148"/>
      <c r="AE395" s="148"/>
      <c r="AF395" s="148"/>
      <c r="AG395" s="148"/>
      <c r="AH395" s="148"/>
      <c r="AI395" s="149"/>
    </row>
    <row r="396" spans="11:35">
      <c r="K396" s="85"/>
      <c r="L396" s="54" t="str">
        <f t="shared" si="47"/>
        <v/>
      </c>
      <c r="M396" s="38" t="str">
        <f t="shared" si="46"/>
        <v>0284</v>
      </c>
      <c r="N396" s="69">
        <f t="shared" si="49"/>
        <v>644</v>
      </c>
      <c r="O396" s="96"/>
      <c r="P396" s="97"/>
      <c r="Q396" s="98"/>
      <c r="R396" s="135"/>
      <c r="U396" s="48" t="str">
        <f t="shared" si="48"/>
        <v/>
      </c>
      <c r="V396" s="16"/>
      <c r="W396" s="34"/>
      <c r="X396" s="35"/>
      <c r="Z396" s="74"/>
      <c r="AA396" s="130" t="str" cm="1">
        <f t="array" ref="AA396">HEX2ASCII(AB396)&amp;HEX2ASCII(AC396)&amp;HEX2ASCII(AD396)&amp;HEX2ASCII(AE396)&amp;HEX2ASCII(AF396)&amp;HEX2ASCII(AG396)&amp;HEX2ASCII(AH396)&amp;HEX2ASCII(AI396)</f>
        <v/>
      </c>
      <c r="AB396" s="147"/>
      <c r="AC396" s="148"/>
      <c r="AD396" s="148"/>
      <c r="AE396" s="148"/>
      <c r="AF396" s="148"/>
      <c r="AG396" s="148"/>
      <c r="AH396" s="148"/>
      <c r="AI396" s="149"/>
    </row>
    <row r="397" spans="11:35">
      <c r="K397" s="85"/>
      <c r="L397" s="54" t="str">
        <f t="shared" si="47"/>
        <v/>
      </c>
      <c r="M397" s="38" t="str">
        <f t="shared" si="46"/>
        <v>0285</v>
      </c>
      <c r="N397" s="69">
        <f t="shared" si="49"/>
        <v>645</v>
      </c>
      <c r="O397" s="96"/>
      <c r="P397" s="97"/>
      <c r="Q397" s="98"/>
      <c r="R397" s="135"/>
      <c r="U397" s="48" t="str">
        <f t="shared" si="48"/>
        <v/>
      </c>
      <c r="V397" s="16"/>
      <c r="W397" s="34"/>
      <c r="X397" s="35"/>
      <c r="Z397" s="74"/>
      <c r="AA397" s="130" t="str" cm="1">
        <f t="array" ref="AA397">HEX2ASCII(AB397)&amp;HEX2ASCII(AC397)&amp;HEX2ASCII(AD397)&amp;HEX2ASCII(AE397)&amp;HEX2ASCII(AF397)&amp;HEX2ASCII(AG397)&amp;HEX2ASCII(AH397)&amp;HEX2ASCII(AI397)</f>
        <v/>
      </c>
      <c r="AB397" s="147"/>
      <c r="AC397" s="148"/>
      <c r="AD397" s="148"/>
      <c r="AE397" s="148"/>
      <c r="AF397" s="148"/>
      <c r="AG397" s="148"/>
      <c r="AH397" s="148"/>
      <c r="AI397" s="149"/>
    </row>
    <row r="398" spans="11:35">
      <c r="K398" s="85"/>
      <c r="L398" s="54" t="str">
        <f t="shared" si="47"/>
        <v/>
      </c>
      <c r="M398" s="38" t="str">
        <f t="shared" si="46"/>
        <v>0286</v>
      </c>
      <c r="N398" s="69">
        <f t="shared" si="49"/>
        <v>646</v>
      </c>
      <c r="O398" s="96"/>
      <c r="P398" s="97"/>
      <c r="Q398" s="98"/>
      <c r="R398" s="135"/>
      <c r="U398" s="48" t="str">
        <f t="shared" si="48"/>
        <v/>
      </c>
      <c r="V398" s="16"/>
      <c r="W398" s="34"/>
      <c r="X398" s="35"/>
      <c r="Z398" s="74"/>
      <c r="AA398" s="130" t="str" cm="1">
        <f t="array" ref="AA398">HEX2ASCII(AB398)&amp;HEX2ASCII(AC398)&amp;HEX2ASCII(AD398)&amp;HEX2ASCII(AE398)&amp;HEX2ASCII(AF398)&amp;HEX2ASCII(AG398)&amp;HEX2ASCII(AH398)&amp;HEX2ASCII(AI398)</f>
        <v/>
      </c>
      <c r="AB398" s="147"/>
      <c r="AC398" s="148"/>
      <c r="AD398" s="148"/>
      <c r="AE398" s="148"/>
      <c r="AF398" s="148"/>
      <c r="AG398" s="148"/>
      <c r="AH398" s="148"/>
      <c r="AI398" s="149"/>
    </row>
    <row r="399" spans="11:35">
      <c r="K399" s="85"/>
      <c r="L399" s="54" t="str">
        <f t="shared" si="47"/>
        <v/>
      </c>
      <c r="M399" s="38" t="str">
        <f t="shared" si="46"/>
        <v>0287</v>
      </c>
      <c r="N399" s="69">
        <f t="shared" si="49"/>
        <v>647</v>
      </c>
      <c r="O399" s="96"/>
      <c r="P399" s="97"/>
      <c r="Q399" s="98"/>
      <c r="R399" s="135"/>
      <c r="U399" s="48" t="str">
        <f t="shared" si="48"/>
        <v/>
      </c>
      <c r="V399" s="16"/>
      <c r="W399" s="34"/>
      <c r="X399" s="35"/>
      <c r="Z399" s="74"/>
      <c r="AA399" s="130" t="str" cm="1">
        <f t="array" ref="AA399">HEX2ASCII(AB399)&amp;HEX2ASCII(AC399)&amp;HEX2ASCII(AD399)&amp;HEX2ASCII(AE399)&amp;HEX2ASCII(AF399)&amp;HEX2ASCII(AG399)&amp;HEX2ASCII(AH399)&amp;HEX2ASCII(AI399)</f>
        <v/>
      </c>
      <c r="AB399" s="147"/>
      <c r="AC399" s="148"/>
      <c r="AD399" s="148"/>
      <c r="AE399" s="148"/>
      <c r="AF399" s="148"/>
      <c r="AG399" s="148"/>
      <c r="AH399" s="148"/>
      <c r="AI399" s="149"/>
    </row>
    <row r="400" spans="11:35">
      <c r="K400" s="85"/>
      <c r="L400" s="54" t="str">
        <f t="shared" si="47"/>
        <v/>
      </c>
      <c r="M400" s="38" t="str">
        <f t="shared" si="46"/>
        <v>0288</v>
      </c>
      <c r="N400" s="69">
        <f t="shared" si="49"/>
        <v>648</v>
      </c>
      <c r="O400" s="96"/>
      <c r="P400" s="97"/>
      <c r="Q400" s="98"/>
      <c r="R400" s="135"/>
      <c r="U400" s="48" t="str">
        <f t="shared" si="48"/>
        <v/>
      </c>
      <c r="V400" s="16"/>
      <c r="W400" s="34"/>
      <c r="X400" s="35"/>
      <c r="Z400" s="74"/>
      <c r="AA400" s="130" t="str" cm="1">
        <f t="array" ref="AA400">HEX2ASCII(AB400)&amp;HEX2ASCII(AC400)&amp;HEX2ASCII(AD400)&amp;HEX2ASCII(AE400)&amp;HEX2ASCII(AF400)&amp;HEX2ASCII(AG400)&amp;HEX2ASCII(AH400)&amp;HEX2ASCII(AI400)</f>
        <v/>
      </c>
      <c r="AB400" s="147"/>
      <c r="AC400" s="148"/>
      <c r="AD400" s="148"/>
      <c r="AE400" s="148"/>
      <c r="AF400" s="148"/>
      <c r="AG400" s="148"/>
      <c r="AH400" s="148"/>
      <c r="AI400" s="149"/>
    </row>
    <row r="401" spans="11:35">
      <c r="K401" s="85"/>
      <c r="L401" s="54" t="str">
        <f t="shared" si="47"/>
        <v/>
      </c>
      <c r="M401" s="38" t="str">
        <f t="shared" si="46"/>
        <v>0289</v>
      </c>
      <c r="N401" s="69">
        <f t="shared" si="49"/>
        <v>649</v>
      </c>
      <c r="O401" s="96"/>
      <c r="P401" s="97"/>
      <c r="Q401" s="98"/>
      <c r="R401" s="135"/>
      <c r="U401" s="48" t="str">
        <f t="shared" si="48"/>
        <v/>
      </c>
      <c r="V401" s="16"/>
      <c r="W401" s="34"/>
      <c r="X401" s="35"/>
      <c r="Z401" s="74"/>
      <c r="AA401" s="130" t="str" cm="1">
        <f t="array" ref="AA401">HEX2ASCII(AB401)&amp;HEX2ASCII(AC401)&amp;HEX2ASCII(AD401)&amp;HEX2ASCII(AE401)&amp;HEX2ASCII(AF401)&amp;HEX2ASCII(AG401)&amp;HEX2ASCII(AH401)&amp;HEX2ASCII(AI401)</f>
        <v/>
      </c>
      <c r="AB401" s="147"/>
      <c r="AC401" s="148"/>
      <c r="AD401" s="148"/>
      <c r="AE401" s="148"/>
      <c r="AF401" s="148"/>
      <c r="AG401" s="148"/>
      <c r="AH401" s="148"/>
      <c r="AI401" s="149"/>
    </row>
    <row r="402" spans="11:35">
      <c r="K402" s="85"/>
      <c r="L402" s="54" t="str">
        <f t="shared" si="47"/>
        <v/>
      </c>
      <c r="M402" s="38" t="str">
        <f t="shared" si="46"/>
        <v>028A</v>
      </c>
      <c r="N402" s="69">
        <f t="shared" si="49"/>
        <v>650</v>
      </c>
      <c r="O402" s="96"/>
      <c r="P402" s="97"/>
      <c r="Q402" s="98"/>
      <c r="R402" s="135"/>
      <c r="U402" s="48" t="str">
        <f t="shared" si="48"/>
        <v/>
      </c>
      <c r="V402" s="16"/>
      <c r="W402" s="34"/>
      <c r="X402" s="35"/>
      <c r="Z402" s="74"/>
      <c r="AA402" s="130" t="str" cm="1">
        <f t="array" ref="AA402">HEX2ASCII(AB402)&amp;HEX2ASCII(AC402)&amp;HEX2ASCII(AD402)&amp;HEX2ASCII(AE402)&amp;HEX2ASCII(AF402)&amp;HEX2ASCII(AG402)&amp;HEX2ASCII(AH402)&amp;HEX2ASCII(AI402)</f>
        <v/>
      </c>
      <c r="AB402" s="147"/>
      <c r="AC402" s="148"/>
      <c r="AD402" s="148"/>
      <c r="AE402" s="148"/>
      <c r="AF402" s="148"/>
      <c r="AG402" s="148"/>
      <c r="AH402" s="148"/>
      <c r="AI402" s="149"/>
    </row>
    <row r="403" spans="11:35">
      <c r="K403" s="85"/>
      <c r="L403" s="54" t="str">
        <f t="shared" si="47"/>
        <v/>
      </c>
      <c r="M403" s="38" t="str">
        <f t="shared" si="46"/>
        <v>028B</v>
      </c>
      <c r="N403" s="69">
        <f t="shared" si="49"/>
        <v>651</v>
      </c>
      <c r="O403" s="96"/>
      <c r="P403" s="97"/>
      <c r="Q403" s="98"/>
      <c r="R403" s="135"/>
      <c r="U403" s="48" t="str">
        <f t="shared" si="48"/>
        <v/>
      </c>
      <c r="V403" s="16"/>
      <c r="W403" s="34"/>
      <c r="X403" s="35"/>
      <c r="Z403" s="74"/>
      <c r="AA403" s="130" t="str" cm="1">
        <f t="array" ref="AA403">HEX2ASCII(AB403)&amp;HEX2ASCII(AC403)&amp;HEX2ASCII(AD403)&amp;HEX2ASCII(AE403)&amp;HEX2ASCII(AF403)&amp;HEX2ASCII(AG403)&amp;HEX2ASCII(AH403)&amp;HEX2ASCII(AI403)</f>
        <v/>
      </c>
      <c r="AB403" s="147"/>
      <c r="AC403" s="148"/>
      <c r="AD403" s="148"/>
      <c r="AE403" s="148"/>
      <c r="AF403" s="148"/>
      <c r="AG403" s="148"/>
      <c r="AH403" s="148"/>
      <c r="AI403" s="149"/>
    </row>
    <row r="404" spans="11:35">
      <c r="K404" s="85"/>
      <c r="L404" s="54" t="str">
        <f t="shared" si="47"/>
        <v/>
      </c>
      <c r="M404" s="38" t="str">
        <f t="shared" si="46"/>
        <v>028C</v>
      </c>
      <c r="N404" s="69">
        <f t="shared" si="49"/>
        <v>652</v>
      </c>
      <c r="O404" s="96"/>
      <c r="P404" s="97"/>
      <c r="Q404" s="98"/>
      <c r="R404" s="135"/>
      <c r="U404" s="48" t="str">
        <f t="shared" si="48"/>
        <v/>
      </c>
      <c r="V404" s="16"/>
      <c r="W404" s="34"/>
      <c r="X404" s="35"/>
      <c r="Z404" s="74"/>
      <c r="AA404" s="130" t="str" cm="1">
        <f t="array" ref="AA404">HEX2ASCII(AB404)&amp;HEX2ASCII(AC404)&amp;HEX2ASCII(AD404)&amp;HEX2ASCII(AE404)&amp;HEX2ASCII(AF404)&amp;HEX2ASCII(AG404)&amp;HEX2ASCII(AH404)&amp;HEX2ASCII(AI404)</f>
        <v/>
      </c>
      <c r="AB404" s="147"/>
      <c r="AC404" s="148"/>
      <c r="AD404" s="148"/>
      <c r="AE404" s="148"/>
      <c r="AF404" s="148"/>
      <c r="AG404" s="148"/>
      <c r="AH404" s="148"/>
      <c r="AI404" s="149"/>
    </row>
    <row r="405" spans="11:35">
      <c r="K405" s="85"/>
      <c r="L405" s="54" t="str">
        <f t="shared" si="47"/>
        <v/>
      </c>
      <c r="M405" s="38" t="str">
        <f t="shared" si="46"/>
        <v>028D</v>
      </c>
      <c r="N405" s="69">
        <f t="shared" si="49"/>
        <v>653</v>
      </c>
      <c r="O405" s="96"/>
      <c r="P405" s="97"/>
      <c r="Q405" s="98"/>
      <c r="R405" s="135"/>
      <c r="U405" s="48" t="str">
        <f t="shared" si="48"/>
        <v/>
      </c>
      <c r="V405" s="16"/>
      <c r="W405" s="34"/>
      <c r="X405" s="35"/>
      <c r="Z405" s="74"/>
      <c r="AA405" s="130" t="str" cm="1">
        <f t="array" ref="AA405">HEX2ASCII(AB405)&amp;HEX2ASCII(AC405)&amp;HEX2ASCII(AD405)&amp;HEX2ASCII(AE405)&amp;HEX2ASCII(AF405)&amp;HEX2ASCII(AG405)&amp;HEX2ASCII(AH405)&amp;HEX2ASCII(AI405)</f>
        <v/>
      </c>
      <c r="AB405" s="147"/>
      <c r="AC405" s="148"/>
      <c r="AD405" s="148"/>
      <c r="AE405" s="148"/>
      <c r="AF405" s="148"/>
      <c r="AG405" s="148"/>
      <c r="AH405" s="148"/>
      <c r="AI405" s="149"/>
    </row>
    <row r="406" spans="11:35">
      <c r="K406" s="85"/>
      <c r="L406" s="54" t="str">
        <f t="shared" si="47"/>
        <v/>
      </c>
      <c r="M406" s="38" t="str">
        <f t="shared" si="46"/>
        <v>028E</v>
      </c>
      <c r="N406" s="69">
        <f t="shared" si="49"/>
        <v>654</v>
      </c>
      <c r="O406" s="96"/>
      <c r="P406" s="97"/>
      <c r="Q406" s="98"/>
      <c r="R406" s="135"/>
      <c r="U406" s="48" t="str">
        <f t="shared" si="48"/>
        <v/>
      </c>
      <c r="V406" s="16"/>
      <c r="W406" s="34"/>
      <c r="X406" s="35"/>
      <c r="Z406" s="74"/>
      <c r="AA406" s="130" t="str" cm="1">
        <f t="array" ref="AA406">HEX2ASCII(AB406)&amp;HEX2ASCII(AC406)&amp;HEX2ASCII(AD406)&amp;HEX2ASCII(AE406)&amp;HEX2ASCII(AF406)&amp;HEX2ASCII(AG406)&amp;HEX2ASCII(AH406)&amp;HEX2ASCII(AI406)</f>
        <v/>
      </c>
      <c r="AB406" s="147"/>
      <c r="AC406" s="148"/>
      <c r="AD406" s="148"/>
      <c r="AE406" s="148"/>
      <c r="AF406" s="148"/>
      <c r="AG406" s="148"/>
      <c r="AH406" s="148"/>
      <c r="AI406" s="149"/>
    </row>
    <row r="407" spans="11:35">
      <c r="K407" s="85"/>
      <c r="L407" s="54" t="str">
        <f t="shared" si="47"/>
        <v/>
      </c>
      <c r="M407" s="38" t="str">
        <f t="shared" si="46"/>
        <v>028F</v>
      </c>
      <c r="N407" s="69">
        <f t="shared" si="49"/>
        <v>655</v>
      </c>
      <c r="O407" s="96"/>
      <c r="P407" s="97"/>
      <c r="Q407" s="98"/>
      <c r="R407" s="135"/>
      <c r="U407" s="48" t="str">
        <f t="shared" si="48"/>
        <v/>
      </c>
      <c r="V407" s="16"/>
      <c r="W407" s="34"/>
      <c r="X407" s="35"/>
      <c r="Z407" s="74"/>
      <c r="AA407" s="130" t="str" cm="1">
        <f t="array" ref="AA407">HEX2ASCII(AB407)&amp;HEX2ASCII(AC407)&amp;HEX2ASCII(AD407)&amp;HEX2ASCII(AE407)&amp;HEX2ASCII(AF407)&amp;HEX2ASCII(AG407)&amp;HEX2ASCII(AH407)&amp;HEX2ASCII(AI407)</f>
        <v/>
      </c>
      <c r="AB407" s="147"/>
      <c r="AC407" s="148"/>
      <c r="AD407" s="148"/>
      <c r="AE407" s="148"/>
      <c r="AF407" s="148"/>
      <c r="AG407" s="148"/>
      <c r="AH407" s="148"/>
      <c r="AI407" s="149"/>
    </row>
    <row r="408" spans="11:35">
      <c r="K408" s="85"/>
      <c r="L408" s="54" t="str">
        <f t="shared" si="47"/>
        <v/>
      </c>
      <c r="M408" s="38" t="str">
        <f t="shared" si="46"/>
        <v>0290</v>
      </c>
      <c r="N408" s="69">
        <f t="shared" si="49"/>
        <v>656</v>
      </c>
      <c r="O408" s="96"/>
      <c r="P408" s="97"/>
      <c r="Q408" s="98"/>
      <c r="R408" s="135"/>
      <c r="U408" s="48" t="str">
        <f t="shared" si="48"/>
        <v/>
      </c>
      <c r="V408" s="16"/>
      <c r="W408" s="34"/>
      <c r="X408" s="35"/>
      <c r="Z408" s="74"/>
      <c r="AA408" s="130" t="str" cm="1">
        <f t="array" ref="AA408">HEX2ASCII(AB408)&amp;HEX2ASCII(AC408)&amp;HEX2ASCII(AD408)&amp;HEX2ASCII(AE408)&amp;HEX2ASCII(AF408)&amp;HEX2ASCII(AG408)&amp;HEX2ASCII(AH408)&amp;HEX2ASCII(AI408)</f>
        <v/>
      </c>
      <c r="AB408" s="147"/>
      <c r="AC408" s="148"/>
      <c r="AD408" s="148"/>
      <c r="AE408" s="148"/>
      <c r="AF408" s="148"/>
      <c r="AG408" s="148"/>
      <c r="AH408" s="148"/>
      <c r="AI408" s="149"/>
    </row>
    <row r="409" spans="11:35">
      <c r="K409" s="85"/>
      <c r="L409" s="54" t="str">
        <f t="shared" si="47"/>
        <v/>
      </c>
      <c r="M409" s="38" t="str">
        <f t="shared" si="46"/>
        <v>0291</v>
      </c>
      <c r="N409" s="69">
        <f t="shared" si="49"/>
        <v>657</v>
      </c>
      <c r="O409" s="96"/>
      <c r="P409" s="97"/>
      <c r="Q409" s="98"/>
      <c r="R409" s="135"/>
      <c r="U409" s="48" t="str">
        <f t="shared" si="48"/>
        <v/>
      </c>
      <c r="V409" s="16"/>
      <c r="W409" s="34"/>
      <c r="X409" s="35"/>
      <c r="Z409" s="74"/>
      <c r="AA409" s="130" t="str" cm="1">
        <f t="array" ref="AA409">HEX2ASCII(AB409)&amp;HEX2ASCII(AC409)&amp;HEX2ASCII(AD409)&amp;HEX2ASCII(AE409)&amp;HEX2ASCII(AF409)&amp;HEX2ASCII(AG409)&amp;HEX2ASCII(AH409)&amp;HEX2ASCII(AI409)</f>
        <v/>
      </c>
      <c r="AB409" s="147"/>
      <c r="AC409" s="148"/>
      <c r="AD409" s="148"/>
      <c r="AE409" s="148"/>
      <c r="AF409" s="148"/>
      <c r="AG409" s="148"/>
      <c r="AH409" s="148"/>
      <c r="AI409" s="149"/>
    </row>
    <row r="410" spans="11:35">
      <c r="K410" s="85"/>
      <c r="L410" s="54" t="str">
        <f t="shared" si="47"/>
        <v/>
      </c>
      <c r="M410" s="38" t="str">
        <f t="shared" si="46"/>
        <v>0292</v>
      </c>
      <c r="N410" s="69">
        <f t="shared" si="49"/>
        <v>658</v>
      </c>
      <c r="O410" s="96"/>
      <c r="P410" s="97"/>
      <c r="Q410" s="98"/>
      <c r="R410" s="135"/>
      <c r="U410" s="48" t="str">
        <f t="shared" si="48"/>
        <v/>
      </c>
      <c r="V410" s="16"/>
      <c r="W410" s="34"/>
      <c r="X410" s="35"/>
      <c r="Z410" s="74"/>
      <c r="AA410" s="130" t="str" cm="1">
        <f t="array" ref="AA410">HEX2ASCII(AB410)&amp;HEX2ASCII(AC410)&amp;HEX2ASCII(AD410)&amp;HEX2ASCII(AE410)&amp;HEX2ASCII(AF410)&amp;HEX2ASCII(AG410)&amp;HEX2ASCII(AH410)&amp;HEX2ASCII(AI410)</f>
        <v/>
      </c>
      <c r="AB410" s="147"/>
      <c r="AC410" s="148"/>
      <c r="AD410" s="148"/>
      <c r="AE410" s="148"/>
      <c r="AF410" s="148"/>
      <c r="AG410" s="148"/>
      <c r="AH410" s="148"/>
      <c r="AI410" s="149"/>
    </row>
    <row r="411" spans="11:35">
      <c r="K411" s="85"/>
      <c r="L411" s="54" t="str">
        <f t="shared" si="47"/>
        <v/>
      </c>
      <c r="M411" s="38" t="str">
        <f t="shared" si="46"/>
        <v>0293</v>
      </c>
      <c r="N411" s="69">
        <f t="shared" si="49"/>
        <v>659</v>
      </c>
      <c r="O411" s="96"/>
      <c r="P411" s="97"/>
      <c r="Q411" s="98"/>
      <c r="R411" s="135"/>
      <c r="U411" s="48" t="str">
        <f t="shared" si="48"/>
        <v/>
      </c>
      <c r="V411" s="16"/>
      <c r="W411" s="34"/>
      <c r="X411" s="35"/>
      <c r="Z411" s="74"/>
      <c r="AA411" s="130" t="str" cm="1">
        <f t="array" ref="AA411">HEX2ASCII(AB411)&amp;HEX2ASCII(AC411)&amp;HEX2ASCII(AD411)&amp;HEX2ASCII(AE411)&amp;HEX2ASCII(AF411)&amp;HEX2ASCII(AG411)&amp;HEX2ASCII(AH411)&amp;HEX2ASCII(AI411)</f>
        <v/>
      </c>
      <c r="AB411" s="147"/>
      <c r="AC411" s="148"/>
      <c r="AD411" s="148"/>
      <c r="AE411" s="148"/>
      <c r="AF411" s="148"/>
      <c r="AG411" s="148"/>
      <c r="AH411" s="148"/>
      <c r="AI411" s="149"/>
    </row>
    <row r="412" spans="11:35">
      <c r="K412" s="85"/>
      <c r="L412" s="54" t="str">
        <f t="shared" si="47"/>
        <v/>
      </c>
      <c r="M412" s="38" t="str">
        <f t="shared" si="46"/>
        <v>0294</v>
      </c>
      <c r="N412" s="69">
        <f t="shared" si="49"/>
        <v>660</v>
      </c>
      <c r="O412" s="96"/>
      <c r="P412" s="97"/>
      <c r="Q412" s="98"/>
      <c r="R412" s="135"/>
      <c r="U412" s="48" t="str">
        <f t="shared" si="48"/>
        <v/>
      </c>
      <c r="V412" s="16"/>
      <c r="W412" s="34"/>
      <c r="X412" s="35"/>
      <c r="Z412" s="74"/>
      <c r="AA412" s="130" t="str" cm="1">
        <f t="array" ref="AA412">HEX2ASCII(AB412)&amp;HEX2ASCII(AC412)&amp;HEX2ASCII(AD412)&amp;HEX2ASCII(AE412)&amp;HEX2ASCII(AF412)&amp;HEX2ASCII(AG412)&amp;HEX2ASCII(AH412)&amp;HEX2ASCII(AI412)</f>
        <v/>
      </c>
      <c r="AB412" s="147"/>
      <c r="AC412" s="148"/>
      <c r="AD412" s="148"/>
      <c r="AE412" s="148"/>
      <c r="AF412" s="148"/>
      <c r="AG412" s="148"/>
      <c r="AH412" s="148"/>
      <c r="AI412" s="149"/>
    </row>
    <row r="413" spans="11:35">
      <c r="K413" s="85"/>
      <c r="L413" s="54" t="str">
        <f t="shared" si="47"/>
        <v/>
      </c>
      <c r="M413" s="38" t="str">
        <f t="shared" ref="M413:M476" si="50">IFERROR(RIGHT("0000"&amp;DEC2HEX(N413),4),"")</f>
        <v>0295</v>
      </c>
      <c r="N413" s="69">
        <f t="shared" si="49"/>
        <v>661</v>
      </c>
      <c r="O413" s="96"/>
      <c r="P413" s="97"/>
      <c r="Q413" s="98"/>
      <c r="R413" s="135"/>
      <c r="U413" s="48" t="str">
        <f t="shared" si="48"/>
        <v/>
      </c>
      <c r="V413" s="16"/>
      <c r="W413" s="34"/>
      <c r="X413" s="35"/>
      <c r="Z413" s="74"/>
      <c r="AA413" s="130" t="str" cm="1">
        <f t="array" ref="AA413">HEX2ASCII(AB413)&amp;HEX2ASCII(AC413)&amp;HEX2ASCII(AD413)&amp;HEX2ASCII(AE413)&amp;HEX2ASCII(AF413)&amp;HEX2ASCII(AG413)&amp;HEX2ASCII(AH413)&amp;HEX2ASCII(AI413)</f>
        <v/>
      </c>
      <c r="AB413" s="147"/>
      <c r="AC413" s="148"/>
      <c r="AD413" s="148"/>
      <c r="AE413" s="148"/>
      <c r="AF413" s="148"/>
      <c r="AG413" s="148"/>
      <c r="AH413" s="148"/>
      <c r="AI413" s="149"/>
    </row>
    <row r="414" spans="11:35">
      <c r="K414" s="85"/>
      <c r="L414" s="54" t="str">
        <f t="shared" si="47"/>
        <v/>
      </c>
      <c r="M414" s="38" t="str">
        <f t="shared" si="50"/>
        <v>0296</v>
      </c>
      <c r="N414" s="69">
        <f t="shared" si="49"/>
        <v>662</v>
      </c>
      <c r="O414" s="96"/>
      <c r="P414" s="97"/>
      <c r="Q414" s="98"/>
      <c r="R414" s="135"/>
      <c r="U414" s="48" t="str">
        <f t="shared" si="48"/>
        <v/>
      </c>
      <c r="V414" s="16"/>
      <c r="W414" s="34"/>
      <c r="X414" s="35"/>
      <c r="Z414" s="74"/>
      <c r="AA414" s="130" t="str" cm="1">
        <f t="array" ref="AA414">HEX2ASCII(AB414)&amp;HEX2ASCII(AC414)&amp;HEX2ASCII(AD414)&amp;HEX2ASCII(AE414)&amp;HEX2ASCII(AF414)&amp;HEX2ASCII(AG414)&amp;HEX2ASCII(AH414)&amp;HEX2ASCII(AI414)</f>
        <v/>
      </c>
      <c r="AB414" s="147"/>
      <c r="AC414" s="148"/>
      <c r="AD414" s="148"/>
      <c r="AE414" s="148"/>
      <c r="AF414" s="148"/>
      <c r="AG414" s="148"/>
      <c r="AH414" s="148"/>
      <c r="AI414" s="149"/>
    </row>
    <row r="415" spans="11:35">
      <c r="K415" s="85"/>
      <c r="L415" s="54" t="str">
        <f t="shared" si="47"/>
        <v/>
      </c>
      <c r="M415" s="38" t="str">
        <f t="shared" si="50"/>
        <v>0297</v>
      </c>
      <c r="N415" s="69">
        <f t="shared" si="49"/>
        <v>663</v>
      </c>
      <c r="O415" s="96"/>
      <c r="P415" s="97"/>
      <c r="Q415" s="98"/>
      <c r="R415" s="135"/>
      <c r="U415" s="48" t="str">
        <f t="shared" si="48"/>
        <v/>
      </c>
      <c r="V415" s="16"/>
      <c r="W415" s="34"/>
      <c r="X415" s="35"/>
      <c r="Z415" s="74"/>
      <c r="AA415" s="130" t="str" cm="1">
        <f t="array" ref="AA415">HEX2ASCII(AB415)&amp;HEX2ASCII(AC415)&amp;HEX2ASCII(AD415)&amp;HEX2ASCII(AE415)&amp;HEX2ASCII(AF415)&amp;HEX2ASCII(AG415)&amp;HEX2ASCII(AH415)&amp;HEX2ASCII(AI415)</f>
        <v/>
      </c>
      <c r="AB415" s="147"/>
      <c r="AC415" s="148"/>
      <c r="AD415" s="148"/>
      <c r="AE415" s="148"/>
      <c r="AF415" s="148"/>
      <c r="AG415" s="148"/>
      <c r="AH415" s="148"/>
      <c r="AI415" s="149"/>
    </row>
    <row r="416" spans="11:35">
      <c r="K416" s="85"/>
      <c r="L416" s="54" t="str">
        <f t="shared" si="47"/>
        <v/>
      </c>
      <c r="M416" s="38" t="str">
        <f t="shared" si="50"/>
        <v>0298</v>
      </c>
      <c r="N416" s="69">
        <f t="shared" si="49"/>
        <v>664</v>
      </c>
      <c r="O416" s="96"/>
      <c r="P416" s="97"/>
      <c r="Q416" s="98"/>
      <c r="R416" s="135"/>
      <c r="U416" s="48" t="str">
        <f t="shared" si="48"/>
        <v/>
      </c>
      <c r="V416" s="16"/>
      <c r="W416" s="34"/>
      <c r="X416" s="35"/>
      <c r="Z416" s="74"/>
      <c r="AA416" s="130" t="str" cm="1">
        <f t="array" ref="AA416">HEX2ASCII(AB416)&amp;HEX2ASCII(AC416)&amp;HEX2ASCII(AD416)&amp;HEX2ASCII(AE416)&amp;HEX2ASCII(AF416)&amp;HEX2ASCII(AG416)&amp;HEX2ASCII(AH416)&amp;HEX2ASCII(AI416)</f>
        <v/>
      </c>
      <c r="AB416" s="147"/>
      <c r="AC416" s="148"/>
      <c r="AD416" s="148"/>
      <c r="AE416" s="148"/>
      <c r="AF416" s="148"/>
      <c r="AG416" s="148"/>
      <c r="AH416" s="148"/>
      <c r="AI416" s="149"/>
    </row>
    <row r="417" spans="11:35">
      <c r="K417" s="85"/>
      <c r="L417" s="54" t="str">
        <f t="shared" si="47"/>
        <v/>
      </c>
      <c r="M417" s="38" t="str">
        <f t="shared" si="50"/>
        <v>0299</v>
      </c>
      <c r="N417" s="69">
        <f t="shared" si="49"/>
        <v>665</v>
      </c>
      <c r="O417" s="96"/>
      <c r="P417" s="97"/>
      <c r="Q417" s="98"/>
      <c r="R417" s="135"/>
      <c r="U417" s="48" t="str">
        <f t="shared" si="48"/>
        <v/>
      </c>
      <c r="V417" s="16"/>
      <c r="W417" s="34"/>
      <c r="X417" s="35"/>
      <c r="Z417" s="74"/>
      <c r="AA417" s="130" t="str" cm="1">
        <f t="array" ref="AA417">HEX2ASCII(AB417)&amp;HEX2ASCII(AC417)&amp;HEX2ASCII(AD417)&amp;HEX2ASCII(AE417)&amp;HEX2ASCII(AF417)&amp;HEX2ASCII(AG417)&amp;HEX2ASCII(AH417)&amp;HEX2ASCII(AI417)</f>
        <v/>
      </c>
      <c r="AB417" s="147"/>
      <c r="AC417" s="148"/>
      <c r="AD417" s="148"/>
      <c r="AE417" s="148"/>
      <c r="AF417" s="148"/>
      <c r="AG417" s="148"/>
      <c r="AH417" s="148"/>
      <c r="AI417" s="149"/>
    </row>
    <row r="418" spans="11:35">
      <c r="K418" s="85"/>
      <c r="L418" s="54" t="str">
        <f t="shared" si="47"/>
        <v/>
      </c>
      <c r="M418" s="38" t="str">
        <f t="shared" si="50"/>
        <v>029A</v>
      </c>
      <c r="N418" s="69">
        <f t="shared" si="49"/>
        <v>666</v>
      </c>
      <c r="O418" s="96"/>
      <c r="P418" s="97"/>
      <c r="Q418" s="98"/>
      <c r="R418" s="135"/>
      <c r="U418" s="48" t="str">
        <f t="shared" si="48"/>
        <v/>
      </c>
      <c r="V418" s="16"/>
      <c r="W418" s="34"/>
      <c r="X418" s="35"/>
      <c r="Z418" s="74"/>
      <c r="AA418" s="130" t="str" cm="1">
        <f t="array" ref="AA418">HEX2ASCII(AB418)&amp;HEX2ASCII(AC418)&amp;HEX2ASCII(AD418)&amp;HEX2ASCII(AE418)&amp;HEX2ASCII(AF418)&amp;HEX2ASCII(AG418)&amp;HEX2ASCII(AH418)&amp;HEX2ASCII(AI418)</f>
        <v/>
      </c>
      <c r="AB418" s="147"/>
      <c r="AC418" s="148"/>
      <c r="AD418" s="148"/>
      <c r="AE418" s="148"/>
      <c r="AF418" s="148"/>
      <c r="AG418" s="148"/>
      <c r="AH418" s="148"/>
      <c r="AI418" s="149"/>
    </row>
    <row r="419" spans="11:35">
      <c r="K419" s="85"/>
      <c r="L419" s="54" t="str">
        <f t="shared" si="47"/>
        <v/>
      </c>
      <c r="M419" s="38" t="str">
        <f t="shared" si="50"/>
        <v>029B</v>
      </c>
      <c r="N419" s="69">
        <f t="shared" si="49"/>
        <v>667</v>
      </c>
      <c r="O419" s="96"/>
      <c r="P419" s="97"/>
      <c r="Q419" s="98"/>
      <c r="R419" s="135"/>
      <c r="U419" s="48" t="str">
        <f t="shared" si="48"/>
        <v/>
      </c>
      <c r="V419" s="16"/>
      <c r="W419" s="34"/>
      <c r="X419" s="35"/>
      <c r="Z419" s="74"/>
      <c r="AA419" s="130" t="str" cm="1">
        <f t="array" ref="AA419">HEX2ASCII(AB419)&amp;HEX2ASCII(AC419)&amp;HEX2ASCII(AD419)&amp;HEX2ASCII(AE419)&amp;HEX2ASCII(AF419)&amp;HEX2ASCII(AG419)&amp;HEX2ASCII(AH419)&amp;HEX2ASCII(AI419)</f>
        <v/>
      </c>
      <c r="AB419" s="147"/>
      <c r="AC419" s="148"/>
      <c r="AD419" s="148"/>
      <c r="AE419" s="148"/>
      <c r="AF419" s="148"/>
      <c r="AG419" s="148"/>
      <c r="AH419" s="148"/>
      <c r="AI419" s="149"/>
    </row>
    <row r="420" spans="11:35">
      <c r="K420" s="85"/>
      <c r="L420" s="54" t="str">
        <f t="shared" si="47"/>
        <v/>
      </c>
      <c r="M420" s="38" t="str">
        <f t="shared" si="50"/>
        <v>029C</v>
      </c>
      <c r="N420" s="69">
        <f t="shared" si="49"/>
        <v>668</v>
      </c>
      <c r="O420" s="96"/>
      <c r="P420" s="97"/>
      <c r="Q420" s="98"/>
      <c r="R420" s="135"/>
      <c r="U420" s="48" t="str">
        <f t="shared" si="48"/>
        <v/>
      </c>
      <c r="V420" s="16"/>
      <c r="W420" s="34"/>
      <c r="X420" s="35"/>
      <c r="Z420" s="74"/>
      <c r="AA420" s="130" t="str" cm="1">
        <f t="array" ref="AA420">HEX2ASCII(AB420)&amp;HEX2ASCII(AC420)&amp;HEX2ASCII(AD420)&amp;HEX2ASCII(AE420)&amp;HEX2ASCII(AF420)&amp;HEX2ASCII(AG420)&amp;HEX2ASCII(AH420)&amp;HEX2ASCII(AI420)</f>
        <v/>
      </c>
      <c r="AB420" s="147"/>
      <c r="AC420" s="148"/>
      <c r="AD420" s="148"/>
      <c r="AE420" s="148"/>
      <c r="AF420" s="148"/>
      <c r="AG420" s="148"/>
      <c r="AH420" s="148"/>
      <c r="AI420" s="149"/>
    </row>
    <row r="421" spans="11:35">
      <c r="K421" s="85"/>
      <c r="L421" s="54" t="str">
        <f t="shared" si="47"/>
        <v/>
      </c>
      <c r="M421" s="38" t="str">
        <f t="shared" si="50"/>
        <v>029D</v>
      </c>
      <c r="N421" s="69">
        <f t="shared" si="49"/>
        <v>669</v>
      </c>
      <c r="O421" s="96"/>
      <c r="P421" s="97"/>
      <c r="Q421" s="98"/>
      <c r="R421" s="135"/>
      <c r="U421" s="48" t="str">
        <f t="shared" si="48"/>
        <v/>
      </c>
      <c r="V421" s="16"/>
      <c r="W421" s="34"/>
      <c r="X421" s="35"/>
      <c r="Z421" s="74"/>
      <c r="AA421" s="130" t="str" cm="1">
        <f t="array" ref="AA421">HEX2ASCII(AB421)&amp;HEX2ASCII(AC421)&amp;HEX2ASCII(AD421)&amp;HEX2ASCII(AE421)&amp;HEX2ASCII(AF421)&amp;HEX2ASCII(AG421)&amp;HEX2ASCII(AH421)&amp;HEX2ASCII(AI421)</f>
        <v/>
      </c>
      <c r="AB421" s="147"/>
      <c r="AC421" s="148"/>
      <c r="AD421" s="148"/>
      <c r="AE421" s="148"/>
      <c r="AF421" s="148"/>
      <c r="AG421" s="148"/>
      <c r="AH421" s="148"/>
      <c r="AI421" s="149"/>
    </row>
    <row r="422" spans="11:35">
      <c r="K422" s="85"/>
      <c r="L422" s="54" t="str">
        <f t="shared" si="47"/>
        <v/>
      </c>
      <c r="M422" s="38" t="str">
        <f t="shared" si="50"/>
        <v>029E</v>
      </c>
      <c r="N422" s="69">
        <f t="shared" si="49"/>
        <v>670</v>
      </c>
      <c r="O422" s="96"/>
      <c r="P422" s="97"/>
      <c r="Q422" s="98"/>
      <c r="R422" s="135"/>
      <c r="U422" s="48" t="str">
        <f t="shared" si="48"/>
        <v/>
      </c>
      <c r="V422" s="16"/>
      <c r="W422" s="34"/>
      <c r="X422" s="35"/>
      <c r="Z422" s="74"/>
      <c r="AA422" s="130" t="str" cm="1">
        <f t="array" ref="AA422">HEX2ASCII(AB422)&amp;HEX2ASCII(AC422)&amp;HEX2ASCII(AD422)&amp;HEX2ASCII(AE422)&amp;HEX2ASCII(AF422)&amp;HEX2ASCII(AG422)&amp;HEX2ASCII(AH422)&amp;HEX2ASCII(AI422)</f>
        <v/>
      </c>
      <c r="AB422" s="147"/>
      <c r="AC422" s="148"/>
      <c r="AD422" s="148"/>
      <c r="AE422" s="148"/>
      <c r="AF422" s="148"/>
      <c r="AG422" s="148"/>
      <c r="AH422" s="148"/>
      <c r="AI422" s="149"/>
    </row>
    <row r="423" spans="11:35">
      <c r="K423" s="85"/>
      <c r="L423" s="54" t="str">
        <f t="shared" si="47"/>
        <v/>
      </c>
      <c r="M423" s="38" t="str">
        <f t="shared" si="50"/>
        <v>029F</v>
      </c>
      <c r="N423" s="69">
        <f t="shared" si="49"/>
        <v>671</v>
      </c>
      <c r="O423" s="96"/>
      <c r="P423" s="97"/>
      <c r="Q423" s="98"/>
      <c r="R423" s="135"/>
      <c r="U423" s="48" t="str">
        <f t="shared" si="48"/>
        <v/>
      </c>
      <c r="V423" s="16"/>
      <c r="W423" s="34"/>
      <c r="X423" s="35"/>
      <c r="Z423" s="74"/>
      <c r="AA423" s="130" t="str" cm="1">
        <f t="array" ref="AA423">HEX2ASCII(AB423)&amp;HEX2ASCII(AC423)&amp;HEX2ASCII(AD423)&amp;HEX2ASCII(AE423)&amp;HEX2ASCII(AF423)&amp;HEX2ASCII(AG423)&amp;HEX2ASCII(AH423)&amp;HEX2ASCII(AI423)</f>
        <v/>
      </c>
      <c r="AB423" s="147"/>
      <c r="AC423" s="148"/>
      <c r="AD423" s="148"/>
      <c r="AE423" s="148"/>
      <c r="AF423" s="148"/>
      <c r="AG423" s="148"/>
      <c r="AH423" s="148"/>
      <c r="AI423" s="149"/>
    </row>
    <row r="424" spans="11:35">
      <c r="K424" s="85"/>
      <c r="L424" s="54" t="str">
        <f t="shared" si="47"/>
        <v/>
      </c>
      <c r="M424" s="38" t="str">
        <f t="shared" si="50"/>
        <v>02A0</v>
      </c>
      <c r="N424" s="69">
        <f t="shared" si="49"/>
        <v>672</v>
      </c>
      <c r="O424" s="96"/>
      <c r="P424" s="97"/>
      <c r="Q424" s="98"/>
      <c r="R424" s="135"/>
      <c r="U424" s="48" t="str">
        <f t="shared" si="48"/>
        <v/>
      </c>
      <c r="V424" s="16"/>
      <c r="W424" s="34"/>
      <c r="X424" s="35"/>
      <c r="Z424" s="74"/>
      <c r="AA424" s="130" t="str" cm="1">
        <f t="array" ref="AA424">HEX2ASCII(AB424)&amp;HEX2ASCII(AC424)&amp;HEX2ASCII(AD424)&amp;HEX2ASCII(AE424)&amp;HEX2ASCII(AF424)&amp;HEX2ASCII(AG424)&amp;HEX2ASCII(AH424)&amp;HEX2ASCII(AI424)</f>
        <v/>
      </c>
      <c r="AB424" s="147"/>
      <c r="AC424" s="148"/>
      <c r="AD424" s="148"/>
      <c r="AE424" s="148"/>
      <c r="AF424" s="148"/>
      <c r="AG424" s="148"/>
      <c r="AH424" s="148"/>
      <c r="AI424" s="149"/>
    </row>
    <row r="425" spans="11:35">
      <c r="K425" s="85"/>
      <c r="L425" s="54" t="str">
        <f t="shared" si="47"/>
        <v/>
      </c>
      <c r="M425" s="38" t="str">
        <f t="shared" si="50"/>
        <v>02A1</v>
      </c>
      <c r="N425" s="69">
        <f t="shared" si="49"/>
        <v>673</v>
      </c>
      <c r="O425" s="96"/>
      <c r="P425" s="97"/>
      <c r="Q425" s="98"/>
      <c r="R425" s="135"/>
      <c r="U425" s="48" t="str">
        <f t="shared" si="48"/>
        <v/>
      </c>
      <c r="V425" s="16"/>
      <c r="W425" s="34"/>
      <c r="X425" s="35"/>
      <c r="Z425" s="74"/>
      <c r="AA425" s="130" t="str" cm="1">
        <f t="array" ref="AA425">HEX2ASCII(AB425)&amp;HEX2ASCII(AC425)&amp;HEX2ASCII(AD425)&amp;HEX2ASCII(AE425)&amp;HEX2ASCII(AF425)&amp;HEX2ASCII(AG425)&amp;HEX2ASCII(AH425)&amp;HEX2ASCII(AI425)</f>
        <v/>
      </c>
      <c r="AB425" s="147"/>
      <c r="AC425" s="148"/>
      <c r="AD425" s="148"/>
      <c r="AE425" s="148"/>
      <c r="AF425" s="148"/>
      <c r="AG425" s="148"/>
      <c r="AH425" s="148"/>
      <c r="AI425" s="149"/>
    </row>
    <row r="426" spans="11:35">
      <c r="K426" s="85"/>
      <c r="L426" s="54" t="str">
        <f t="shared" si="47"/>
        <v/>
      </c>
      <c r="M426" s="38" t="str">
        <f t="shared" si="50"/>
        <v>02A2</v>
      </c>
      <c r="N426" s="69">
        <f t="shared" si="49"/>
        <v>674</v>
      </c>
      <c r="O426" s="96"/>
      <c r="P426" s="97"/>
      <c r="Q426" s="98"/>
      <c r="R426" s="135"/>
      <c r="U426" s="48" t="str">
        <f t="shared" si="48"/>
        <v/>
      </c>
      <c r="V426" s="16"/>
      <c r="W426" s="34"/>
      <c r="X426" s="35"/>
      <c r="Z426" s="74"/>
      <c r="AA426" s="130" t="str" cm="1">
        <f t="array" ref="AA426">HEX2ASCII(AB426)&amp;HEX2ASCII(AC426)&amp;HEX2ASCII(AD426)&amp;HEX2ASCII(AE426)&amp;HEX2ASCII(AF426)&amp;HEX2ASCII(AG426)&amp;HEX2ASCII(AH426)&amp;HEX2ASCII(AI426)</f>
        <v/>
      </c>
      <c r="AB426" s="147"/>
      <c r="AC426" s="148"/>
      <c r="AD426" s="148"/>
      <c r="AE426" s="148"/>
      <c r="AF426" s="148"/>
      <c r="AG426" s="148"/>
      <c r="AH426" s="148"/>
      <c r="AI426" s="149"/>
    </row>
    <row r="427" spans="11:35">
      <c r="K427" s="85"/>
      <c r="L427" s="54" t="str">
        <f t="shared" si="47"/>
        <v/>
      </c>
      <c r="M427" s="38" t="str">
        <f t="shared" si="50"/>
        <v>02A3</v>
      </c>
      <c r="N427" s="69">
        <f t="shared" si="49"/>
        <v>675</v>
      </c>
      <c r="O427" s="96"/>
      <c r="P427" s="97"/>
      <c r="Q427" s="98"/>
      <c r="R427" s="135"/>
      <c r="U427" s="48" t="str">
        <f t="shared" si="48"/>
        <v/>
      </c>
      <c r="V427" s="16"/>
      <c r="W427" s="34"/>
      <c r="X427" s="35"/>
      <c r="Z427" s="74"/>
      <c r="AA427" s="130" t="str" cm="1">
        <f t="array" ref="AA427">HEX2ASCII(AB427)&amp;HEX2ASCII(AC427)&amp;HEX2ASCII(AD427)&amp;HEX2ASCII(AE427)&amp;HEX2ASCII(AF427)&amp;HEX2ASCII(AG427)&amp;HEX2ASCII(AH427)&amp;HEX2ASCII(AI427)</f>
        <v/>
      </c>
      <c r="AB427" s="147"/>
      <c r="AC427" s="148"/>
      <c r="AD427" s="148"/>
      <c r="AE427" s="148"/>
      <c r="AF427" s="148"/>
      <c r="AG427" s="148"/>
      <c r="AH427" s="148"/>
      <c r="AI427" s="149"/>
    </row>
    <row r="428" spans="11:35">
      <c r="K428" s="85"/>
      <c r="L428" s="54" t="str">
        <f t="shared" si="47"/>
        <v/>
      </c>
      <c r="M428" s="38" t="str">
        <f t="shared" si="50"/>
        <v>02A4</v>
      </c>
      <c r="N428" s="69">
        <f t="shared" si="49"/>
        <v>676</v>
      </c>
      <c r="O428" s="96"/>
      <c r="P428" s="97"/>
      <c r="Q428" s="98"/>
      <c r="R428" s="135"/>
      <c r="U428" s="48" t="str">
        <f t="shared" si="48"/>
        <v/>
      </c>
      <c r="V428" s="16"/>
      <c r="W428" s="34"/>
      <c r="X428" s="35"/>
      <c r="Z428" s="74"/>
      <c r="AA428" s="130" t="str" cm="1">
        <f t="array" ref="AA428">HEX2ASCII(AB428)&amp;HEX2ASCII(AC428)&amp;HEX2ASCII(AD428)&amp;HEX2ASCII(AE428)&amp;HEX2ASCII(AF428)&amp;HEX2ASCII(AG428)&amp;HEX2ASCII(AH428)&amp;HEX2ASCII(AI428)</f>
        <v/>
      </c>
      <c r="AB428" s="147"/>
      <c r="AC428" s="148"/>
      <c r="AD428" s="148"/>
      <c r="AE428" s="148"/>
      <c r="AF428" s="148"/>
      <c r="AG428" s="148"/>
      <c r="AH428" s="148"/>
      <c r="AI428" s="149"/>
    </row>
    <row r="429" spans="11:35">
      <c r="K429" s="85"/>
      <c r="L429" s="54" t="str">
        <f t="shared" si="47"/>
        <v/>
      </c>
      <c r="M429" s="38" t="str">
        <f t="shared" si="50"/>
        <v>02A5</v>
      </c>
      <c r="N429" s="69">
        <f t="shared" si="49"/>
        <v>677</v>
      </c>
      <c r="O429" s="96"/>
      <c r="P429" s="97"/>
      <c r="Q429" s="98"/>
      <c r="R429" s="135"/>
      <c r="U429" s="48" t="str">
        <f t="shared" si="48"/>
        <v/>
      </c>
      <c r="V429" s="16"/>
      <c r="W429" s="34"/>
      <c r="X429" s="35"/>
      <c r="Z429" s="74"/>
      <c r="AA429" s="130" t="str" cm="1">
        <f t="array" ref="AA429">HEX2ASCII(AB429)&amp;HEX2ASCII(AC429)&amp;HEX2ASCII(AD429)&amp;HEX2ASCII(AE429)&amp;HEX2ASCII(AF429)&amp;HEX2ASCII(AG429)&amp;HEX2ASCII(AH429)&amp;HEX2ASCII(AI429)</f>
        <v/>
      </c>
      <c r="AB429" s="147"/>
      <c r="AC429" s="148"/>
      <c r="AD429" s="148"/>
      <c r="AE429" s="148"/>
      <c r="AF429" s="148"/>
      <c r="AG429" s="148"/>
      <c r="AH429" s="148"/>
      <c r="AI429" s="149"/>
    </row>
    <row r="430" spans="11:35">
      <c r="K430" s="85"/>
      <c r="L430" s="54" t="str">
        <f t="shared" si="47"/>
        <v/>
      </c>
      <c r="M430" s="38" t="str">
        <f t="shared" si="50"/>
        <v>02A6</v>
      </c>
      <c r="N430" s="69">
        <f t="shared" si="49"/>
        <v>678</v>
      </c>
      <c r="O430" s="96"/>
      <c r="P430" s="97"/>
      <c r="Q430" s="98"/>
      <c r="R430" s="135"/>
      <c r="U430" s="48" t="str">
        <f t="shared" si="48"/>
        <v/>
      </c>
      <c r="V430" s="16"/>
      <c r="W430" s="34"/>
      <c r="X430" s="35"/>
      <c r="Z430" s="74"/>
      <c r="AA430" s="130" t="str" cm="1">
        <f t="array" ref="AA430">HEX2ASCII(AB430)&amp;HEX2ASCII(AC430)&amp;HEX2ASCII(AD430)&amp;HEX2ASCII(AE430)&amp;HEX2ASCII(AF430)&amp;HEX2ASCII(AG430)&amp;HEX2ASCII(AH430)&amp;HEX2ASCII(AI430)</f>
        <v/>
      </c>
      <c r="AB430" s="147"/>
      <c r="AC430" s="148"/>
      <c r="AD430" s="148"/>
      <c r="AE430" s="148"/>
      <c r="AF430" s="148"/>
      <c r="AG430" s="148"/>
      <c r="AH430" s="148"/>
      <c r="AI430" s="149"/>
    </row>
    <row r="431" spans="11:35">
      <c r="K431" s="85"/>
      <c r="L431" s="54" t="str">
        <f t="shared" si="47"/>
        <v/>
      </c>
      <c r="M431" s="38" t="str">
        <f t="shared" si="50"/>
        <v>02A7</v>
      </c>
      <c r="N431" s="69">
        <f t="shared" si="49"/>
        <v>679</v>
      </c>
      <c r="O431" s="96"/>
      <c r="P431" s="97"/>
      <c r="Q431" s="98"/>
      <c r="R431" s="135"/>
      <c r="U431" s="48" t="str">
        <f t="shared" si="48"/>
        <v/>
      </c>
      <c r="V431" s="16"/>
      <c r="W431" s="34"/>
      <c r="X431" s="35"/>
      <c r="Z431" s="74"/>
      <c r="AA431" s="130" t="str" cm="1">
        <f t="array" ref="AA431">HEX2ASCII(AB431)&amp;HEX2ASCII(AC431)&amp;HEX2ASCII(AD431)&amp;HEX2ASCII(AE431)&amp;HEX2ASCII(AF431)&amp;HEX2ASCII(AG431)&amp;HEX2ASCII(AH431)&amp;HEX2ASCII(AI431)</f>
        <v/>
      </c>
      <c r="AB431" s="147"/>
      <c r="AC431" s="148"/>
      <c r="AD431" s="148"/>
      <c r="AE431" s="148"/>
      <c r="AF431" s="148"/>
      <c r="AG431" s="148"/>
      <c r="AH431" s="148"/>
      <c r="AI431" s="149"/>
    </row>
    <row r="432" spans="11:35">
      <c r="K432" s="85"/>
      <c r="L432" s="54" t="str">
        <f t="shared" si="47"/>
        <v/>
      </c>
      <c r="M432" s="38" t="str">
        <f t="shared" si="50"/>
        <v>02A8</v>
      </c>
      <c r="N432" s="69">
        <f t="shared" si="49"/>
        <v>680</v>
      </c>
      <c r="O432" s="96"/>
      <c r="P432" s="97"/>
      <c r="Q432" s="98"/>
      <c r="R432" s="135"/>
      <c r="U432" s="48" t="str">
        <f t="shared" si="48"/>
        <v/>
      </c>
      <c r="V432" s="16"/>
      <c r="W432" s="34"/>
      <c r="X432" s="35"/>
      <c r="Z432" s="74"/>
      <c r="AA432" s="130" t="str" cm="1">
        <f t="array" ref="AA432">HEX2ASCII(AB432)&amp;HEX2ASCII(AC432)&amp;HEX2ASCII(AD432)&amp;HEX2ASCII(AE432)&amp;HEX2ASCII(AF432)&amp;HEX2ASCII(AG432)&amp;HEX2ASCII(AH432)&amp;HEX2ASCII(AI432)</f>
        <v/>
      </c>
      <c r="AB432" s="147"/>
      <c r="AC432" s="148"/>
      <c r="AD432" s="148"/>
      <c r="AE432" s="148"/>
      <c r="AF432" s="148"/>
      <c r="AG432" s="148"/>
      <c r="AH432" s="148"/>
      <c r="AI432" s="149"/>
    </row>
    <row r="433" spans="11:35">
      <c r="K433" s="85"/>
      <c r="L433" s="54" t="str">
        <f t="shared" si="47"/>
        <v/>
      </c>
      <c r="M433" s="38" t="str">
        <f t="shared" si="50"/>
        <v>02A9</v>
      </c>
      <c r="N433" s="69">
        <f t="shared" si="49"/>
        <v>681</v>
      </c>
      <c r="O433" s="96"/>
      <c r="P433" s="97"/>
      <c r="Q433" s="98"/>
      <c r="R433" s="135"/>
      <c r="U433" s="48" t="str">
        <f t="shared" si="48"/>
        <v/>
      </c>
      <c r="V433" s="16"/>
      <c r="W433" s="34"/>
      <c r="X433" s="35"/>
      <c r="Z433" s="74"/>
      <c r="AA433" s="130" t="str" cm="1">
        <f t="array" ref="AA433">HEX2ASCII(AB433)&amp;HEX2ASCII(AC433)&amp;HEX2ASCII(AD433)&amp;HEX2ASCII(AE433)&amp;HEX2ASCII(AF433)&amp;HEX2ASCII(AG433)&amp;HEX2ASCII(AH433)&amp;HEX2ASCII(AI433)</f>
        <v/>
      </c>
      <c r="AB433" s="147"/>
      <c r="AC433" s="148"/>
      <c r="AD433" s="148"/>
      <c r="AE433" s="148"/>
      <c r="AF433" s="148"/>
      <c r="AG433" s="148"/>
      <c r="AH433" s="148"/>
      <c r="AI433" s="149"/>
    </row>
    <row r="434" spans="11:35">
      <c r="K434" s="85"/>
      <c r="L434" s="54" t="str">
        <f t="shared" si="47"/>
        <v/>
      </c>
      <c r="M434" s="38" t="str">
        <f t="shared" si="50"/>
        <v>02AA</v>
      </c>
      <c r="N434" s="69">
        <f t="shared" si="49"/>
        <v>682</v>
      </c>
      <c r="O434" s="96"/>
      <c r="P434" s="97"/>
      <c r="Q434" s="98"/>
      <c r="R434" s="135"/>
      <c r="U434" s="48" t="str">
        <f t="shared" si="48"/>
        <v/>
      </c>
      <c r="V434" s="16"/>
      <c r="W434" s="34"/>
      <c r="X434" s="35"/>
      <c r="Z434" s="74"/>
      <c r="AA434" s="130" t="str" cm="1">
        <f t="array" ref="AA434">HEX2ASCII(AB434)&amp;HEX2ASCII(AC434)&amp;HEX2ASCII(AD434)&amp;HEX2ASCII(AE434)&amp;HEX2ASCII(AF434)&amp;HEX2ASCII(AG434)&amp;HEX2ASCII(AH434)&amp;HEX2ASCII(AI434)</f>
        <v/>
      </c>
      <c r="AB434" s="147"/>
      <c r="AC434" s="148"/>
      <c r="AD434" s="148"/>
      <c r="AE434" s="148"/>
      <c r="AF434" s="148"/>
      <c r="AG434" s="148"/>
      <c r="AH434" s="148"/>
      <c r="AI434" s="149"/>
    </row>
    <row r="435" spans="11:35">
      <c r="K435" s="85"/>
      <c r="L435" s="54" t="str">
        <f t="shared" si="47"/>
        <v/>
      </c>
      <c r="M435" s="38" t="str">
        <f t="shared" si="50"/>
        <v>02AB</v>
      </c>
      <c r="N435" s="69">
        <f t="shared" si="49"/>
        <v>683</v>
      </c>
      <c r="O435" s="96"/>
      <c r="P435" s="97"/>
      <c r="Q435" s="98"/>
      <c r="R435" s="135"/>
      <c r="U435" s="48" t="str">
        <f t="shared" si="48"/>
        <v/>
      </c>
      <c r="V435" s="16"/>
      <c r="W435" s="34"/>
      <c r="X435" s="35"/>
      <c r="Z435" s="74"/>
      <c r="AA435" s="130" t="str" cm="1">
        <f t="array" ref="AA435">HEX2ASCII(AB435)&amp;HEX2ASCII(AC435)&amp;HEX2ASCII(AD435)&amp;HEX2ASCII(AE435)&amp;HEX2ASCII(AF435)&amp;HEX2ASCII(AG435)&amp;HEX2ASCII(AH435)&amp;HEX2ASCII(AI435)</f>
        <v/>
      </c>
      <c r="AB435" s="147"/>
      <c r="AC435" s="148"/>
      <c r="AD435" s="148"/>
      <c r="AE435" s="148"/>
      <c r="AF435" s="148"/>
      <c r="AG435" s="148"/>
      <c r="AH435" s="148"/>
      <c r="AI435" s="149"/>
    </row>
    <row r="436" spans="11:35">
      <c r="K436" s="85"/>
      <c r="L436" s="54" t="str">
        <f t="shared" si="47"/>
        <v/>
      </c>
      <c r="M436" s="38" t="str">
        <f t="shared" si="50"/>
        <v>02AC</v>
      </c>
      <c r="N436" s="69">
        <f t="shared" si="49"/>
        <v>684</v>
      </c>
      <c r="O436" s="96"/>
      <c r="P436" s="97"/>
      <c r="Q436" s="98"/>
      <c r="R436" s="135"/>
      <c r="U436" s="48" t="str">
        <f t="shared" si="48"/>
        <v/>
      </c>
      <c r="V436" s="16"/>
      <c r="W436" s="34"/>
      <c r="X436" s="35"/>
      <c r="Z436" s="74"/>
      <c r="AA436" s="130" t="str" cm="1">
        <f t="array" ref="AA436">HEX2ASCII(AB436)&amp;HEX2ASCII(AC436)&amp;HEX2ASCII(AD436)&amp;HEX2ASCII(AE436)&amp;HEX2ASCII(AF436)&amp;HEX2ASCII(AG436)&amp;HEX2ASCII(AH436)&amp;HEX2ASCII(AI436)</f>
        <v/>
      </c>
      <c r="AB436" s="147"/>
      <c r="AC436" s="148"/>
      <c r="AD436" s="148"/>
      <c r="AE436" s="148"/>
      <c r="AF436" s="148"/>
      <c r="AG436" s="148"/>
      <c r="AH436" s="148"/>
      <c r="AI436" s="149"/>
    </row>
    <row r="437" spans="11:35">
      <c r="K437" s="85"/>
      <c r="L437" s="54" t="str">
        <f t="shared" si="47"/>
        <v/>
      </c>
      <c r="M437" s="38" t="str">
        <f t="shared" si="50"/>
        <v>02AD</v>
      </c>
      <c r="N437" s="69">
        <f t="shared" si="49"/>
        <v>685</v>
      </c>
      <c r="O437" s="96"/>
      <c r="P437" s="97"/>
      <c r="Q437" s="98"/>
      <c r="R437" s="135"/>
      <c r="U437" s="48" t="str">
        <f t="shared" si="48"/>
        <v/>
      </c>
      <c r="V437" s="16"/>
      <c r="W437" s="34"/>
      <c r="X437" s="35"/>
      <c r="Z437" s="74"/>
      <c r="AA437" s="130" t="str" cm="1">
        <f t="array" ref="AA437">HEX2ASCII(AB437)&amp;HEX2ASCII(AC437)&amp;HEX2ASCII(AD437)&amp;HEX2ASCII(AE437)&amp;HEX2ASCII(AF437)&amp;HEX2ASCII(AG437)&amp;HEX2ASCII(AH437)&amp;HEX2ASCII(AI437)</f>
        <v/>
      </c>
      <c r="AB437" s="147"/>
      <c r="AC437" s="148"/>
      <c r="AD437" s="148"/>
      <c r="AE437" s="148"/>
      <c r="AF437" s="148"/>
      <c r="AG437" s="148"/>
      <c r="AH437" s="148"/>
      <c r="AI437" s="149"/>
    </row>
    <row r="438" spans="11:35">
      <c r="K438" s="85"/>
      <c r="L438" s="54" t="str">
        <f t="shared" si="47"/>
        <v/>
      </c>
      <c r="M438" s="38" t="str">
        <f t="shared" si="50"/>
        <v>02AE</v>
      </c>
      <c r="N438" s="69">
        <f t="shared" si="49"/>
        <v>686</v>
      </c>
      <c r="O438" s="96"/>
      <c r="P438" s="97"/>
      <c r="Q438" s="98"/>
      <c r="R438" s="135"/>
      <c r="U438" s="48" t="str">
        <f t="shared" si="48"/>
        <v/>
      </c>
      <c r="V438" s="16"/>
      <c r="W438" s="34"/>
      <c r="X438" s="35"/>
      <c r="Z438" s="74"/>
      <c r="AA438" s="130" t="str" cm="1">
        <f t="array" ref="AA438">HEX2ASCII(AB438)&amp;HEX2ASCII(AC438)&amp;HEX2ASCII(AD438)&amp;HEX2ASCII(AE438)&amp;HEX2ASCII(AF438)&amp;HEX2ASCII(AG438)&amp;HEX2ASCII(AH438)&amp;HEX2ASCII(AI438)</f>
        <v/>
      </c>
      <c r="AB438" s="147"/>
      <c r="AC438" s="148"/>
      <c r="AD438" s="148"/>
      <c r="AE438" s="148"/>
      <c r="AF438" s="148"/>
      <c r="AG438" s="148"/>
      <c r="AH438" s="148"/>
      <c r="AI438" s="149"/>
    </row>
    <row r="439" spans="11:35">
      <c r="K439" s="85"/>
      <c r="L439" s="54" t="str">
        <f t="shared" si="47"/>
        <v/>
      </c>
      <c r="M439" s="38" t="str">
        <f t="shared" si="50"/>
        <v>02AF</v>
      </c>
      <c r="N439" s="69">
        <f t="shared" si="49"/>
        <v>687</v>
      </c>
      <c r="O439" s="96"/>
      <c r="P439" s="97"/>
      <c r="Q439" s="98"/>
      <c r="R439" s="135"/>
      <c r="U439" s="48" t="str">
        <f t="shared" si="48"/>
        <v/>
      </c>
      <c r="V439" s="16"/>
      <c r="W439" s="34"/>
      <c r="X439" s="35"/>
      <c r="Z439" s="74"/>
      <c r="AA439" s="130" t="str" cm="1">
        <f t="array" ref="AA439">HEX2ASCII(AB439)&amp;HEX2ASCII(AC439)&amp;HEX2ASCII(AD439)&amp;HEX2ASCII(AE439)&amp;HEX2ASCII(AF439)&amp;HEX2ASCII(AG439)&amp;HEX2ASCII(AH439)&amp;HEX2ASCII(AI439)</f>
        <v/>
      </c>
      <c r="AB439" s="147"/>
      <c r="AC439" s="148"/>
      <c r="AD439" s="148"/>
      <c r="AE439" s="148"/>
      <c r="AF439" s="148"/>
      <c r="AG439" s="148"/>
      <c r="AH439" s="148"/>
      <c r="AI439" s="149"/>
    </row>
    <row r="440" spans="11:35">
      <c r="K440" s="85"/>
      <c r="L440" s="54" t="str">
        <f t="shared" si="47"/>
        <v/>
      </c>
      <c r="M440" s="38" t="str">
        <f t="shared" si="50"/>
        <v>02B0</v>
      </c>
      <c r="N440" s="69">
        <f t="shared" si="49"/>
        <v>688</v>
      </c>
      <c r="O440" s="96"/>
      <c r="P440" s="97"/>
      <c r="Q440" s="98"/>
      <c r="R440" s="135"/>
      <c r="U440" s="48" t="str">
        <f t="shared" si="48"/>
        <v/>
      </c>
      <c r="V440" s="16"/>
      <c r="W440" s="34"/>
      <c r="X440" s="35"/>
      <c r="Z440" s="74"/>
      <c r="AA440" s="130" t="str" cm="1">
        <f t="array" ref="AA440">HEX2ASCII(AB440)&amp;HEX2ASCII(AC440)&amp;HEX2ASCII(AD440)&amp;HEX2ASCII(AE440)&amp;HEX2ASCII(AF440)&amp;HEX2ASCII(AG440)&amp;HEX2ASCII(AH440)&amp;HEX2ASCII(AI440)</f>
        <v/>
      </c>
      <c r="AB440" s="147"/>
      <c r="AC440" s="148"/>
      <c r="AD440" s="148"/>
      <c r="AE440" s="148"/>
      <c r="AF440" s="148"/>
      <c r="AG440" s="148"/>
      <c r="AH440" s="148"/>
      <c r="AI440" s="149"/>
    </row>
    <row r="441" spans="11:35">
      <c r="K441" s="85"/>
      <c r="L441" s="54" t="str">
        <f t="shared" si="47"/>
        <v/>
      </c>
      <c r="M441" s="38" t="str">
        <f t="shared" si="50"/>
        <v>02B1</v>
      </c>
      <c r="N441" s="69">
        <f t="shared" si="49"/>
        <v>689</v>
      </c>
      <c r="O441" s="96"/>
      <c r="P441" s="97"/>
      <c r="Q441" s="98"/>
      <c r="R441" s="135"/>
      <c r="U441" s="48" t="str">
        <f t="shared" si="48"/>
        <v/>
      </c>
      <c r="V441" s="16"/>
      <c r="W441" s="34"/>
      <c r="X441" s="35"/>
      <c r="Z441" s="74"/>
      <c r="AA441" s="130" t="str" cm="1">
        <f t="array" ref="AA441">HEX2ASCII(AB441)&amp;HEX2ASCII(AC441)&amp;HEX2ASCII(AD441)&amp;HEX2ASCII(AE441)&amp;HEX2ASCII(AF441)&amp;HEX2ASCII(AG441)&amp;HEX2ASCII(AH441)&amp;HEX2ASCII(AI441)</f>
        <v/>
      </c>
      <c r="AB441" s="147"/>
      <c r="AC441" s="148"/>
      <c r="AD441" s="148"/>
      <c r="AE441" s="148"/>
      <c r="AF441" s="148"/>
      <c r="AG441" s="148"/>
      <c r="AH441" s="148"/>
      <c r="AI441" s="149"/>
    </row>
    <row r="442" spans="11:35">
      <c r="K442" s="85"/>
      <c r="L442" s="54" t="str">
        <f t="shared" si="47"/>
        <v/>
      </c>
      <c r="M442" s="38" t="str">
        <f t="shared" si="50"/>
        <v>02B2</v>
      </c>
      <c r="N442" s="69">
        <f t="shared" si="49"/>
        <v>690</v>
      </c>
      <c r="O442" s="96"/>
      <c r="P442" s="97"/>
      <c r="Q442" s="98"/>
      <c r="R442" s="135"/>
      <c r="U442" s="48" t="str">
        <f t="shared" si="48"/>
        <v/>
      </c>
      <c r="V442" s="16"/>
      <c r="W442" s="34"/>
      <c r="X442" s="35"/>
      <c r="Z442" s="74"/>
      <c r="AA442" s="130" t="str" cm="1">
        <f t="array" ref="AA442">HEX2ASCII(AB442)&amp;HEX2ASCII(AC442)&amp;HEX2ASCII(AD442)&amp;HEX2ASCII(AE442)&amp;HEX2ASCII(AF442)&amp;HEX2ASCII(AG442)&amp;HEX2ASCII(AH442)&amp;HEX2ASCII(AI442)</f>
        <v/>
      </c>
      <c r="AB442" s="147"/>
      <c r="AC442" s="148"/>
      <c r="AD442" s="148"/>
      <c r="AE442" s="148"/>
      <c r="AF442" s="148"/>
      <c r="AG442" s="148"/>
      <c r="AH442" s="148"/>
      <c r="AI442" s="149"/>
    </row>
    <row r="443" spans="11:35">
      <c r="K443" s="85"/>
      <c r="L443" s="54" t="str">
        <f t="shared" si="47"/>
        <v/>
      </c>
      <c r="M443" s="38" t="str">
        <f t="shared" si="50"/>
        <v>02B3</v>
      </c>
      <c r="N443" s="69">
        <f t="shared" si="49"/>
        <v>691</v>
      </c>
      <c r="O443" s="96"/>
      <c r="P443" s="97"/>
      <c r="Q443" s="98"/>
      <c r="R443" s="135"/>
      <c r="U443" s="48" t="str">
        <f t="shared" si="48"/>
        <v/>
      </c>
      <c r="V443" s="16"/>
      <c r="W443" s="34"/>
      <c r="X443" s="35"/>
      <c r="Z443" s="74"/>
      <c r="AA443" s="130" t="str" cm="1">
        <f t="array" ref="AA443">HEX2ASCII(AB443)&amp;HEX2ASCII(AC443)&amp;HEX2ASCII(AD443)&amp;HEX2ASCII(AE443)&amp;HEX2ASCII(AF443)&amp;HEX2ASCII(AG443)&amp;HEX2ASCII(AH443)&amp;HEX2ASCII(AI443)</f>
        <v/>
      </c>
      <c r="AB443" s="147"/>
      <c r="AC443" s="148"/>
      <c r="AD443" s="148"/>
      <c r="AE443" s="148"/>
      <c r="AF443" s="148"/>
      <c r="AG443" s="148"/>
      <c r="AH443" s="148"/>
      <c r="AI443" s="149"/>
    </row>
    <row r="444" spans="11:35">
      <c r="K444" s="85"/>
      <c r="L444" s="54" t="str">
        <f t="shared" si="47"/>
        <v/>
      </c>
      <c r="M444" s="38" t="str">
        <f t="shared" si="50"/>
        <v>02B4</v>
      </c>
      <c r="N444" s="69">
        <f t="shared" si="49"/>
        <v>692</v>
      </c>
      <c r="O444" s="96"/>
      <c r="P444" s="97"/>
      <c r="Q444" s="98"/>
      <c r="R444" s="135"/>
      <c r="U444" s="48" t="str">
        <f t="shared" si="48"/>
        <v/>
      </c>
      <c r="V444" s="16"/>
      <c r="W444" s="34"/>
      <c r="X444" s="35"/>
      <c r="Z444" s="74"/>
      <c r="AA444" s="130" t="str" cm="1">
        <f t="array" ref="AA444">HEX2ASCII(AB444)&amp;HEX2ASCII(AC444)&amp;HEX2ASCII(AD444)&amp;HEX2ASCII(AE444)&amp;HEX2ASCII(AF444)&amp;HEX2ASCII(AG444)&amp;HEX2ASCII(AH444)&amp;HEX2ASCII(AI444)</f>
        <v/>
      </c>
      <c r="AB444" s="147"/>
      <c r="AC444" s="148"/>
      <c r="AD444" s="148"/>
      <c r="AE444" s="148"/>
      <c r="AF444" s="148"/>
      <c r="AG444" s="148"/>
      <c r="AH444" s="148"/>
      <c r="AI444" s="149"/>
    </row>
    <row r="445" spans="11:35">
      <c r="K445" s="85"/>
      <c r="L445" s="54" t="str">
        <f t="shared" si="47"/>
        <v/>
      </c>
      <c r="M445" s="38" t="str">
        <f t="shared" si="50"/>
        <v>02B5</v>
      </c>
      <c r="N445" s="69">
        <f t="shared" si="49"/>
        <v>693</v>
      </c>
      <c r="O445" s="96"/>
      <c r="P445" s="97"/>
      <c r="Q445" s="98"/>
      <c r="R445" s="135"/>
      <c r="U445" s="48" t="str">
        <f t="shared" si="48"/>
        <v/>
      </c>
      <c r="V445" s="16"/>
      <c r="W445" s="34"/>
      <c r="X445" s="35"/>
      <c r="Z445" s="74"/>
      <c r="AA445" s="130" t="str" cm="1">
        <f t="array" ref="AA445">HEX2ASCII(AB445)&amp;HEX2ASCII(AC445)&amp;HEX2ASCII(AD445)&amp;HEX2ASCII(AE445)&amp;HEX2ASCII(AF445)&amp;HEX2ASCII(AG445)&amp;HEX2ASCII(AH445)&amp;HEX2ASCII(AI445)</f>
        <v/>
      </c>
      <c r="AB445" s="147"/>
      <c r="AC445" s="148"/>
      <c r="AD445" s="148"/>
      <c r="AE445" s="148"/>
      <c r="AF445" s="148"/>
      <c r="AG445" s="148"/>
      <c r="AH445" s="148"/>
      <c r="AI445" s="149"/>
    </row>
    <row r="446" spans="11:35">
      <c r="K446" s="85"/>
      <c r="L446" s="54" t="str">
        <f t="shared" si="47"/>
        <v/>
      </c>
      <c r="M446" s="38" t="str">
        <f t="shared" si="50"/>
        <v>02B6</v>
      </c>
      <c r="N446" s="69">
        <f t="shared" si="49"/>
        <v>694</v>
      </c>
      <c r="O446" s="96"/>
      <c r="P446" s="97"/>
      <c r="Q446" s="98"/>
      <c r="R446" s="135"/>
      <c r="U446" s="48" t="str">
        <f t="shared" si="48"/>
        <v/>
      </c>
      <c r="V446" s="16"/>
      <c r="W446" s="34"/>
      <c r="X446" s="35"/>
      <c r="Z446" s="74"/>
      <c r="AA446" s="130" t="str" cm="1">
        <f t="array" ref="AA446">HEX2ASCII(AB446)&amp;HEX2ASCII(AC446)&amp;HEX2ASCII(AD446)&amp;HEX2ASCII(AE446)&amp;HEX2ASCII(AF446)&amp;HEX2ASCII(AG446)&amp;HEX2ASCII(AH446)&amp;HEX2ASCII(AI446)</f>
        <v/>
      </c>
      <c r="AB446" s="147"/>
      <c r="AC446" s="148"/>
      <c r="AD446" s="148"/>
      <c r="AE446" s="148"/>
      <c r="AF446" s="148"/>
      <c r="AG446" s="148"/>
      <c r="AH446" s="148"/>
      <c r="AI446" s="149"/>
    </row>
    <row r="447" spans="11:35">
      <c r="K447" s="85"/>
      <c r="L447" s="54" t="str">
        <f t="shared" si="47"/>
        <v/>
      </c>
      <c r="M447" s="38" t="str">
        <f t="shared" si="50"/>
        <v>02B7</v>
      </c>
      <c r="N447" s="69">
        <f t="shared" si="49"/>
        <v>695</v>
      </c>
      <c r="O447" s="96"/>
      <c r="P447" s="97"/>
      <c r="Q447" s="98"/>
      <c r="R447" s="135"/>
      <c r="U447" s="48" t="str">
        <f t="shared" si="48"/>
        <v/>
      </c>
      <c r="V447" s="16"/>
      <c r="W447" s="34"/>
      <c r="X447" s="35"/>
      <c r="Z447" s="74"/>
      <c r="AA447" s="130" t="str" cm="1">
        <f t="array" ref="AA447">HEX2ASCII(AB447)&amp;HEX2ASCII(AC447)&amp;HEX2ASCII(AD447)&amp;HEX2ASCII(AE447)&amp;HEX2ASCII(AF447)&amp;HEX2ASCII(AG447)&amp;HEX2ASCII(AH447)&amp;HEX2ASCII(AI447)</f>
        <v/>
      </c>
      <c r="AB447" s="147"/>
      <c r="AC447" s="148"/>
      <c r="AD447" s="148"/>
      <c r="AE447" s="148"/>
      <c r="AF447" s="148"/>
      <c r="AG447" s="148"/>
      <c r="AH447" s="148"/>
      <c r="AI447" s="149"/>
    </row>
    <row r="448" spans="11:35">
      <c r="K448" s="85"/>
      <c r="L448" s="54" t="str">
        <f t="shared" si="47"/>
        <v/>
      </c>
      <c r="M448" s="38" t="str">
        <f t="shared" si="50"/>
        <v>02B8</v>
      </c>
      <c r="N448" s="69">
        <f t="shared" si="49"/>
        <v>696</v>
      </c>
      <c r="O448" s="96"/>
      <c r="P448" s="97"/>
      <c r="Q448" s="98"/>
      <c r="R448" s="135"/>
      <c r="U448" s="48" t="str">
        <f t="shared" si="48"/>
        <v/>
      </c>
      <c r="V448" s="16"/>
      <c r="W448" s="34"/>
      <c r="X448" s="35"/>
      <c r="Z448" s="74"/>
      <c r="AA448" s="130" t="str" cm="1">
        <f t="array" ref="AA448">HEX2ASCII(AB448)&amp;HEX2ASCII(AC448)&amp;HEX2ASCII(AD448)&amp;HEX2ASCII(AE448)&amp;HEX2ASCII(AF448)&amp;HEX2ASCII(AG448)&amp;HEX2ASCII(AH448)&amp;HEX2ASCII(AI448)</f>
        <v/>
      </c>
      <c r="AB448" s="147"/>
      <c r="AC448" s="148"/>
      <c r="AD448" s="148"/>
      <c r="AE448" s="148"/>
      <c r="AF448" s="148"/>
      <c r="AG448" s="148"/>
      <c r="AH448" s="148"/>
      <c r="AI448" s="149"/>
    </row>
    <row r="449" spans="11:35">
      <c r="K449" s="85"/>
      <c r="L449" s="54" t="str">
        <f t="shared" si="47"/>
        <v/>
      </c>
      <c r="M449" s="38" t="str">
        <f t="shared" si="50"/>
        <v>02B9</v>
      </c>
      <c r="N449" s="69">
        <f t="shared" si="49"/>
        <v>697</v>
      </c>
      <c r="O449" s="96"/>
      <c r="P449" s="97"/>
      <c r="Q449" s="98"/>
      <c r="R449" s="135"/>
      <c r="U449" s="48" t="str">
        <f t="shared" si="48"/>
        <v/>
      </c>
      <c r="V449" s="16"/>
      <c r="W449" s="34"/>
      <c r="X449" s="35"/>
      <c r="Z449" s="74"/>
      <c r="AA449" s="130" t="str" cm="1">
        <f t="array" ref="AA449">HEX2ASCII(AB449)&amp;HEX2ASCII(AC449)&amp;HEX2ASCII(AD449)&amp;HEX2ASCII(AE449)&amp;HEX2ASCII(AF449)&amp;HEX2ASCII(AG449)&amp;HEX2ASCII(AH449)&amp;HEX2ASCII(AI449)</f>
        <v/>
      </c>
      <c r="AB449" s="147"/>
      <c r="AC449" s="148"/>
      <c r="AD449" s="148"/>
      <c r="AE449" s="148"/>
      <c r="AF449" s="148"/>
      <c r="AG449" s="148"/>
      <c r="AH449" s="148"/>
      <c r="AI449" s="149"/>
    </row>
    <row r="450" spans="11:35">
      <c r="K450" s="85"/>
      <c r="L450" s="54" t="str">
        <f t="shared" si="47"/>
        <v/>
      </c>
      <c r="M450" s="38" t="str">
        <f t="shared" si="50"/>
        <v>02BA</v>
      </c>
      <c r="N450" s="69">
        <f t="shared" si="49"/>
        <v>698</v>
      </c>
      <c r="O450" s="96"/>
      <c r="P450" s="97"/>
      <c r="Q450" s="98"/>
      <c r="R450" s="135"/>
      <c r="U450" s="48" t="str">
        <f t="shared" si="48"/>
        <v/>
      </c>
      <c r="V450" s="16"/>
      <c r="W450" s="34"/>
      <c r="X450" s="35"/>
      <c r="Z450" s="74"/>
      <c r="AA450" s="130" t="str" cm="1">
        <f t="array" ref="AA450">HEX2ASCII(AB450)&amp;HEX2ASCII(AC450)&amp;HEX2ASCII(AD450)&amp;HEX2ASCII(AE450)&amp;HEX2ASCII(AF450)&amp;HEX2ASCII(AG450)&amp;HEX2ASCII(AH450)&amp;HEX2ASCII(AI450)</f>
        <v/>
      </c>
      <c r="AB450" s="147"/>
      <c r="AC450" s="148"/>
      <c r="AD450" s="148"/>
      <c r="AE450" s="148"/>
      <c r="AF450" s="148"/>
      <c r="AG450" s="148"/>
      <c r="AH450" s="148"/>
      <c r="AI450" s="149"/>
    </row>
    <row r="451" spans="11:35">
      <c r="K451" s="85"/>
      <c r="L451" s="54" t="str">
        <f t="shared" si="47"/>
        <v/>
      </c>
      <c r="M451" s="38" t="str">
        <f t="shared" si="50"/>
        <v>02BB</v>
      </c>
      <c r="N451" s="69">
        <f t="shared" si="49"/>
        <v>699</v>
      </c>
      <c r="O451" s="96"/>
      <c r="P451" s="97"/>
      <c r="Q451" s="98"/>
      <c r="R451" s="135"/>
      <c r="U451" s="48" t="str">
        <f t="shared" si="48"/>
        <v/>
      </c>
      <c r="V451" s="16"/>
      <c r="W451" s="34"/>
      <c r="X451" s="35"/>
      <c r="Z451" s="74"/>
      <c r="AA451" s="130" t="str" cm="1">
        <f t="array" ref="AA451">HEX2ASCII(AB451)&amp;HEX2ASCII(AC451)&amp;HEX2ASCII(AD451)&amp;HEX2ASCII(AE451)&amp;HEX2ASCII(AF451)&amp;HEX2ASCII(AG451)&amp;HEX2ASCII(AH451)&amp;HEX2ASCII(AI451)</f>
        <v/>
      </c>
      <c r="AB451" s="147"/>
      <c r="AC451" s="148"/>
      <c r="AD451" s="148"/>
      <c r="AE451" s="148"/>
      <c r="AF451" s="148"/>
      <c r="AG451" s="148"/>
      <c r="AH451" s="148"/>
      <c r="AI451" s="149"/>
    </row>
    <row r="452" spans="11:35">
      <c r="K452" s="85"/>
      <c r="L452" s="54" t="str">
        <f t="shared" si="47"/>
        <v/>
      </c>
      <c r="M452" s="38" t="str">
        <f t="shared" si="50"/>
        <v>02BC</v>
      </c>
      <c r="N452" s="69">
        <f t="shared" si="49"/>
        <v>700</v>
      </c>
      <c r="O452" s="96"/>
      <c r="P452" s="97"/>
      <c r="Q452" s="98"/>
      <c r="R452" s="135"/>
      <c r="U452" s="48" t="str">
        <f t="shared" si="48"/>
        <v/>
      </c>
      <c r="V452" s="16"/>
      <c r="W452" s="34"/>
      <c r="X452" s="35"/>
      <c r="Z452" s="74"/>
      <c r="AA452" s="130" t="str" cm="1">
        <f t="array" ref="AA452">HEX2ASCII(AB452)&amp;HEX2ASCII(AC452)&amp;HEX2ASCII(AD452)&amp;HEX2ASCII(AE452)&amp;HEX2ASCII(AF452)&amp;HEX2ASCII(AG452)&amp;HEX2ASCII(AH452)&amp;HEX2ASCII(AI452)</f>
        <v/>
      </c>
      <c r="AB452" s="147"/>
      <c r="AC452" s="148"/>
      <c r="AD452" s="148"/>
      <c r="AE452" s="148"/>
      <c r="AF452" s="148"/>
      <c r="AG452" s="148"/>
      <c r="AH452" s="148"/>
      <c r="AI452" s="149"/>
    </row>
    <row r="453" spans="11:35">
      <c r="K453" s="85"/>
      <c r="L453" s="54" t="str">
        <f t="shared" si="47"/>
        <v/>
      </c>
      <c r="M453" s="38" t="str">
        <f t="shared" si="50"/>
        <v>02BD</v>
      </c>
      <c r="N453" s="69">
        <f t="shared" si="49"/>
        <v>701</v>
      </c>
      <c r="O453" s="96"/>
      <c r="P453" s="97"/>
      <c r="Q453" s="98"/>
      <c r="R453" s="135"/>
      <c r="U453" s="48" t="str">
        <f t="shared" si="48"/>
        <v/>
      </c>
      <c r="V453" s="16"/>
      <c r="W453" s="34"/>
      <c r="X453" s="35"/>
      <c r="Z453" s="74"/>
      <c r="AA453" s="130" t="str" cm="1">
        <f t="array" ref="AA453">HEX2ASCII(AB453)&amp;HEX2ASCII(AC453)&amp;HEX2ASCII(AD453)&amp;HEX2ASCII(AE453)&amp;HEX2ASCII(AF453)&amp;HEX2ASCII(AG453)&amp;HEX2ASCII(AH453)&amp;HEX2ASCII(AI453)</f>
        <v/>
      </c>
      <c r="AB453" s="147"/>
      <c r="AC453" s="148"/>
      <c r="AD453" s="148"/>
      <c r="AE453" s="148"/>
      <c r="AF453" s="148"/>
      <c r="AG453" s="148"/>
      <c r="AH453" s="148"/>
      <c r="AI453" s="149"/>
    </row>
    <row r="454" spans="11:35">
      <c r="K454" s="85"/>
      <c r="L454" s="54" t="str">
        <f t="shared" si="47"/>
        <v/>
      </c>
      <c r="M454" s="38" t="str">
        <f t="shared" si="50"/>
        <v>02BE</v>
      </c>
      <c r="N454" s="69">
        <f t="shared" si="49"/>
        <v>702</v>
      </c>
      <c r="O454" s="96"/>
      <c r="P454" s="97"/>
      <c r="Q454" s="98"/>
      <c r="R454" s="135"/>
      <c r="U454" s="48" t="str">
        <f t="shared" si="48"/>
        <v/>
      </c>
      <c r="V454" s="16"/>
      <c r="W454" s="34"/>
      <c r="X454" s="35"/>
      <c r="Z454" s="74"/>
      <c r="AA454" s="130" t="str" cm="1">
        <f t="array" ref="AA454">HEX2ASCII(AB454)&amp;HEX2ASCII(AC454)&amp;HEX2ASCII(AD454)&amp;HEX2ASCII(AE454)&amp;HEX2ASCII(AF454)&amp;HEX2ASCII(AG454)&amp;HEX2ASCII(AH454)&amp;HEX2ASCII(AI454)</f>
        <v/>
      </c>
      <c r="AB454" s="147"/>
      <c r="AC454" s="148"/>
      <c r="AD454" s="148"/>
      <c r="AE454" s="148"/>
      <c r="AF454" s="148"/>
      <c r="AG454" s="148"/>
      <c r="AH454" s="148"/>
      <c r="AI454" s="149"/>
    </row>
    <row r="455" spans="11:35">
      <c r="K455" s="85"/>
      <c r="L455" s="54" t="str">
        <f t="shared" si="47"/>
        <v/>
      </c>
      <c r="M455" s="38" t="str">
        <f t="shared" si="50"/>
        <v>02BF</v>
      </c>
      <c r="N455" s="69">
        <f t="shared" si="49"/>
        <v>703</v>
      </c>
      <c r="O455" s="96"/>
      <c r="P455" s="97"/>
      <c r="Q455" s="98"/>
      <c r="R455" s="135"/>
      <c r="U455" s="48" t="str">
        <f t="shared" si="48"/>
        <v/>
      </c>
      <c r="V455" s="16"/>
      <c r="W455" s="34"/>
      <c r="X455" s="35"/>
      <c r="Z455" s="74"/>
      <c r="AA455" s="130" t="str" cm="1">
        <f t="array" ref="AA455">HEX2ASCII(AB455)&amp;HEX2ASCII(AC455)&amp;HEX2ASCII(AD455)&amp;HEX2ASCII(AE455)&amp;HEX2ASCII(AF455)&amp;HEX2ASCII(AG455)&amp;HEX2ASCII(AH455)&amp;HEX2ASCII(AI455)</f>
        <v/>
      </c>
      <c r="AB455" s="147"/>
      <c r="AC455" s="148"/>
      <c r="AD455" s="148"/>
      <c r="AE455" s="148"/>
      <c r="AF455" s="148"/>
      <c r="AG455" s="148"/>
      <c r="AH455" s="148"/>
      <c r="AI455" s="149"/>
    </row>
    <row r="456" spans="11:35">
      <c r="K456" s="85"/>
      <c r="L456" s="54" t="str">
        <f t="shared" si="47"/>
        <v/>
      </c>
      <c r="M456" s="38" t="str">
        <f t="shared" si="50"/>
        <v>02C0</v>
      </c>
      <c r="N456" s="69">
        <f t="shared" si="49"/>
        <v>704</v>
      </c>
      <c r="O456" s="96"/>
      <c r="P456" s="97"/>
      <c r="Q456" s="98"/>
      <c r="R456" s="135"/>
      <c r="U456" s="48" t="str">
        <f t="shared" si="48"/>
        <v/>
      </c>
      <c r="V456" s="16"/>
      <c r="W456" s="34"/>
      <c r="X456" s="35"/>
      <c r="Z456" s="74"/>
      <c r="AA456" s="130" t="str" cm="1">
        <f t="array" ref="AA456">HEX2ASCII(AB456)&amp;HEX2ASCII(AC456)&amp;HEX2ASCII(AD456)&amp;HEX2ASCII(AE456)&amp;HEX2ASCII(AF456)&amp;HEX2ASCII(AG456)&amp;HEX2ASCII(AH456)&amp;HEX2ASCII(AI456)</f>
        <v/>
      </c>
      <c r="AB456" s="147"/>
      <c r="AC456" s="148"/>
      <c r="AD456" s="148"/>
      <c r="AE456" s="148"/>
      <c r="AF456" s="148"/>
      <c r="AG456" s="148"/>
      <c r="AH456" s="148"/>
      <c r="AI456" s="149"/>
    </row>
    <row r="457" spans="11:35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02C1</v>
      </c>
      <c r="N457" s="69">
        <f t="shared" si="49"/>
        <v>705</v>
      </c>
      <c r="O457" s="96"/>
      <c r="P457" s="97"/>
      <c r="Q457" s="98"/>
      <c r="R457" s="135"/>
      <c r="U457" s="48" t="str">
        <f t="shared" ref="U457:U520" si="52">IF(V457&gt;0,RIGHT("0000"&amp;DEC2HEX(V457),4),"")</f>
        <v/>
      </c>
      <c r="V457" s="16"/>
      <c r="W457" s="34"/>
      <c r="X457" s="35"/>
      <c r="Z457" s="74"/>
      <c r="AA457" s="130" t="str" cm="1">
        <f t="array" ref="AA457">HEX2ASCII(AB457)&amp;HEX2ASCII(AC457)&amp;HEX2ASCII(AD457)&amp;HEX2ASCII(AE457)&amp;HEX2ASCII(AF457)&amp;HEX2ASCII(AG457)&amp;HEX2ASCII(AH457)&amp;HEX2ASCII(AI457)</f>
        <v/>
      </c>
      <c r="AB457" s="147"/>
      <c r="AC457" s="148"/>
      <c r="AD457" s="148"/>
      <c r="AE457" s="148"/>
      <c r="AF457" s="148"/>
      <c r="AG457" s="148"/>
      <c r="AH457" s="148"/>
      <c r="AI457" s="149"/>
    </row>
    <row r="458" spans="11:35">
      <c r="K458" s="85"/>
      <c r="L458" s="54" t="str">
        <f t="shared" si="51"/>
        <v/>
      </c>
      <c r="M458" s="38" t="str">
        <f t="shared" si="50"/>
        <v>02C2</v>
      </c>
      <c r="N458" s="69">
        <f t="shared" ref="N458:N521" si="53">N457+0*COUNTA(P457:R457)+1</f>
        <v>706</v>
      </c>
      <c r="O458" s="96"/>
      <c r="P458" s="97"/>
      <c r="Q458" s="98"/>
      <c r="R458" s="135"/>
      <c r="U458" s="48" t="str">
        <f t="shared" si="52"/>
        <v/>
      </c>
      <c r="V458" s="16"/>
      <c r="W458" s="34"/>
      <c r="X458" s="35"/>
      <c r="Z458" s="74"/>
      <c r="AA458" s="130" t="str" cm="1">
        <f t="array" ref="AA458">HEX2ASCII(AB458)&amp;HEX2ASCII(AC458)&amp;HEX2ASCII(AD458)&amp;HEX2ASCII(AE458)&amp;HEX2ASCII(AF458)&amp;HEX2ASCII(AG458)&amp;HEX2ASCII(AH458)&amp;HEX2ASCII(AI458)</f>
        <v/>
      </c>
      <c r="AB458" s="147"/>
      <c r="AC458" s="148"/>
      <c r="AD458" s="148"/>
      <c r="AE458" s="148"/>
      <c r="AF458" s="148"/>
      <c r="AG458" s="148"/>
      <c r="AH458" s="148"/>
      <c r="AI458" s="149"/>
    </row>
    <row r="459" spans="11:35">
      <c r="K459" s="85"/>
      <c r="L459" s="54" t="str">
        <f t="shared" si="51"/>
        <v/>
      </c>
      <c r="M459" s="38" t="str">
        <f t="shared" si="50"/>
        <v>02C3</v>
      </c>
      <c r="N459" s="69">
        <f t="shared" si="53"/>
        <v>707</v>
      </c>
      <c r="O459" s="96"/>
      <c r="P459" s="97"/>
      <c r="Q459" s="98"/>
      <c r="R459" s="135"/>
      <c r="U459" s="48" t="str">
        <f t="shared" si="52"/>
        <v/>
      </c>
      <c r="V459" s="16"/>
      <c r="W459" s="34"/>
      <c r="X459" s="35"/>
      <c r="Z459" s="74"/>
      <c r="AA459" s="130" t="str" cm="1">
        <f t="array" ref="AA459">HEX2ASCII(AB459)&amp;HEX2ASCII(AC459)&amp;HEX2ASCII(AD459)&amp;HEX2ASCII(AE459)&amp;HEX2ASCII(AF459)&amp;HEX2ASCII(AG459)&amp;HEX2ASCII(AH459)&amp;HEX2ASCII(AI459)</f>
        <v/>
      </c>
      <c r="AB459" s="147"/>
      <c r="AC459" s="148"/>
      <c r="AD459" s="148"/>
      <c r="AE459" s="148"/>
      <c r="AF459" s="148"/>
      <c r="AG459" s="148"/>
      <c r="AH459" s="148"/>
      <c r="AI459" s="149"/>
    </row>
    <row r="460" spans="11:35">
      <c r="K460" s="85"/>
      <c r="L460" s="54" t="str">
        <f t="shared" si="51"/>
        <v/>
      </c>
      <c r="M460" s="38" t="str">
        <f t="shared" si="50"/>
        <v>02C4</v>
      </c>
      <c r="N460" s="69">
        <f t="shared" si="53"/>
        <v>708</v>
      </c>
      <c r="O460" s="96"/>
      <c r="P460" s="97"/>
      <c r="Q460" s="98"/>
      <c r="R460" s="135"/>
      <c r="U460" s="48" t="str">
        <f t="shared" si="52"/>
        <v/>
      </c>
      <c r="V460" s="16"/>
      <c r="W460" s="34"/>
      <c r="X460" s="35"/>
      <c r="Z460" s="74"/>
      <c r="AA460" s="130" t="str" cm="1">
        <f t="array" ref="AA460">HEX2ASCII(AB460)&amp;HEX2ASCII(AC460)&amp;HEX2ASCII(AD460)&amp;HEX2ASCII(AE460)&amp;HEX2ASCII(AF460)&amp;HEX2ASCII(AG460)&amp;HEX2ASCII(AH460)&amp;HEX2ASCII(AI460)</f>
        <v/>
      </c>
      <c r="AB460" s="147"/>
      <c r="AC460" s="148"/>
      <c r="AD460" s="148"/>
      <c r="AE460" s="148"/>
      <c r="AF460" s="148"/>
      <c r="AG460" s="148"/>
      <c r="AH460" s="148"/>
      <c r="AI460" s="149"/>
    </row>
    <row r="461" spans="11:35">
      <c r="K461" s="85"/>
      <c r="L461" s="54" t="str">
        <f t="shared" si="51"/>
        <v/>
      </c>
      <c r="M461" s="38" t="str">
        <f t="shared" si="50"/>
        <v>02C5</v>
      </c>
      <c r="N461" s="69">
        <f t="shared" si="53"/>
        <v>709</v>
      </c>
      <c r="O461" s="96"/>
      <c r="P461" s="97"/>
      <c r="Q461" s="98"/>
      <c r="R461" s="135"/>
      <c r="U461" s="48" t="str">
        <f t="shared" si="52"/>
        <v/>
      </c>
      <c r="V461" s="16"/>
      <c r="W461" s="34"/>
      <c r="X461" s="35"/>
      <c r="Z461" s="74"/>
      <c r="AA461" s="130" t="str" cm="1">
        <f t="array" ref="AA461">HEX2ASCII(AB461)&amp;HEX2ASCII(AC461)&amp;HEX2ASCII(AD461)&amp;HEX2ASCII(AE461)&amp;HEX2ASCII(AF461)&amp;HEX2ASCII(AG461)&amp;HEX2ASCII(AH461)&amp;HEX2ASCII(AI461)</f>
        <v/>
      </c>
      <c r="AB461" s="147"/>
      <c r="AC461" s="148"/>
      <c r="AD461" s="148"/>
      <c r="AE461" s="148"/>
      <c r="AF461" s="148"/>
      <c r="AG461" s="148"/>
      <c r="AH461" s="148"/>
      <c r="AI461" s="149"/>
    </row>
    <row r="462" spans="11:35">
      <c r="K462" s="85"/>
      <c r="L462" s="54" t="str">
        <f t="shared" si="51"/>
        <v/>
      </c>
      <c r="M462" s="38" t="str">
        <f t="shared" si="50"/>
        <v>02C6</v>
      </c>
      <c r="N462" s="69">
        <f t="shared" si="53"/>
        <v>710</v>
      </c>
      <c r="O462" s="96"/>
      <c r="P462" s="97"/>
      <c r="Q462" s="98"/>
      <c r="R462" s="135"/>
      <c r="U462" s="48" t="str">
        <f t="shared" si="52"/>
        <v/>
      </c>
      <c r="V462" s="16"/>
      <c r="W462" s="34"/>
      <c r="X462" s="35"/>
      <c r="Z462" s="74"/>
      <c r="AA462" s="130" t="str" cm="1">
        <f t="array" ref="AA462">HEX2ASCII(AB462)&amp;HEX2ASCII(AC462)&amp;HEX2ASCII(AD462)&amp;HEX2ASCII(AE462)&amp;HEX2ASCII(AF462)&amp;HEX2ASCII(AG462)&amp;HEX2ASCII(AH462)&amp;HEX2ASCII(AI462)</f>
        <v/>
      </c>
      <c r="AB462" s="147"/>
      <c r="AC462" s="148"/>
      <c r="AD462" s="148"/>
      <c r="AE462" s="148"/>
      <c r="AF462" s="148"/>
      <c r="AG462" s="148"/>
      <c r="AH462" s="148"/>
      <c r="AI462" s="149"/>
    </row>
    <row r="463" spans="11:35">
      <c r="K463" s="85"/>
      <c r="L463" s="54" t="str">
        <f t="shared" si="51"/>
        <v/>
      </c>
      <c r="M463" s="38" t="str">
        <f t="shared" si="50"/>
        <v>02C7</v>
      </c>
      <c r="N463" s="69">
        <f t="shared" si="53"/>
        <v>711</v>
      </c>
      <c r="O463" s="96"/>
      <c r="P463" s="97"/>
      <c r="Q463" s="98"/>
      <c r="R463" s="135"/>
      <c r="U463" s="48" t="str">
        <f t="shared" si="52"/>
        <v/>
      </c>
      <c r="V463" s="16"/>
      <c r="W463" s="34"/>
      <c r="X463" s="35"/>
      <c r="Z463" s="74"/>
      <c r="AA463" s="130" t="str" cm="1">
        <f t="array" ref="AA463">HEX2ASCII(AB463)&amp;HEX2ASCII(AC463)&amp;HEX2ASCII(AD463)&amp;HEX2ASCII(AE463)&amp;HEX2ASCII(AF463)&amp;HEX2ASCII(AG463)&amp;HEX2ASCII(AH463)&amp;HEX2ASCII(AI463)</f>
        <v/>
      </c>
      <c r="AB463" s="147"/>
      <c r="AC463" s="148"/>
      <c r="AD463" s="148"/>
      <c r="AE463" s="148"/>
      <c r="AF463" s="148"/>
      <c r="AG463" s="148"/>
      <c r="AH463" s="148"/>
      <c r="AI463" s="149"/>
    </row>
    <row r="464" spans="11:35">
      <c r="K464" s="85"/>
      <c r="L464" s="54" t="str">
        <f t="shared" si="51"/>
        <v/>
      </c>
      <c r="M464" s="38" t="str">
        <f t="shared" si="50"/>
        <v>02C8</v>
      </c>
      <c r="N464" s="69">
        <f t="shared" si="53"/>
        <v>712</v>
      </c>
      <c r="O464" s="96"/>
      <c r="P464" s="97"/>
      <c r="Q464" s="98"/>
      <c r="R464" s="135"/>
      <c r="U464" s="48" t="str">
        <f t="shared" si="52"/>
        <v/>
      </c>
      <c r="V464" s="16"/>
      <c r="W464" s="34"/>
      <c r="X464" s="35"/>
      <c r="Z464" s="74"/>
      <c r="AA464" s="130" t="str" cm="1">
        <f t="array" ref="AA464">HEX2ASCII(AB464)&amp;HEX2ASCII(AC464)&amp;HEX2ASCII(AD464)&amp;HEX2ASCII(AE464)&amp;HEX2ASCII(AF464)&amp;HEX2ASCII(AG464)&amp;HEX2ASCII(AH464)&amp;HEX2ASCII(AI464)</f>
        <v/>
      </c>
      <c r="AB464" s="147"/>
      <c r="AC464" s="148"/>
      <c r="AD464" s="148"/>
      <c r="AE464" s="148"/>
      <c r="AF464" s="148"/>
      <c r="AG464" s="148"/>
      <c r="AH464" s="148"/>
      <c r="AI464" s="149"/>
    </row>
    <row r="465" spans="11:35">
      <c r="K465" s="85"/>
      <c r="L465" s="54" t="str">
        <f t="shared" si="51"/>
        <v/>
      </c>
      <c r="M465" s="38" t="str">
        <f t="shared" si="50"/>
        <v>02C9</v>
      </c>
      <c r="N465" s="69">
        <f t="shared" si="53"/>
        <v>713</v>
      </c>
      <c r="O465" s="96"/>
      <c r="P465" s="97"/>
      <c r="Q465" s="98"/>
      <c r="R465" s="135"/>
      <c r="U465" s="48" t="str">
        <f t="shared" si="52"/>
        <v/>
      </c>
      <c r="V465" s="16"/>
      <c r="W465" s="34"/>
      <c r="X465" s="35"/>
      <c r="Z465" s="74"/>
      <c r="AA465" s="130" t="str" cm="1">
        <f t="array" ref="AA465">HEX2ASCII(AB465)&amp;HEX2ASCII(AC465)&amp;HEX2ASCII(AD465)&amp;HEX2ASCII(AE465)&amp;HEX2ASCII(AF465)&amp;HEX2ASCII(AG465)&amp;HEX2ASCII(AH465)&amp;HEX2ASCII(AI465)</f>
        <v/>
      </c>
      <c r="AB465" s="147"/>
      <c r="AC465" s="148"/>
      <c r="AD465" s="148"/>
      <c r="AE465" s="148"/>
      <c r="AF465" s="148"/>
      <c r="AG465" s="148"/>
      <c r="AH465" s="148"/>
      <c r="AI465" s="149"/>
    </row>
    <row r="466" spans="11:35">
      <c r="K466" s="85"/>
      <c r="L466" s="54" t="str">
        <f t="shared" si="51"/>
        <v/>
      </c>
      <c r="M466" s="38" t="str">
        <f t="shared" si="50"/>
        <v>02CA</v>
      </c>
      <c r="N466" s="69">
        <f t="shared" si="53"/>
        <v>714</v>
      </c>
      <c r="O466" s="96"/>
      <c r="P466" s="97"/>
      <c r="Q466" s="98"/>
      <c r="R466" s="135"/>
      <c r="U466" s="48" t="str">
        <f t="shared" si="52"/>
        <v/>
      </c>
      <c r="V466" s="16"/>
      <c r="W466" s="34"/>
      <c r="X466" s="35"/>
      <c r="Z466" s="74"/>
      <c r="AA466" s="130" t="str" cm="1">
        <f t="array" ref="AA466">HEX2ASCII(AB466)&amp;HEX2ASCII(AC466)&amp;HEX2ASCII(AD466)&amp;HEX2ASCII(AE466)&amp;HEX2ASCII(AF466)&amp;HEX2ASCII(AG466)&amp;HEX2ASCII(AH466)&amp;HEX2ASCII(AI466)</f>
        <v/>
      </c>
      <c r="AB466" s="147"/>
      <c r="AC466" s="148"/>
      <c r="AD466" s="148"/>
      <c r="AE466" s="148"/>
      <c r="AF466" s="148"/>
      <c r="AG466" s="148"/>
      <c r="AH466" s="148"/>
      <c r="AI466" s="149"/>
    </row>
    <row r="467" spans="11:35">
      <c r="K467" s="85"/>
      <c r="L467" s="54" t="str">
        <f t="shared" si="51"/>
        <v/>
      </c>
      <c r="M467" s="38" t="str">
        <f t="shared" si="50"/>
        <v>02CB</v>
      </c>
      <c r="N467" s="69">
        <f t="shared" si="53"/>
        <v>715</v>
      </c>
      <c r="O467" s="96"/>
      <c r="P467" s="97"/>
      <c r="Q467" s="98"/>
      <c r="R467" s="135"/>
      <c r="U467" s="48" t="str">
        <f t="shared" si="52"/>
        <v/>
      </c>
      <c r="V467" s="16"/>
      <c r="W467" s="34"/>
      <c r="X467" s="35"/>
      <c r="Z467" s="74"/>
      <c r="AA467" s="130" t="str" cm="1">
        <f t="array" ref="AA467">HEX2ASCII(AB467)&amp;HEX2ASCII(AC467)&amp;HEX2ASCII(AD467)&amp;HEX2ASCII(AE467)&amp;HEX2ASCII(AF467)&amp;HEX2ASCII(AG467)&amp;HEX2ASCII(AH467)&amp;HEX2ASCII(AI467)</f>
        <v/>
      </c>
      <c r="AB467" s="147"/>
      <c r="AC467" s="148"/>
      <c r="AD467" s="148"/>
      <c r="AE467" s="148"/>
      <c r="AF467" s="148"/>
      <c r="AG467" s="148"/>
      <c r="AH467" s="148"/>
      <c r="AI467" s="149"/>
    </row>
    <row r="468" spans="11:35">
      <c r="K468" s="85"/>
      <c r="L468" s="54" t="str">
        <f t="shared" si="51"/>
        <v/>
      </c>
      <c r="M468" s="38" t="str">
        <f t="shared" si="50"/>
        <v>02CC</v>
      </c>
      <c r="N468" s="69">
        <f t="shared" si="53"/>
        <v>716</v>
      </c>
      <c r="O468" s="96"/>
      <c r="P468" s="97"/>
      <c r="Q468" s="98"/>
      <c r="R468" s="135"/>
      <c r="U468" s="48" t="str">
        <f t="shared" si="52"/>
        <v/>
      </c>
      <c r="V468" s="16"/>
      <c r="W468" s="34"/>
      <c r="X468" s="35"/>
      <c r="Z468" s="74"/>
      <c r="AA468" s="130" t="str" cm="1">
        <f t="array" ref="AA468">HEX2ASCII(AB468)&amp;HEX2ASCII(AC468)&amp;HEX2ASCII(AD468)&amp;HEX2ASCII(AE468)&amp;HEX2ASCII(AF468)&amp;HEX2ASCII(AG468)&amp;HEX2ASCII(AH468)&amp;HEX2ASCII(AI468)</f>
        <v/>
      </c>
      <c r="AB468" s="147"/>
      <c r="AC468" s="148"/>
      <c r="AD468" s="148"/>
      <c r="AE468" s="148"/>
      <c r="AF468" s="148"/>
      <c r="AG468" s="148"/>
      <c r="AH468" s="148"/>
      <c r="AI468" s="149"/>
    </row>
    <row r="469" spans="11:35">
      <c r="K469" s="85"/>
      <c r="L469" s="54" t="str">
        <f t="shared" si="51"/>
        <v/>
      </c>
      <c r="M469" s="38" t="str">
        <f t="shared" si="50"/>
        <v>02CD</v>
      </c>
      <c r="N469" s="69">
        <f t="shared" si="53"/>
        <v>717</v>
      </c>
      <c r="O469" s="96"/>
      <c r="P469" s="97"/>
      <c r="Q469" s="98"/>
      <c r="R469" s="135"/>
      <c r="U469" s="48" t="str">
        <f t="shared" si="52"/>
        <v/>
      </c>
      <c r="V469" s="16"/>
      <c r="W469" s="34"/>
      <c r="X469" s="35"/>
      <c r="Z469" s="74"/>
      <c r="AA469" s="130" t="str" cm="1">
        <f t="array" ref="AA469">HEX2ASCII(AB469)&amp;HEX2ASCII(AC469)&amp;HEX2ASCII(AD469)&amp;HEX2ASCII(AE469)&amp;HEX2ASCII(AF469)&amp;HEX2ASCII(AG469)&amp;HEX2ASCII(AH469)&amp;HEX2ASCII(AI469)</f>
        <v/>
      </c>
      <c r="AB469" s="147"/>
      <c r="AC469" s="148"/>
      <c r="AD469" s="148"/>
      <c r="AE469" s="148"/>
      <c r="AF469" s="148"/>
      <c r="AG469" s="148"/>
      <c r="AH469" s="148"/>
      <c r="AI469" s="149"/>
    </row>
    <row r="470" spans="11:35">
      <c r="K470" s="85"/>
      <c r="L470" s="54" t="str">
        <f t="shared" si="51"/>
        <v/>
      </c>
      <c r="M470" s="38" t="str">
        <f t="shared" si="50"/>
        <v>02CE</v>
      </c>
      <c r="N470" s="69">
        <f t="shared" si="53"/>
        <v>718</v>
      </c>
      <c r="O470" s="96"/>
      <c r="P470" s="97"/>
      <c r="Q470" s="98"/>
      <c r="R470" s="135"/>
      <c r="U470" s="48" t="str">
        <f t="shared" si="52"/>
        <v/>
      </c>
      <c r="V470" s="16"/>
      <c r="W470" s="34"/>
      <c r="X470" s="35"/>
      <c r="Z470" s="74"/>
      <c r="AA470" s="130" t="str" cm="1">
        <f t="array" ref="AA470">HEX2ASCII(AB470)&amp;HEX2ASCII(AC470)&amp;HEX2ASCII(AD470)&amp;HEX2ASCII(AE470)&amp;HEX2ASCII(AF470)&amp;HEX2ASCII(AG470)&amp;HEX2ASCII(AH470)&amp;HEX2ASCII(AI470)</f>
        <v/>
      </c>
      <c r="AB470" s="147"/>
      <c r="AC470" s="148"/>
      <c r="AD470" s="148"/>
      <c r="AE470" s="148"/>
      <c r="AF470" s="148"/>
      <c r="AG470" s="148"/>
      <c r="AH470" s="148"/>
      <c r="AI470" s="149"/>
    </row>
    <row r="471" spans="11:35">
      <c r="K471" s="85"/>
      <c r="L471" s="54" t="str">
        <f t="shared" si="51"/>
        <v/>
      </c>
      <c r="M471" s="38" t="str">
        <f t="shared" si="50"/>
        <v>02CF</v>
      </c>
      <c r="N471" s="69">
        <f t="shared" si="53"/>
        <v>719</v>
      </c>
      <c r="O471" s="96"/>
      <c r="P471" s="97"/>
      <c r="Q471" s="98"/>
      <c r="R471" s="135"/>
      <c r="U471" s="48" t="str">
        <f t="shared" si="52"/>
        <v/>
      </c>
      <c r="V471" s="16"/>
      <c r="W471" s="34"/>
      <c r="X471" s="35"/>
      <c r="Z471" s="74"/>
      <c r="AA471" s="130" t="str" cm="1">
        <f t="array" ref="AA471">HEX2ASCII(AB471)&amp;HEX2ASCII(AC471)&amp;HEX2ASCII(AD471)&amp;HEX2ASCII(AE471)&amp;HEX2ASCII(AF471)&amp;HEX2ASCII(AG471)&amp;HEX2ASCII(AH471)&amp;HEX2ASCII(AI471)</f>
        <v/>
      </c>
      <c r="AB471" s="147"/>
      <c r="AC471" s="148"/>
      <c r="AD471" s="148"/>
      <c r="AE471" s="148"/>
      <c r="AF471" s="148"/>
      <c r="AG471" s="148"/>
      <c r="AH471" s="148"/>
      <c r="AI471" s="149"/>
    </row>
    <row r="472" spans="11:35">
      <c r="K472" s="85"/>
      <c r="L472" s="54" t="str">
        <f t="shared" si="51"/>
        <v/>
      </c>
      <c r="M472" s="38" t="str">
        <f t="shared" si="50"/>
        <v>02D0</v>
      </c>
      <c r="N472" s="69">
        <f t="shared" si="53"/>
        <v>720</v>
      </c>
      <c r="O472" s="96"/>
      <c r="P472" s="97"/>
      <c r="Q472" s="98"/>
      <c r="R472" s="135"/>
      <c r="U472" s="48" t="str">
        <f t="shared" si="52"/>
        <v/>
      </c>
      <c r="V472" s="16"/>
      <c r="W472" s="34"/>
      <c r="X472" s="35"/>
      <c r="Z472" s="74"/>
      <c r="AA472" s="130" t="str" cm="1">
        <f t="array" ref="AA472">HEX2ASCII(AB472)&amp;HEX2ASCII(AC472)&amp;HEX2ASCII(AD472)&amp;HEX2ASCII(AE472)&amp;HEX2ASCII(AF472)&amp;HEX2ASCII(AG472)&amp;HEX2ASCII(AH472)&amp;HEX2ASCII(AI472)</f>
        <v/>
      </c>
      <c r="AB472" s="147"/>
      <c r="AC472" s="148"/>
      <c r="AD472" s="148"/>
      <c r="AE472" s="148"/>
      <c r="AF472" s="148"/>
      <c r="AG472" s="148"/>
      <c r="AH472" s="148"/>
      <c r="AI472" s="149"/>
    </row>
    <row r="473" spans="11:35">
      <c r="K473" s="85"/>
      <c r="L473" s="54" t="str">
        <f t="shared" si="51"/>
        <v/>
      </c>
      <c r="M473" s="38" t="str">
        <f t="shared" si="50"/>
        <v>02D1</v>
      </c>
      <c r="N473" s="69">
        <f t="shared" si="53"/>
        <v>721</v>
      </c>
      <c r="O473" s="96"/>
      <c r="P473" s="97"/>
      <c r="Q473" s="98"/>
      <c r="R473" s="135"/>
      <c r="U473" s="48" t="str">
        <f t="shared" si="52"/>
        <v/>
      </c>
      <c r="V473" s="16"/>
      <c r="W473" s="34"/>
      <c r="X473" s="35"/>
      <c r="Z473" s="74"/>
      <c r="AA473" s="130" t="str" cm="1">
        <f t="array" ref="AA473">HEX2ASCII(AB473)&amp;HEX2ASCII(AC473)&amp;HEX2ASCII(AD473)&amp;HEX2ASCII(AE473)&amp;HEX2ASCII(AF473)&amp;HEX2ASCII(AG473)&amp;HEX2ASCII(AH473)&amp;HEX2ASCII(AI473)</f>
        <v/>
      </c>
      <c r="AB473" s="147"/>
      <c r="AC473" s="148"/>
      <c r="AD473" s="148"/>
      <c r="AE473" s="148"/>
      <c r="AF473" s="148"/>
      <c r="AG473" s="148"/>
      <c r="AH473" s="148"/>
      <c r="AI473" s="149"/>
    </row>
    <row r="474" spans="11:35">
      <c r="K474" s="85"/>
      <c r="L474" s="54" t="str">
        <f t="shared" si="51"/>
        <v/>
      </c>
      <c r="M474" s="38" t="str">
        <f t="shared" si="50"/>
        <v>02D2</v>
      </c>
      <c r="N474" s="69">
        <f t="shared" si="53"/>
        <v>722</v>
      </c>
      <c r="O474" s="96"/>
      <c r="P474" s="97"/>
      <c r="Q474" s="98"/>
      <c r="R474" s="135"/>
      <c r="U474" s="48" t="str">
        <f t="shared" si="52"/>
        <v/>
      </c>
      <c r="V474" s="16"/>
      <c r="W474" s="34"/>
      <c r="X474" s="35"/>
      <c r="Z474" s="74"/>
      <c r="AA474" s="130" t="str" cm="1">
        <f t="array" ref="AA474">HEX2ASCII(AB474)&amp;HEX2ASCII(AC474)&amp;HEX2ASCII(AD474)&amp;HEX2ASCII(AE474)&amp;HEX2ASCII(AF474)&amp;HEX2ASCII(AG474)&amp;HEX2ASCII(AH474)&amp;HEX2ASCII(AI474)</f>
        <v/>
      </c>
      <c r="AB474" s="147"/>
      <c r="AC474" s="148"/>
      <c r="AD474" s="148"/>
      <c r="AE474" s="148"/>
      <c r="AF474" s="148"/>
      <c r="AG474" s="148"/>
      <c r="AH474" s="148"/>
      <c r="AI474" s="149"/>
    </row>
    <row r="475" spans="11:35">
      <c r="K475" s="85"/>
      <c r="L475" s="54" t="str">
        <f t="shared" si="51"/>
        <v/>
      </c>
      <c r="M475" s="38" t="str">
        <f t="shared" si="50"/>
        <v>02D3</v>
      </c>
      <c r="N475" s="69">
        <f t="shared" si="53"/>
        <v>723</v>
      </c>
      <c r="O475" s="96"/>
      <c r="P475" s="97"/>
      <c r="Q475" s="98"/>
      <c r="R475" s="135"/>
      <c r="U475" s="48" t="str">
        <f t="shared" si="52"/>
        <v/>
      </c>
      <c r="V475" s="16"/>
      <c r="W475" s="34"/>
      <c r="X475" s="35"/>
      <c r="Z475" s="74"/>
      <c r="AA475" s="130" t="str" cm="1">
        <f t="array" ref="AA475">HEX2ASCII(AB475)&amp;HEX2ASCII(AC475)&amp;HEX2ASCII(AD475)&amp;HEX2ASCII(AE475)&amp;HEX2ASCII(AF475)&amp;HEX2ASCII(AG475)&amp;HEX2ASCII(AH475)&amp;HEX2ASCII(AI475)</f>
        <v/>
      </c>
      <c r="AB475" s="147"/>
      <c r="AC475" s="148"/>
      <c r="AD475" s="148"/>
      <c r="AE475" s="148"/>
      <c r="AF475" s="148"/>
      <c r="AG475" s="148"/>
      <c r="AH475" s="148"/>
      <c r="AI475" s="149"/>
    </row>
    <row r="476" spans="11:35">
      <c r="K476" s="85"/>
      <c r="L476" s="54" t="str">
        <f t="shared" si="51"/>
        <v/>
      </c>
      <c r="M476" s="38" t="str">
        <f t="shared" si="50"/>
        <v>02D4</v>
      </c>
      <c r="N476" s="69">
        <f t="shared" si="53"/>
        <v>724</v>
      </c>
      <c r="O476" s="96"/>
      <c r="P476" s="97"/>
      <c r="Q476" s="98"/>
      <c r="R476" s="135"/>
      <c r="U476" s="48" t="str">
        <f t="shared" si="52"/>
        <v/>
      </c>
      <c r="V476" s="16"/>
      <c r="W476" s="34"/>
      <c r="X476" s="35"/>
      <c r="Z476" s="74"/>
      <c r="AA476" s="130" t="str" cm="1">
        <f t="array" ref="AA476">HEX2ASCII(AB476)&amp;HEX2ASCII(AC476)&amp;HEX2ASCII(AD476)&amp;HEX2ASCII(AE476)&amp;HEX2ASCII(AF476)&amp;HEX2ASCII(AG476)&amp;HEX2ASCII(AH476)&amp;HEX2ASCII(AI476)</f>
        <v/>
      </c>
      <c r="AB476" s="147"/>
      <c r="AC476" s="148"/>
      <c r="AD476" s="148"/>
      <c r="AE476" s="148"/>
      <c r="AF476" s="148"/>
      <c r="AG476" s="148"/>
      <c r="AH476" s="148"/>
      <c r="AI476" s="149"/>
    </row>
    <row r="477" spans="11:35">
      <c r="K477" s="85"/>
      <c r="L477" s="54" t="str">
        <f t="shared" si="51"/>
        <v/>
      </c>
      <c r="M477" s="38" t="str">
        <f t="shared" ref="M477:M540" si="54">IFERROR(RIGHT("0000"&amp;DEC2HEX(N477),4),"")</f>
        <v>02D5</v>
      </c>
      <c r="N477" s="69">
        <f t="shared" si="53"/>
        <v>725</v>
      </c>
      <c r="O477" s="96"/>
      <c r="P477" s="97"/>
      <c r="Q477" s="98"/>
      <c r="R477" s="135"/>
      <c r="U477" s="48" t="str">
        <f t="shared" si="52"/>
        <v/>
      </c>
      <c r="V477" s="16"/>
      <c r="W477" s="34"/>
      <c r="X477" s="35"/>
      <c r="Z477" s="74"/>
      <c r="AA477" s="130" t="str" cm="1">
        <f t="array" ref="AA477">HEX2ASCII(AB477)&amp;HEX2ASCII(AC477)&amp;HEX2ASCII(AD477)&amp;HEX2ASCII(AE477)&amp;HEX2ASCII(AF477)&amp;HEX2ASCII(AG477)&amp;HEX2ASCII(AH477)&amp;HEX2ASCII(AI477)</f>
        <v/>
      </c>
      <c r="AB477" s="147"/>
      <c r="AC477" s="148"/>
      <c r="AD477" s="148"/>
      <c r="AE477" s="148"/>
      <c r="AF477" s="148"/>
      <c r="AG477" s="148"/>
      <c r="AH477" s="148"/>
      <c r="AI477" s="149"/>
    </row>
    <row r="478" spans="11:35">
      <c r="K478" s="85"/>
      <c r="L478" s="54" t="str">
        <f t="shared" si="51"/>
        <v/>
      </c>
      <c r="M478" s="38" t="str">
        <f t="shared" si="54"/>
        <v>02D6</v>
      </c>
      <c r="N478" s="69">
        <f t="shared" si="53"/>
        <v>726</v>
      </c>
      <c r="O478" s="96"/>
      <c r="P478" s="97"/>
      <c r="Q478" s="98"/>
      <c r="R478" s="135"/>
      <c r="U478" s="48" t="str">
        <f t="shared" si="52"/>
        <v/>
      </c>
      <c r="V478" s="16"/>
      <c r="W478" s="34"/>
      <c r="X478" s="35"/>
      <c r="Z478" s="74"/>
      <c r="AA478" s="130" t="str" cm="1">
        <f t="array" ref="AA478">HEX2ASCII(AB478)&amp;HEX2ASCII(AC478)&amp;HEX2ASCII(AD478)&amp;HEX2ASCII(AE478)&amp;HEX2ASCII(AF478)&amp;HEX2ASCII(AG478)&amp;HEX2ASCII(AH478)&amp;HEX2ASCII(AI478)</f>
        <v/>
      </c>
      <c r="AB478" s="147"/>
      <c r="AC478" s="148"/>
      <c r="AD478" s="148"/>
      <c r="AE478" s="148"/>
      <c r="AF478" s="148"/>
      <c r="AG478" s="148"/>
      <c r="AH478" s="148"/>
      <c r="AI478" s="149"/>
    </row>
    <row r="479" spans="11:35">
      <c r="K479" s="85"/>
      <c r="L479" s="54" t="str">
        <f t="shared" si="51"/>
        <v/>
      </c>
      <c r="M479" s="38" t="str">
        <f t="shared" si="54"/>
        <v>02D7</v>
      </c>
      <c r="N479" s="69">
        <f t="shared" si="53"/>
        <v>727</v>
      </c>
      <c r="O479" s="96"/>
      <c r="P479" s="97"/>
      <c r="Q479" s="98"/>
      <c r="R479" s="135"/>
      <c r="U479" s="48" t="str">
        <f t="shared" si="52"/>
        <v/>
      </c>
      <c r="V479" s="16"/>
      <c r="W479" s="34"/>
      <c r="X479" s="35"/>
      <c r="Z479" s="74"/>
      <c r="AA479" s="130" t="str" cm="1">
        <f t="array" ref="AA479">HEX2ASCII(AB479)&amp;HEX2ASCII(AC479)&amp;HEX2ASCII(AD479)&amp;HEX2ASCII(AE479)&amp;HEX2ASCII(AF479)&amp;HEX2ASCII(AG479)&amp;HEX2ASCII(AH479)&amp;HEX2ASCII(AI479)</f>
        <v/>
      </c>
      <c r="AB479" s="147"/>
      <c r="AC479" s="148"/>
      <c r="AD479" s="148"/>
      <c r="AE479" s="148"/>
      <c r="AF479" s="148"/>
      <c r="AG479" s="148"/>
      <c r="AH479" s="148"/>
      <c r="AI479" s="149"/>
    </row>
    <row r="480" spans="11:35">
      <c r="K480" s="85"/>
      <c r="L480" s="54" t="str">
        <f t="shared" si="51"/>
        <v/>
      </c>
      <c r="M480" s="38" t="str">
        <f t="shared" si="54"/>
        <v>02D8</v>
      </c>
      <c r="N480" s="69">
        <f t="shared" si="53"/>
        <v>728</v>
      </c>
      <c r="O480" s="96"/>
      <c r="P480" s="97"/>
      <c r="Q480" s="98"/>
      <c r="R480" s="135"/>
      <c r="U480" s="48" t="str">
        <f t="shared" si="52"/>
        <v/>
      </c>
      <c r="V480" s="16"/>
      <c r="W480" s="34"/>
      <c r="X480" s="35"/>
      <c r="Z480" s="74"/>
      <c r="AA480" s="130" t="str" cm="1">
        <f t="array" ref="AA480">HEX2ASCII(AB480)&amp;HEX2ASCII(AC480)&amp;HEX2ASCII(AD480)&amp;HEX2ASCII(AE480)&amp;HEX2ASCII(AF480)&amp;HEX2ASCII(AG480)&amp;HEX2ASCII(AH480)&amp;HEX2ASCII(AI480)</f>
        <v/>
      </c>
      <c r="AB480" s="147"/>
      <c r="AC480" s="148"/>
      <c r="AD480" s="148"/>
      <c r="AE480" s="148"/>
      <c r="AF480" s="148"/>
      <c r="AG480" s="148"/>
      <c r="AH480" s="148"/>
      <c r="AI480" s="149"/>
    </row>
    <row r="481" spans="11:35">
      <c r="K481" s="85"/>
      <c r="L481" s="54" t="str">
        <f t="shared" si="51"/>
        <v/>
      </c>
      <c r="M481" s="38" t="str">
        <f t="shared" si="54"/>
        <v>02D9</v>
      </c>
      <c r="N481" s="69">
        <f t="shared" si="53"/>
        <v>729</v>
      </c>
      <c r="O481" s="96"/>
      <c r="P481" s="97"/>
      <c r="Q481" s="98"/>
      <c r="R481" s="135"/>
      <c r="U481" s="48" t="str">
        <f t="shared" si="52"/>
        <v/>
      </c>
      <c r="V481" s="16"/>
      <c r="W481" s="34"/>
      <c r="X481" s="35"/>
      <c r="Z481" s="74"/>
      <c r="AA481" s="130" t="str" cm="1">
        <f t="array" ref="AA481">HEX2ASCII(AB481)&amp;HEX2ASCII(AC481)&amp;HEX2ASCII(AD481)&amp;HEX2ASCII(AE481)&amp;HEX2ASCII(AF481)&amp;HEX2ASCII(AG481)&amp;HEX2ASCII(AH481)&amp;HEX2ASCII(AI481)</f>
        <v/>
      </c>
      <c r="AB481" s="147"/>
      <c r="AC481" s="148"/>
      <c r="AD481" s="148"/>
      <c r="AE481" s="148"/>
      <c r="AF481" s="148"/>
      <c r="AG481" s="148"/>
      <c r="AH481" s="148"/>
      <c r="AI481" s="149"/>
    </row>
    <row r="482" spans="11:35">
      <c r="K482" s="85"/>
      <c r="L482" s="54" t="str">
        <f t="shared" si="51"/>
        <v/>
      </c>
      <c r="M482" s="38" t="str">
        <f t="shared" si="54"/>
        <v>02DA</v>
      </c>
      <c r="N482" s="69">
        <f t="shared" si="53"/>
        <v>730</v>
      </c>
      <c r="O482" s="96"/>
      <c r="P482" s="97"/>
      <c r="Q482" s="98"/>
      <c r="R482" s="135"/>
      <c r="U482" s="48" t="str">
        <f t="shared" si="52"/>
        <v/>
      </c>
      <c r="V482" s="16"/>
      <c r="W482" s="34"/>
      <c r="X482" s="35"/>
      <c r="Z482" s="74"/>
      <c r="AA482" s="130" t="str" cm="1">
        <f t="array" ref="AA482">HEX2ASCII(AB482)&amp;HEX2ASCII(AC482)&amp;HEX2ASCII(AD482)&amp;HEX2ASCII(AE482)&amp;HEX2ASCII(AF482)&amp;HEX2ASCII(AG482)&amp;HEX2ASCII(AH482)&amp;HEX2ASCII(AI482)</f>
        <v/>
      </c>
      <c r="AB482" s="147"/>
      <c r="AC482" s="148"/>
      <c r="AD482" s="148"/>
      <c r="AE482" s="148"/>
      <c r="AF482" s="148"/>
      <c r="AG482" s="148"/>
      <c r="AH482" s="148"/>
      <c r="AI482" s="149"/>
    </row>
    <row r="483" spans="11:35">
      <c r="K483" s="85"/>
      <c r="L483" s="54" t="str">
        <f t="shared" si="51"/>
        <v/>
      </c>
      <c r="M483" s="38" t="str">
        <f t="shared" si="54"/>
        <v>02DB</v>
      </c>
      <c r="N483" s="69">
        <f t="shared" si="53"/>
        <v>731</v>
      </c>
      <c r="O483" s="96"/>
      <c r="P483" s="97"/>
      <c r="Q483" s="98"/>
      <c r="R483" s="135"/>
      <c r="U483" s="48" t="str">
        <f t="shared" si="52"/>
        <v/>
      </c>
      <c r="V483" s="16"/>
      <c r="W483" s="34"/>
      <c r="X483" s="35"/>
      <c r="Z483" s="74"/>
      <c r="AA483" s="130" t="str" cm="1">
        <f t="array" ref="AA483">HEX2ASCII(AB483)&amp;HEX2ASCII(AC483)&amp;HEX2ASCII(AD483)&amp;HEX2ASCII(AE483)&amp;HEX2ASCII(AF483)&amp;HEX2ASCII(AG483)&amp;HEX2ASCII(AH483)&amp;HEX2ASCII(AI483)</f>
        <v/>
      </c>
      <c r="AB483" s="147"/>
      <c r="AC483" s="148"/>
      <c r="AD483" s="148"/>
      <c r="AE483" s="148"/>
      <c r="AF483" s="148"/>
      <c r="AG483" s="148"/>
      <c r="AH483" s="148"/>
      <c r="AI483" s="149"/>
    </row>
    <row r="484" spans="11:35">
      <c r="K484" s="85"/>
      <c r="L484" s="54" t="str">
        <f t="shared" si="51"/>
        <v/>
      </c>
      <c r="M484" s="38" t="str">
        <f t="shared" si="54"/>
        <v>02DC</v>
      </c>
      <c r="N484" s="69">
        <f t="shared" si="53"/>
        <v>732</v>
      </c>
      <c r="O484" s="96"/>
      <c r="P484" s="97"/>
      <c r="Q484" s="98"/>
      <c r="R484" s="135"/>
      <c r="U484" s="48" t="str">
        <f t="shared" si="52"/>
        <v/>
      </c>
      <c r="V484" s="16"/>
      <c r="W484" s="34"/>
      <c r="X484" s="35"/>
      <c r="Z484" s="74"/>
      <c r="AA484" s="130" t="str" cm="1">
        <f t="array" ref="AA484">HEX2ASCII(AB484)&amp;HEX2ASCII(AC484)&amp;HEX2ASCII(AD484)&amp;HEX2ASCII(AE484)&amp;HEX2ASCII(AF484)&amp;HEX2ASCII(AG484)&amp;HEX2ASCII(AH484)&amp;HEX2ASCII(AI484)</f>
        <v/>
      </c>
      <c r="AB484" s="147"/>
      <c r="AC484" s="148"/>
      <c r="AD484" s="148"/>
      <c r="AE484" s="148"/>
      <c r="AF484" s="148"/>
      <c r="AG484" s="148"/>
      <c r="AH484" s="148"/>
      <c r="AI484" s="149"/>
    </row>
    <row r="485" spans="11:35">
      <c r="K485" s="85"/>
      <c r="L485" s="54" t="str">
        <f t="shared" si="51"/>
        <v/>
      </c>
      <c r="M485" s="38" t="str">
        <f t="shared" si="54"/>
        <v>02DD</v>
      </c>
      <c r="N485" s="69">
        <f t="shared" si="53"/>
        <v>733</v>
      </c>
      <c r="O485" s="96"/>
      <c r="P485" s="97"/>
      <c r="Q485" s="98"/>
      <c r="R485" s="135"/>
      <c r="U485" s="48" t="str">
        <f t="shared" si="52"/>
        <v/>
      </c>
      <c r="V485" s="16"/>
      <c r="W485" s="34"/>
      <c r="X485" s="35"/>
      <c r="Z485" s="74"/>
      <c r="AA485" s="130" t="str" cm="1">
        <f t="array" ref="AA485">HEX2ASCII(AB485)&amp;HEX2ASCII(AC485)&amp;HEX2ASCII(AD485)&amp;HEX2ASCII(AE485)&amp;HEX2ASCII(AF485)&amp;HEX2ASCII(AG485)&amp;HEX2ASCII(AH485)&amp;HEX2ASCII(AI485)</f>
        <v/>
      </c>
      <c r="AB485" s="147"/>
      <c r="AC485" s="148"/>
      <c r="AD485" s="148"/>
      <c r="AE485" s="148"/>
      <c r="AF485" s="148"/>
      <c r="AG485" s="148"/>
      <c r="AH485" s="148"/>
      <c r="AI485" s="149"/>
    </row>
    <row r="486" spans="11:35">
      <c r="K486" s="85"/>
      <c r="L486" s="54" t="str">
        <f t="shared" si="51"/>
        <v/>
      </c>
      <c r="M486" s="38" t="str">
        <f t="shared" si="54"/>
        <v>02DE</v>
      </c>
      <c r="N486" s="69">
        <f t="shared" si="53"/>
        <v>734</v>
      </c>
      <c r="O486" s="96"/>
      <c r="P486" s="97"/>
      <c r="Q486" s="98"/>
      <c r="R486" s="135"/>
      <c r="U486" s="48" t="str">
        <f t="shared" si="52"/>
        <v/>
      </c>
      <c r="V486" s="16"/>
      <c r="W486" s="34"/>
      <c r="X486" s="35"/>
      <c r="Z486" s="74"/>
      <c r="AA486" s="130" t="str" cm="1">
        <f t="array" ref="AA486">HEX2ASCII(AB486)&amp;HEX2ASCII(AC486)&amp;HEX2ASCII(AD486)&amp;HEX2ASCII(AE486)&amp;HEX2ASCII(AF486)&amp;HEX2ASCII(AG486)&amp;HEX2ASCII(AH486)&amp;HEX2ASCII(AI486)</f>
        <v/>
      </c>
      <c r="AB486" s="147"/>
      <c r="AC486" s="148"/>
      <c r="AD486" s="148"/>
      <c r="AE486" s="148"/>
      <c r="AF486" s="148"/>
      <c r="AG486" s="148"/>
      <c r="AH486" s="148"/>
      <c r="AI486" s="149"/>
    </row>
    <row r="487" spans="11:35">
      <c r="K487" s="85"/>
      <c r="L487" s="54" t="str">
        <f t="shared" si="51"/>
        <v/>
      </c>
      <c r="M487" s="38" t="str">
        <f t="shared" si="54"/>
        <v>02DF</v>
      </c>
      <c r="N487" s="69">
        <f t="shared" si="53"/>
        <v>735</v>
      </c>
      <c r="O487" s="96"/>
      <c r="P487" s="97"/>
      <c r="Q487" s="98"/>
      <c r="R487" s="135"/>
      <c r="U487" s="48" t="str">
        <f t="shared" si="52"/>
        <v/>
      </c>
      <c r="V487" s="16"/>
      <c r="W487" s="34"/>
      <c r="X487" s="35"/>
      <c r="Z487" s="74"/>
      <c r="AA487" s="130" t="str" cm="1">
        <f t="array" ref="AA487">HEX2ASCII(AB487)&amp;HEX2ASCII(AC487)&amp;HEX2ASCII(AD487)&amp;HEX2ASCII(AE487)&amp;HEX2ASCII(AF487)&amp;HEX2ASCII(AG487)&amp;HEX2ASCII(AH487)&amp;HEX2ASCII(AI487)</f>
        <v/>
      </c>
      <c r="AB487" s="147"/>
      <c r="AC487" s="148"/>
      <c r="AD487" s="148"/>
      <c r="AE487" s="148"/>
      <c r="AF487" s="148"/>
      <c r="AG487" s="148"/>
      <c r="AH487" s="148"/>
      <c r="AI487" s="149"/>
    </row>
    <row r="488" spans="11:35">
      <c r="K488" s="85"/>
      <c r="L488" s="54" t="str">
        <f t="shared" si="51"/>
        <v/>
      </c>
      <c r="M488" s="38" t="str">
        <f t="shared" si="54"/>
        <v>02E0</v>
      </c>
      <c r="N488" s="69">
        <f t="shared" si="53"/>
        <v>736</v>
      </c>
      <c r="O488" s="96"/>
      <c r="P488" s="97"/>
      <c r="Q488" s="98"/>
      <c r="R488" s="135"/>
      <c r="U488" s="48" t="str">
        <f t="shared" si="52"/>
        <v/>
      </c>
      <c r="V488" s="16"/>
      <c r="W488" s="34"/>
      <c r="X488" s="35"/>
      <c r="Z488" s="74"/>
      <c r="AA488" s="130" t="str" cm="1">
        <f t="array" ref="AA488">HEX2ASCII(AB488)&amp;HEX2ASCII(AC488)&amp;HEX2ASCII(AD488)&amp;HEX2ASCII(AE488)&amp;HEX2ASCII(AF488)&amp;HEX2ASCII(AG488)&amp;HEX2ASCII(AH488)&amp;HEX2ASCII(AI488)</f>
        <v/>
      </c>
      <c r="AB488" s="147"/>
      <c r="AC488" s="148"/>
      <c r="AD488" s="148"/>
      <c r="AE488" s="148"/>
      <c r="AF488" s="148"/>
      <c r="AG488" s="148"/>
      <c r="AH488" s="148"/>
      <c r="AI488" s="149"/>
    </row>
    <row r="489" spans="11:35">
      <c r="K489" s="85"/>
      <c r="L489" s="54" t="str">
        <f t="shared" si="51"/>
        <v/>
      </c>
      <c r="M489" s="38" t="str">
        <f t="shared" si="54"/>
        <v>02E1</v>
      </c>
      <c r="N489" s="69">
        <f t="shared" si="53"/>
        <v>737</v>
      </c>
      <c r="O489" s="96"/>
      <c r="P489" s="97"/>
      <c r="Q489" s="98"/>
      <c r="R489" s="135"/>
      <c r="U489" s="48" t="str">
        <f t="shared" si="52"/>
        <v/>
      </c>
      <c r="V489" s="16"/>
      <c r="W489" s="34"/>
      <c r="X489" s="35"/>
      <c r="Z489" s="74"/>
      <c r="AA489" s="130" t="str" cm="1">
        <f t="array" ref="AA489">HEX2ASCII(AB489)&amp;HEX2ASCII(AC489)&amp;HEX2ASCII(AD489)&amp;HEX2ASCII(AE489)&amp;HEX2ASCII(AF489)&amp;HEX2ASCII(AG489)&amp;HEX2ASCII(AH489)&amp;HEX2ASCII(AI489)</f>
        <v/>
      </c>
      <c r="AB489" s="147"/>
      <c r="AC489" s="148"/>
      <c r="AD489" s="148"/>
      <c r="AE489" s="148"/>
      <c r="AF489" s="148"/>
      <c r="AG489" s="148"/>
      <c r="AH489" s="148"/>
      <c r="AI489" s="149"/>
    </row>
    <row r="490" spans="11:35">
      <c r="K490" s="85"/>
      <c r="L490" s="54" t="str">
        <f t="shared" si="51"/>
        <v/>
      </c>
      <c r="M490" s="38" t="str">
        <f t="shared" si="54"/>
        <v>02E2</v>
      </c>
      <c r="N490" s="69">
        <f t="shared" si="53"/>
        <v>738</v>
      </c>
      <c r="O490" s="96"/>
      <c r="P490" s="97"/>
      <c r="Q490" s="98"/>
      <c r="R490" s="135"/>
      <c r="U490" s="48" t="str">
        <f t="shared" si="52"/>
        <v/>
      </c>
      <c r="V490" s="16"/>
      <c r="W490" s="34"/>
      <c r="X490" s="35"/>
      <c r="Z490" s="74"/>
      <c r="AA490" s="130" t="str" cm="1">
        <f t="array" ref="AA490">HEX2ASCII(AB490)&amp;HEX2ASCII(AC490)&amp;HEX2ASCII(AD490)&amp;HEX2ASCII(AE490)&amp;HEX2ASCII(AF490)&amp;HEX2ASCII(AG490)&amp;HEX2ASCII(AH490)&amp;HEX2ASCII(AI490)</f>
        <v/>
      </c>
      <c r="AB490" s="147"/>
      <c r="AC490" s="148"/>
      <c r="AD490" s="148"/>
      <c r="AE490" s="148"/>
      <c r="AF490" s="148"/>
      <c r="AG490" s="148"/>
      <c r="AH490" s="148"/>
      <c r="AI490" s="149"/>
    </row>
    <row r="491" spans="11:35">
      <c r="K491" s="85"/>
      <c r="L491" s="54" t="str">
        <f t="shared" si="51"/>
        <v/>
      </c>
      <c r="M491" s="38" t="str">
        <f t="shared" si="54"/>
        <v>02E3</v>
      </c>
      <c r="N491" s="69">
        <f t="shared" si="53"/>
        <v>739</v>
      </c>
      <c r="O491" s="96"/>
      <c r="P491" s="97"/>
      <c r="Q491" s="98"/>
      <c r="R491" s="135"/>
      <c r="U491" s="48" t="str">
        <f t="shared" si="52"/>
        <v/>
      </c>
      <c r="V491" s="16"/>
      <c r="W491" s="34"/>
      <c r="X491" s="35"/>
      <c r="Z491" s="74"/>
      <c r="AA491" s="130" t="str" cm="1">
        <f t="array" ref="AA491">HEX2ASCII(AB491)&amp;HEX2ASCII(AC491)&amp;HEX2ASCII(AD491)&amp;HEX2ASCII(AE491)&amp;HEX2ASCII(AF491)&amp;HEX2ASCII(AG491)&amp;HEX2ASCII(AH491)&amp;HEX2ASCII(AI491)</f>
        <v/>
      </c>
      <c r="AB491" s="147"/>
      <c r="AC491" s="148"/>
      <c r="AD491" s="148"/>
      <c r="AE491" s="148"/>
      <c r="AF491" s="148"/>
      <c r="AG491" s="148"/>
      <c r="AH491" s="148"/>
      <c r="AI491" s="149"/>
    </row>
    <row r="492" spans="11:35">
      <c r="K492" s="85"/>
      <c r="L492" s="54" t="str">
        <f t="shared" si="51"/>
        <v/>
      </c>
      <c r="M492" s="38" t="str">
        <f t="shared" si="54"/>
        <v>02E4</v>
      </c>
      <c r="N492" s="69">
        <f t="shared" si="53"/>
        <v>740</v>
      </c>
      <c r="O492" s="96"/>
      <c r="P492" s="97"/>
      <c r="Q492" s="98"/>
      <c r="R492" s="135"/>
      <c r="U492" s="48" t="str">
        <f t="shared" si="52"/>
        <v/>
      </c>
      <c r="V492" s="16"/>
      <c r="W492" s="34"/>
      <c r="X492" s="35"/>
      <c r="Z492" s="74"/>
      <c r="AA492" s="130" t="str" cm="1">
        <f t="array" ref="AA492">HEX2ASCII(AB492)&amp;HEX2ASCII(AC492)&amp;HEX2ASCII(AD492)&amp;HEX2ASCII(AE492)&amp;HEX2ASCII(AF492)&amp;HEX2ASCII(AG492)&amp;HEX2ASCII(AH492)&amp;HEX2ASCII(AI492)</f>
        <v/>
      </c>
      <c r="AB492" s="147"/>
      <c r="AC492" s="148"/>
      <c r="AD492" s="148"/>
      <c r="AE492" s="148"/>
      <c r="AF492" s="148"/>
      <c r="AG492" s="148"/>
      <c r="AH492" s="148"/>
      <c r="AI492" s="149"/>
    </row>
    <row r="493" spans="11:35">
      <c r="K493" s="85"/>
      <c r="L493" s="54" t="str">
        <f t="shared" si="51"/>
        <v/>
      </c>
      <c r="M493" s="38" t="str">
        <f t="shared" si="54"/>
        <v>02E5</v>
      </c>
      <c r="N493" s="69">
        <f t="shared" si="53"/>
        <v>741</v>
      </c>
      <c r="O493" s="96"/>
      <c r="P493" s="97"/>
      <c r="Q493" s="98"/>
      <c r="R493" s="135"/>
      <c r="U493" s="48" t="str">
        <f t="shared" si="52"/>
        <v/>
      </c>
      <c r="V493" s="16"/>
      <c r="W493" s="34"/>
      <c r="X493" s="35"/>
      <c r="Z493" s="74"/>
      <c r="AA493" s="130" t="str" cm="1">
        <f t="array" ref="AA493">HEX2ASCII(AB493)&amp;HEX2ASCII(AC493)&amp;HEX2ASCII(AD493)&amp;HEX2ASCII(AE493)&amp;HEX2ASCII(AF493)&amp;HEX2ASCII(AG493)&amp;HEX2ASCII(AH493)&amp;HEX2ASCII(AI493)</f>
        <v/>
      </c>
      <c r="AB493" s="147"/>
      <c r="AC493" s="148"/>
      <c r="AD493" s="148"/>
      <c r="AE493" s="148"/>
      <c r="AF493" s="148"/>
      <c r="AG493" s="148"/>
      <c r="AH493" s="148"/>
      <c r="AI493" s="149"/>
    </row>
    <row r="494" spans="11:35">
      <c r="K494" s="85"/>
      <c r="L494" s="54" t="str">
        <f t="shared" si="51"/>
        <v/>
      </c>
      <c r="M494" s="38" t="str">
        <f t="shared" si="54"/>
        <v>02E6</v>
      </c>
      <c r="N494" s="69">
        <f t="shared" si="53"/>
        <v>742</v>
      </c>
      <c r="O494" s="96"/>
      <c r="P494" s="97"/>
      <c r="Q494" s="98"/>
      <c r="R494" s="135"/>
      <c r="U494" s="48" t="str">
        <f t="shared" si="52"/>
        <v/>
      </c>
      <c r="V494" s="16"/>
      <c r="W494" s="34"/>
      <c r="X494" s="35"/>
      <c r="Z494" s="74"/>
      <c r="AA494" s="130" t="str" cm="1">
        <f t="array" ref="AA494">HEX2ASCII(AB494)&amp;HEX2ASCII(AC494)&amp;HEX2ASCII(AD494)&amp;HEX2ASCII(AE494)&amp;HEX2ASCII(AF494)&amp;HEX2ASCII(AG494)&amp;HEX2ASCII(AH494)&amp;HEX2ASCII(AI494)</f>
        <v/>
      </c>
      <c r="AB494" s="147"/>
      <c r="AC494" s="148"/>
      <c r="AD494" s="148"/>
      <c r="AE494" s="148"/>
      <c r="AF494" s="148"/>
      <c r="AG494" s="148"/>
      <c r="AH494" s="148"/>
      <c r="AI494" s="149"/>
    </row>
    <row r="495" spans="11:35">
      <c r="K495" s="85"/>
      <c r="L495" s="54" t="str">
        <f t="shared" si="51"/>
        <v/>
      </c>
      <c r="M495" s="38" t="str">
        <f t="shared" si="54"/>
        <v>02E7</v>
      </c>
      <c r="N495" s="69">
        <f t="shared" si="53"/>
        <v>743</v>
      </c>
      <c r="O495" s="96"/>
      <c r="P495" s="97"/>
      <c r="Q495" s="98"/>
      <c r="R495" s="135"/>
      <c r="U495" s="48" t="str">
        <f t="shared" si="52"/>
        <v/>
      </c>
      <c r="V495" s="16"/>
      <c r="W495" s="34"/>
      <c r="X495" s="35"/>
      <c r="Z495" s="74"/>
      <c r="AA495" s="130" t="str" cm="1">
        <f t="array" ref="AA495">HEX2ASCII(AB495)&amp;HEX2ASCII(AC495)&amp;HEX2ASCII(AD495)&amp;HEX2ASCII(AE495)&amp;HEX2ASCII(AF495)&amp;HEX2ASCII(AG495)&amp;HEX2ASCII(AH495)&amp;HEX2ASCII(AI495)</f>
        <v/>
      </c>
      <c r="AB495" s="147"/>
      <c r="AC495" s="148"/>
      <c r="AD495" s="148"/>
      <c r="AE495" s="148"/>
      <c r="AF495" s="148"/>
      <c r="AG495" s="148"/>
      <c r="AH495" s="148"/>
      <c r="AI495" s="149"/>
    </row>
    <row r="496" spans="11:35">
      <c r="K496" s="85"/>
      <c r="L496" s="54" t="str">
        <f t="shared" si="51"/>
        <v/>
      </c>
      <c r="M496" s="38" t="str">
        <f t="shared" si="54"/>
        <v>02E8</v>
      </c>
      <c r="N496" s="69">
        <f t="shared" si="53"/>
        <v>744</v>
      </c>
      <c r="O496" s="96"/>
      <c r="P496" s="97"/>
      <c r="Q496" s="98"/>
      <c r="R496" s="135"/>
      <c r="U496" s="48" t="str">
        <f t="shared" si="52"/>
        <v/>
      </c>
      <c r="V496" s="16"/>
      <c r="W496" s="34"/>
      <c r="X496" s="35"/>
      <c r="Z496" s="74"/>
      <c r="AA496" s="130" t="str" cm="1">
        <f t="array" ref="AA496">HEX2ASCII(AB496)&amp;HEX2ASCII(AC496)&amp;HEX2ASCII(AD496)&amp;HEX2ASCII(AE496)&amp;HEX2ASCII(AF496)&amp;HEX2ASCII(AG496)&amp;HEX2ASCII(AH496)&amp;HEX2ASCII(AI496)</f>
        <v/>
      </c>
      <c r="AB496" s="147"/>
      <c r="AC496" s="148"/>
      <c r="AD496" s="148"/>
      <c r="AE496" s="148"/>
      <c r="AF496" s="148"/>
      <c r="AG496" s="148"/>
      <c r="AH496" s="148"/>
      <c r="AI496" s="149"/>
    </row>
    <row r="497" spans="11:35">
      <c r="K497" s="85"/>
      <c r="L497" s="54" t="str">
        <f t="shared" si="51"/>
        <v/>
      </c>
      <c r="M497" s="38" t="str">
        <f t="shared" si="54"/>
        <v>02E9</v>
      </c>
      <c r="N497" s="69">
        <f t="shared" si="53"/>
        <v>745</v>
      </c>
      <c r="O497" s="96"/>
      <c r="P497" s="97"/>
      <c r="Q497" s="98"/>
      <c r="R497" s="135"/>
      <c r="U497" s="48" t="str">
        <f t="shared" si="52"/>
        <v/>
      </c>
      <c r="V497" s="16"/>
      <c r="W497" s="34"/>
      <c r="X497" s="35"/>
      <c r="Z497" s="74"/>
      <c r="AA497" s="130" t="str" cm="1">
        <f t="array" ref="AA497">HEX2ASCII(AB497)&amp;HEX2ASCII(AC497)&amp;HEX2ASCII(AD497)&amp;HEX2ASCII(AE497)&amp;HEX2ASCII(AF497)&amp;HEX2ASCII(AG497)&amp;HEX2ASCII(AH497)&amp;HEX2ASCII(AI497)</f>
        <v/>
      </c>
      <c r="AB497" s="147"/>
      <c r="AC497" s="148"/>
      <c r="AD497" s="148"/>
      <c r="AE497" s="148"/>
      <c r="AF497" s="148"/>
      <c r="AG497" s="148"/>
      <c r="AH497" s="148"/>
      <c r="AI497" s="149"/>
    </row>
    <row r="498" spans="11:35">
      <c r="K498" s="85"/>
      <c r="L498" s="54" t="str">
        <f t="shared" si="51"/>
        <v/>
      </c>
      <c r="M498" s="38" t="str">
        <f t="shared" si="54"/>
        <v>02EA</v>
      </c>
      <c r="N498" s="69">
        <f t="shared" si="53"/>
        <v>746</v>
      </c>
      <c r="O498" s="96"/>
      <c r="P498" s="97"/>
      <c r="Q498" s="98"/>
      <c r="R498" s="135"/>
      <c r="U498" s="48" t="str">
        <f t="shared" si="52"/>
        <v/>
      </c>
      <c r="V498" s="16"/>
      <c r="W498" s="34"/>
      <c r="X498" s="35"/>
      <c r="Z498" s="74"/>
      <c r="AA498" s="130" t="str" cm="1">
        <f t="array" ref="AA498">HEX2ASCII(AB498)&amp;HEX2ASCII(AC498)&amp;HEX2ASCII(AD498)&amp;HEX2ASCII(AE498)&amp;HEX2ASCII(AF498)&amp;HEX2ASCII(AG498)&amp;HEX2ASCII(AH498)&amp;HEX2ASCII(AI498)</f>
        <v/>
      </c>
      <c r="AB498" s="147"/>
      <c r="AC498" s="148"/>
      <c r="AD498" s="148"/>
      <c r="AE498" s="148"/>
      <c r="AF498" s="148"/>
      <c r="AG498" s="148"/>
      <c r="AH498" s="148"/>
      <c r="AI498" s="149"/>
    </row>
    <row r="499" spans="11:35">
      <c r="K499" s="85"/>
      <c r="L499" s="54" t="str">
        <f t="shared" si="51"/>
        <v/>
      </c>
      <c r="M499" s="38" t="str">
        <f t="shared" si="54"/>
        <v>02EB</v>
      </c>
      <c r="N499" s="69">
        <f t="shared" si="53"/>
        <v>747</v>
      </c>
      <c r="O499" s="96"/>
      <c r="P499" s="97"/>
      <c r="Q499" s="98"/>
      <c r="R499" s="135"/>
      <c r="U499" s="48" t="str">
        <f t="shared" si="52"/>
        <v/>
      </c>
      <c r="V499" s="16"/>
      <c r="W499" s="34"/>
      <c r="X499" s="35"/>
      <c r="Z499" s="74"/>
      <c r="AA499" s="130" t="str" cm="1">
        <f t="array" ref="AA499">HEX2ASCII(AB499)&amp;HEX2ASCII(AC499)&amp;HEX2ASCII(AD499)&amp;HEX2ASCII(AE499)&amp;HEX2ASCII(AF499)&amp;HEX2ASCII(AG499)&amp;HEX2ASCII(AH499)&amp;HEX2ASCII(AI499)</f>
        <v/>
      </c>
      <c r="AB499" s="147"/>
      <c r="AC499" s="148"/>
      <c r="AD499" s="148"/>
      <c r="AE499" s="148"/>
      <c r="AF499" s="148"/>
      <c r="AG499" s="148"/>
      <c r="AH499" s="148"/>
      <c r="AI499" s="149"/>
    </row>
    <row r="500" spans="11:35">
      <c r="K500" s="85"/>
      <c r="L500" s="54" t="str">
        <f t="shared" si="51"/>
        <v/>
      </c>
      <c r="M500" s="38" t="str">
        <f t="shared" si="54"/>
        <v>02EC</v>
      </c>
      <c r="N500" s="69">
        <f t="shared" si="53"/>
        <v>748</v>
      </c>
      <c r="O500" s="96"/>
      <c r="P500" s="97"/>
      <c r="Q500" s="98"/>
      <c r="R500" s="135"/>
      <c r="U500" s="48" t="str">
        <f t="shared" si="52"/>
        <v/>
      </c>
      <c r="V500" s="16"/>
      <c r="W500" s="34"/>
      <c r="X500" s="35"/>
      <c r="Z500" s="74"/>
      <c r="AA500" s="130" t="str" cm="1">
        <f t="array" ref="AA500">HEX2ASCII(AB500)&amp;HEX2ASCII(AC500)&amp;HEX2ASCII(AD500)&amp;HEX2ASCII(AE500)&amp;HEX2ASCII(AF500)&amp;HEX2ASCII(AG500)&amp;HEX2ASCII(AH500)&amp;HEX2ASCII(AI500)</f>
        <v/>
      </c>
      <c r="AB500" s="147"/>
      <c r="AC500" s="148"/>
      <c r="AD500" s="148"/>
      <c r="AE500" s="148"/>
      <c r="AF500" s="148"/>
      <c r="AG500" s="148"/>
      <c r="AH500" s="148"/>
      <c r="AI500" s="149"/>
    </row>
    <row r="501" spans="11:35">
      <c r="K501" s="85"/>
      <c r="L501" s="54" t="str">
        <f t="shared" si="51"/>
        <v/>
      </c>
      <c r="M501" s="38" t="str">
        <f t="shared" si="54"/>
        <v>02ED</v>
      </c>
      <c r="N501" s="69">
        <f t="shared" si="53"/>
        <v>749</v>
      </c>
      <c r="O501" s="96"/>
      <c r="P501" s="97"/>
      <c r="Q501" s="98"/>
      <c r="R501" s="135"/>
      <c r="U501" s="48" t="str">
        <f t="shared" si="52"/>
        <v/>
      </c>
      <c r="V501" s="16"/>
      <c r="W501" s="34"/>
      <c r="X501" s="35"/>
      <c r="Z501" s="74"/>
      <c r="AA501" s="130" t="str" cm="1">
        <f t="array" ref="AA501">HEX2ASCII(AB501)&amp;HEX2ASCII(AC501)&amp;HEX2ASCII(AD501)&amp;HEX2ASCII(AE501)&amp;HEX2ASCII(AF501)&amp;HEX2ASCII(AG501)&amp;HEX2ASCII(AH501)&amp;HEX2ASCII(AI501)</f>
        <v/>
      </c>
      <c r="AB501" s="147"/>
      <c r="AC501" s="148"/>
      <c r="AD501" s="148"/>
      <c r="AE501" s="148"/>
      <c r="AF501" s="148"/>
      <c r="AG501" s="148"/>
      <c r="AH501" s="148"/>
      <c r="AI501" s="149"/>
    </row>
    <row r="502" spans="11:35">
      <c r="K502" s="85"/>
      <c r="L502" s="54" t="str">
        <f t="shared" si="51"/>
        <v/>
      </c>
      <c r="M502" s="38" t="str">
        <f t="shared" si="54"/>
        <v>02EE</v>
      </c>
      <c r="N502" s="69">
        <f t="shared" si="53"/>
        <v>750</v>
      </c>
      <c r="O502" s="96"/>
      <c r="P502" s="97"/>
      <c r="Q502" s="98"/>
      <c r="R502" s="135"/>
      <c r="U502" s="48" t="str">
        <f t="shared" si="52"/>
        <v/>
      </c>
      <c r="V502" s="16"/>
      <c r="W502" s="34"/>
      <c r="X502" s="35"/>
      <c r="Z502" s="74"/>
      <c r="AA502" s="130" t="str" cm="1">
        <f t="array" ref="AA502">HEX2ASCII(AB502)&amp;HEX2ASCII(AC502)&amp;HEX2ASCII(AD502)&amp;HEX2ASCII(AE502)&amp;HEX2ASCII(AF502)&amp;HEX2ASCII(AG502)&amp;HEX2ASCII(AH502)&amp;HEX2ASCII(AI502)</f>
        <v/>
      </c>
      <c r="AB502" s="147"/>
      <c r="AC502" s="148"/>
      <c r="AD502" s="148"/>
      <c r="AE502" s="148"/>
      <c r="AF502" s="148"/>
      <c r="AG502" s="148"/>
      <c r="AH502" s="148"/>
      <c r="AI502" s="149"/>
    </row>
    <row r="503" spans="11:35">
      <c r="K503" s="85"/>
      <c r="L503" s="54" t="str">
        <f t="shared" si="51"/>
        <v/>
      </c>
      <c r="M503" s="38" t="str">
        <f t="shared" si="54"/>
        <v>02EF</v>
      </c>
      <c r="N503" s="69">
        <f t="shared" si="53"/>
        <v>751</v>
      </c>
      <c r="O503" s="96"/>
      <c r="P503" s="97"/>
      <c r="Q503" s="98"/>
      <c r="R503" s="135"/>
      <c r="U503" s="48" t="str">
        <f t="shared" si="52"/>
        <v/>
      </c>
      <c r="V503" s="16"/>
      <c r="W503" s="34"/>
      <c r="X503" s="35"/>
      <c r="Z503" s="74"/>
      <c r="AA503" s="130" t="str" cm="1">
        <f t="array" ref="AA503">HEX2ASCII(AB503)&amp;HEX2ASCII(AC503)&amp;HEX2ASCII(AD503)&amp;HEX2ASCII(AE503)&amp;HEX2ASCII(AF503)&amp;HEX2ASCII(AG503)&amp;HEX2ASCII(AH503)&amp;HEX2ASCII(AI503)</f>
        <v/>
      </c>
      <c r="AB503" s="147"/>
      <c r="AC503" s="148"/>
      <c r="AD503" s="148"/>
      <c r="AE503" s="148"/>
      <c r="AF503" s="148"/>
      <c r="AG503" s="148"/>
      <c r="AH503" s="148"/>
      <c r="AI503" s="149"/>
    </row>
    <row r="504" spans="11:35">
      <c r="K504" s="85"/>
      <c r="L504" s="54" t="str">
        <f t="shared" si="51"/>
        <v/>
      </c>
      <c r="M504" s="38" t="str">
        <f t="shared" si="54"/>
        <v>02F0</v>
      </c>
      <c r="N504" s="69">
        <f t="shared" si="53"/>
        <v>752</v>
      </c>
      <c r="O504" s="96"/>
      <c r="P504" s="97"/>
      <c r="Q504" s="98"/>
      <c r="R504" s="135"/>
      <c r="U504" s="48" t="str">
        <f t="shared" si="52"/>
        <v/>
      </c>
      <c r="V504" s="16"/>
      <c r="W504" s="34"/>
      <c r="X504" s="35"/>
      <c r="Z504" s="74"/>
      <c r="AA504" s="130" t="str" cm="1">
        <f t="array" ref="AA504">HEX2ASCII(AB504)&amp;HEX2ASCII(AC504)&amp;HEX2ASCII(AD504)&amp;HEX2ASCII(AE504)&amp;HEX2ASCII(AF504)&amp;HEX2ASCII(AG504)&amp;HEX2ASCII(AH504)&amp;HEX2ASCII(AI504)</f>
        <v/>
      </c>
      <c r="AB504" s="147"/>
      <c r="AC504" s="148"/>
      <c r="AD504" s="148"/>
      <c r="AE504" s="148"/>
      <c r="AF504" s="148"/>
      <c r="AG504" s="148"/>
      <c r="AH504" s="148"/>
      <c r="AI504" s="149"/>
    </row>
    <row r="505" spans="11:35">
      <c r="K505" s="85"/>
      <c r="L505" s="54" t="str">
        <f t="shared" si="51"/>
        <v/>
      </c>
      <c r="M505" s="38" t="str">
        <f t="shared" si="54"/>
        <v>02F1</v>
      </c>
      <c r="N505" s="69">
        <f t="shared" si="53"/>
        <v>753</v>
      </c>
      <c r="O505" s="96"/>
      <c r="P505" s="97"/>
      <c r="Q505" s="98"/>
      <c r="R505" s="135"/>
      <c r="U505" s="48" t="str">
        <f t="shared" si="52"/>
        <v/>
      </c>
      <c r="V505" s="16"/>
      <c r="W505" s="34"/>
      <c r="X505" s="35"/>
      <c r="Z505" s="74"/>
      <c r="AA505" s="130" t="str" cm="1">
        <f t="array" ref="AA505">HEX2ASCII(AB505)&amp;HEX2ASCII(AC505)&amp;HEX2ASCII(AD505)&amp;HEX2ASCII(AE505)&amp;HEX2ASCII(AF505)&amp;HEX2ASCII(AG505)&amp;HEX2ASCII(AH505)&amp;HEX2ASCII(AI505)</f>
        <v/>
      </c>
      <c r="AB505" s="147"/>
      <c r="AC505" s="148"/>
      <c r="AD505" s="148"/>
      <c r="AE505" s="148"/>
      <c r="AF505" s="148"/>
      <c r="AG505" s="148"/>
      <c r="AH505" s="148"/>
      <c r="AI505" s="149"/>
    </row>
    <row r="506" spans="11:35">
      <c r="K506" s="85"/>
      <c r="L506" s="54" t="str">
        <f t="shared" si="51"/>
        <v/>
      </c>
      <c r="M506" s="38" t="str">
        <f t="shared" si="54"/>
        <v>02F2</v>
      </c>
      <c r="N506" s="69">
        <f t="shared" si="53"/>
        <v>754</v>
      </c>
      <c r="O506" s="96"/>
      <c r="P506" s="97"/>
      <c r="Q506" s="98"/>
      <c r="R506" s="135"/>
      <c r="U506" s="48" t="str">
        <f t="shared" si="52"/>
        <v/>
      </c>
      <c r="V506" s="16"/>
      <c r="W506" s="34"/>
      <c r="X506" s="35"/>
      <c r="Z506" s="74"/>
      <c r="AA506" s="130" t="str" cm="1">
        <f t="array" ref="AA506">HEX2ASCII(AB506)&amp;HEX2ASCII(AC506)&amp;HEX2ASCII(AD506)&amp;HEX2ASCII(AE506)&amp;HEX2ASCII(AF506)&amp;HEX2ASCII(AG506)&amp;HEX2ASCII(AH506)&amp;HEX2ASCII(AI506)</f>
        <v/>
      </c>
      <c r="AB506" s="147"/>
      <c r="AC506" s="148"/>
      <c r="AD506" s="148"/>
      <c r="AE506" s="148"/>
      <c r="AF506" s="148"/>
      <c r="AG506" s="148"/>
      <c r="AH506" s="148"/>
      <c r="AI506" s="149"/>
    </row>
    <row r="507" spans="11:35">
      <c r="K507" s="85"/>
      <c r="L507" s="54" t="str">
        <f t="shared" si="51"/>
        <v/>
      </c>
      <c r="M507" s="38" t="str">
        <f t="shared" si="54"/>
        <v>02F3</v>
      </c>
      <c r="N507" s="69">
        <f t="shared" si="53"/>
        <v>755</v>
      </c>
      <c r="O507" s="96"/>
      <c r="P507" s="97"/>
      <c r="Q507" s="98"/>
      <c r="R507" s="135"/>
      <c r="U507" s="48" t="str">
        <f t="shared" si="52"/>
        <v/>
      </c>
      <c r="V507" s="16"/>
      <c r="W507" s="34"/>
      <c r="X507" s="35"/>
      <c r="Z507" s="74"/>
      <c r="AA507" s="130" t="str" cm="1">
        <f t="array" ref="AA507">HEX2ASCII(AB507)&amp;HEX2ASCII(AC507)&amp;HEX2ASCII(AD507)&amp;HEX2ASCII(AE507)&amp;HEX2ASCII(AF507)&amp;HEX2ASCII(AG507)&amp;HEX2ASCII(AH507)&amp;HEX2ASCII(AI507)</f>
        <v/>
      </c>
      <c r="AB507" s="147"/>
      <c r="AC507" s="148"/>
      <c r="AD507" s="148"/>
      <c r="AE507" s="148"/>
      <c r="AF507" s="148"/>
      <c r="AG507" s="148"/>
      <c r="AH507" s="148"/>
      <c r="AI507" s="149"/>
    </row>
    <row r="508" spans="11:35">
      <c r="K508" s="85"/>
      <c r="L508" s="54" t="str">
        <f t="shared" si="51"/>
        <v/>
      </c>
      <c r="M508" s="38" t="str">
        <f t="shared" si="54"/>
        <v>02F4</v>
      </c>
      <c r="N508" s="69">
        <f t="shared" si="53"/>
        <v>756</v>
      </c>
      <c r="O508" s="96"/>
      <c r="P508" s="97"/>
      <c r="Q508" s="98"/>
      <c r="R508" s="135"/>
      <c r="U508" s="48" t="str">
        <f t="shared" si="52"/>
        <v/>
      </c>
      <c r="V508" s="16"/>
      <c r="W508" s="34"/>
      <c r="X508" s="35"/>
      <c r="Z508" s="74"/>
      <c r="AA508" s="130" t="str" cm="1">
        <f t="array" ref="AA508">HEX2ASCII(AB508)&amp;HEX2ASCII(AC508)&amp;HEX2ASCII(AD508)&amp;HEX2ASCII(AE508)&amp;HEX2ASCII(AF508)&amp;HEX2ASCII(AG508)&amp;HEX2ASCII(AH508)&amp;HEX2ASCII(AI508)</f>
        <v/>
      </c>
      <c r="AB508" s="147"/>
      <c r="AC508" s="148"/>
      <c r="AD508" s="148"/>
      <c r="AE508" s="148"/>
      <c r="AF508" s="148"/>
      <c r="AG508" s="148"/>
      <c r="AH508" s="148"/>
      <c r="AI508" s="149"/>
    </row>
    <row r="509" spans="11:35">
      <c r="K509" s="85"/>
      <c r="L509" s="54" t="str">
        <f t="shared" si="51"/>
        <v/>
      </c>
      <c r="M509" s="38" t="str">
        <f t="shared" si="54"/>
        <v>02F5</v>
      </c>
      <c r="N509" s="69">
        <f t="shared" si="53"/>
        <v>757</v>
      </c>
      <c r="O509" s="96"/>
      <c r="P509" s="97"/>
      <c r="Q509" s="98"/>
      <c r="R509" s="135"/>
      <c r="U509" s="48" t="str">
        <f t="shared" si="52"/>
        <v/>
      </c>
      <c r="V509" s="16"/>
      <c r="W509" s="34"/>
      <c r="X509" s="35"/>
      <c r="Z509" s="74"/>
      <c r="AA509" s="130" t="str" cm="1">
        <f t="array" ref="AA509">HEX2ASCII(AB509)&amp;HEX2ASCII(AC509)&amp;HEX2ASCII(AD509)&amp;HEX2ASCII(AE509)&amp;HEX2ASCII(AF509)&amp;HEX2ASCII(AG509)&amp;HEX2ASCII(AH509)&amp;HEX2ASCII(AI509)</f>
        <v/>
      </c>
      <c r="AB509" s="147"/>
      <c r="AC509" s="148"/>
      <c r="AD509" s="148"/>
      <c r="AE509" s="148"/>
      <c r="AF509" s="148"/>
      <c r="AG509" s="148"/>
      <c r="AH509" s="148"/>
      <c r="AI509" s="149"/>
    </row>
    <row r="510" spans="11:35">
      <c r="K510" s="85"/>
      <c r="L510" s="54" t="str">
        <f t="shared" si="51"/>
        <v/>
      </c>
      <c r="M510" s="38" t="str">
        <f t="shared" si="54"/>
        <v>02F6</v>
      </c>
      <c r="N510" s="69">
        <f t="shared" si="53"/>
        <v>758</v>
      </c>
      <c r="O510" s="96"/>
      <c r="P510" s="97"/>
      <c r="Q510" s="98"/>
      <c r="R510" s="135"/>
      <c r="U510" s="48" t="str">
        <f t="shared" si="52"/>
        <v/>
      </c>
      <c r="V510" s="16"/>
      <c r="W510" s="34"/>
      <c r="X510" s="35"/>
      <c r="Z510" s="74"/>
      <c r="AA510" s="130" t="str" cm="1">
        <f t="array" ref="AA510">HEX2ASCII(AB510)&amp;HEX2ASCII(AC510)&amp;HEX2ASCII(AD510)&amp;HEX2ASCII(AE510)&amp;HEX2ASCII(AF510)&amp;HEX2ASCII(AG510)&amp;HEX2ASCII(AH510)&amp;HEX2ASCII(AI510)</f>
        <v/>
      </c>
      <c r="AB510" s="147"/>
      <c r="AC510" s="148"/>
      <c r="AD510" s="148"/>
      <c r="AE510" s="148"/>
      <c r="AF510" s="148"/>
      <c r="AG510" s="148"/>
      <c r="AH510" s="148"/>
      <c r="AI510" s="149"/>
    </row>
    <row r="511" spans="11:35">
      <c r="K511" s="85"/>
      <c r="L511" s="54" t="str">
        <f t="shared" si="51"/>
        <v/>
      </c>
      <c r="M511" s="38" t="str">
        <f t="shared" si="54"/>
        <v>02F7</v>
      </c>
      <c r="N511" s="69">
        <f t="shared" si="53"/>
        <v>759</v>
      </c>
      <c r="O511" s="96"/>
      <c r="P511" s="97"/>
      <c r="Q511" s="98"/>
      <c r="R511" s="135"/>
      <c r="U511" s="48" t="str">
        <f t="shared" si="52"/>
        <v/>
      </c>
      <c r="V511" s="16"/>
      <c r="W511" s="34"/>
      <c r="X511" s="35"/>
      <c r="Z511" s="74"/>
      <c r="AA511" s="130" t="str" cm="1">
        <f t="array" ref="AA511">HEX2ASCII(AB511)&amp;HEX2ASCII(AC511)&amp;HEX2ASCII(AD511)&amp;HEX2ASCII(AE511)&amp;HEX2ASCII(AF511)&amp;HEX2ASCII(AG511)&amp;HEX2ASCII(AH511)&amp;HEX2ASCII(AI511)</f>
        <v/>
      </c>
      <c r="AB511" s="147"/>
      <c r="AC511" s="148"/>
      <c r="AD511" s="148"/>
      <c r="AE511" s="148"/>
      <c r="AF511" s="148"/>
      <c r="AG511" s="148"/>
      <c r="AH511" s="148"/>
      <c r="AI511" s="149"/>
    </row>
    <row r="512" spans="11:35">
      <c r="K512" s="85"/>
      <c r="L512" s="54" t="str">
        <f t="shared" si="51"/>
        <v/>
      </c>
      <c r="M512" s="38" t="str">
        <f t="shared" si="54"/>
        <v>02F8</v>
      </c>
      <c r="N512" s="69">
        <f t="shared" si="53"/>
        <v>760</v>
      </c>
      <c r="O512" s="96"/>
      <c r="P512" s="97"/>
      <c r="Q512" s="98"/>
      <c r="R512" s="135"/>
      <c r="U512" s="48" t="str">
        <f t="shared" si="52"/>
        <v/>
      </c>
      <c r="V512" s="16"/>
      <c r="W512" s="34"/>
      <c r="X512" s="35"/>
      <c r="Z512" s="74"/>
      <c r="AA512" s="130" t="str" cm="1">
        <f t="array" ref="AA512">HEX2ASCII(AB512)&amp;HEX2ASCII(AC512)&amp;HEX2ASCII(AD512)&amp;HEX2ASCII(AE512)&amp;HEX2ASCII(AF512)&amp;HEX2ASCII(AG512)&amp;HEX2ASCII(AH512)&amp;HEX2ASCII(AI512)</f>
        <v/>
      </c>
      <c r="AB512" s="147"/>
      <c r="AC512" s="148"/>
      <c r="AD512" s="148"/>
      <c r="AE512" s="148"/>
      <c r="AF512" s="148"/>
      <c r="AG512" s="148"/>
      <c r="AH512" s="148"/>
      <c r="AI512" s="149"/>
    </row>
    <row r="513" spans="11:35">
      <c r="K513" s="85"/>
      <c r="L513" s="54" t="str">
        <f t="shared" si="51"/>
        <v/>
      </c>
      <c r="M513" s="38" t="str">
        <f t="shared" si="54"/>
        <v>02F9</v>
      </c>
      <c r="N513" s="69">
        <f t="shared" si="53"/>
        <v>761</v>
      </c>
      <c r="O513" s="96"/>
      <c r="P513" s="97"/>
      <c r="Q513" s="98"/>
      <c r="R513" s="135"/>
      <c r="U513" s="48" t="str">
        <f t="shared" si="52"/>
        <v/>
      </c>
      <c r="V513" s="16"/>
      <c r="W513" s="34"/>
      <c r="X513" s="35"/>
      <c r="Z513" s="74"/>
      <c r="AA513" s="130" t="str" cm="1">
        <f t="array" ref="AA513">HEX2ASCII(AB513)&amp;HEX2ASCII(AC513)&amp;HEX2ASCII(AD513)&amp;HEX2ASCII(AE513)&amp;HEX2ASCII(AF513)&amp;HEX2ASCII(AG513)&amp;HEX2ASCII(AH513)&amp;HEX2ASCII(AI513)</f>
        <v/>
      </c>
      <c r="AB513" s="147"/>
      <c r="AC513" s="148"/>
      <c r="AD513" s="148"/>
      <c r="AE513" s="148"/>
      <c r="AF513" s="148"/>
      <c r="AG513" s="148"/>
      <c r="AH513" s="148"/>
      <c r="AI513" s="149"/>
    </row>
    <row r="514" spans="11:35">
      <c r="K514" s="85"/>
      <c r="L514" s="54" t="str">
        <f t="shared" si="51"/>
        <v/>
      </c>
      <c r="M514" s="38" t="str">
        <f t="shared" si="54"/>
        <v>02FA</v>
      </c>
      <c r="N514" s="69">
        <f t="shared" si="53"/>
        <v>762</v>
      </c>
      <c r="O514" s="96"/>
      <c r="P514" s="97"/>
      <c r="Q514" s="98"/>
      <c r="R514" s="135"/>
      <c r="U514" s="48" t="str">
        <f t="shared" si="52"/>
        <v/>
      </c>
      <c r="V514" s="16"/>
      <c r="W514" s="34"/>
      <c r="X514" s="35"/>
      <c r="Z514" s="74"/>
      <c r="AA514" s="130" t="str" cm="1">
        <f t="array" ref="AA514">HEX2ASCII(AB514)&amp;HEX2ASCII(AC514)&amp;HEX2ASCII(AD514)&amp;HEX2ASCII(AE514)&amp;HEX2ASCII(AF514)&amp;HEX2ASCII(AG514)&amp;HEX2ASCII(AH514)&amp;HEX2ASCII(AI514)</f>
        <v/>
      </c>
      <c r="AB514" s="147"/>
      <c r="AC514" s="148"/>
      <c r="AD514" s="148"/>
      <c r="AE514" s="148"/>
      <c r="AF514" s="148"/>
      <c r="AG514" s="148"/>
      <c r="AH514" s="148"/>
      <c r="AI514" s="149"/>
    </row>
    <row r="515" spans="11:35">
      <c r="K515" s="85"/>
      <c r="L515" s="54" t="str">
        <f t="shared" si="51"/>
        <v/>
      </c>
      <c r="M515" s="38" t="str">
        <f t="shared" si="54"/>
        <v>02FB</v>
      </c>
      <c r="N515" s="69">
        <f t="shared" si="53"/>
        <v>763</v>
      </c>
      <c r="O515" s="96"/>
      <c r="P515" s="97"/>
      <c r="Q515" s="98"/>
      <c r="R515" s="135"/>
      <c r="U515" s="48" t="str">
        <f t="shared" si="52"/>
        <v/>
      </c>
      <c r="V515" s="16"/>
      <c r="W515" s="34"/>
      <c r="X515" s="35"/>
      <c r="Z515" s="74"/>
      <c r="AA515" s="130" t="str" cm="1">
        <f t="array" ref="AA515">HEX2ASCII(AB515)&amp;HEX2ASCII(AC515)&amp;HEX2ASCII(AD515)&amp;HEX2ASCII(AE515)&amp;HEX2ASCII(AF515)&amp;HEX2ASCII(AG515)&amp;HEX2ASCII(AH515)&amp;HEX2ASCII(AI515)</f>
        <v/>
      </c>
      <c r="AB515" s="147"/>
      <c r="AC515" s="148"/>
      <c r="AD515" s="148"/>
      <c r="AE515" s="148"/>
      <c r="AF515" s="148"/>
      <c r="AG515" s="148"/>
      <c r="AH515" s="148"/>
      <c r="AI515" s="149"/>
    </row>
    <row r="516" spans="11:35">
      <c r="K516" s="85"/>
      <c r="L516" s="54" t="str">
        <f t="shared" si="51"/>
        <v/>
      </c>
      <c r="M516" s="38" t="str">
        <f t="shared" si="54"/>
        <v>02FC</v>
      </c>
      <c r="N516" s="69">
        <f t="shared" si="53"/>
        <v>764</v>
      </c>
      <c r="O516" s="96"/>
      <c r="P516" s="97"/>
      <c r="Q516" s="98"/>
      <c r="R516" s="135"/>
      <c r="U516" s="48" t="str">
        <f t="shared" si="52"/>
        <v/>
      </c>
      <c r="V516" s="16"/>
      <c r="W516" s="34"/>
      <c r="X516" s="35"/>
      <c r="Z516" s="74"/>
      <c r="AA516" s="130" t="str" cm="1">
        <f t="array" ref="AA516">HEX2ASCII(AB516)&amp;HEX2ASCII(AC516)&amp;HEX2ASCII(AD516)&amp;HEX2ASCII(AE516)&amp;HEX2ASCII(AF516)&amp;HEX2ASCII(AG516)&amp;HEX2ASCII(AH516)&amp;HEX2ASCII(AI516)</f>
        <v/>
      </c>
      <c r="AB516" s="147"/>
      <c r="AC516" s="148"/>
      <c r="AD516" s="148"/>
      <c r="AE516" s="148"/>
      <c r="AF516" s="148"/>
      <c r="AG516" s="148"/>
      <c r="AH516" s="148"/>
      <c r="AI516" s="149"/>
    </row>
    <row r="517" spans="11:35">
      <c r="K517" s="85"/>
      <c r="L517" s="54" t="str">
        <f t="shared" si="51"/>
        <v/>
      </c>
      <c r="M517" s="38" t="str">
        <f t="shared" si="54"/>
        <v>02FD</v>
      </c>
      <c r="N517" s="69">
        <f t="shared" si="53"/>
        <v>765</v>
      </c>
      <c r="O517" s="96"/>
      <c r="P517" s="97"/>
      <c r="Q517" s="98"/>
      <c r="R517" s="135"/>
      <c r="U517" s="48" t="str">
        <f t="shared" si="52"/>
        <v/>
      </c>
      <c r="V517" s="16"/>
      <c r="W517" s="34"/>
      <c r="X517" s="35"/>
      <c r="Z517" s="74"/>
      <c r="AA517" s="130" t="str" cm="1">
        <f t="array" ref="AA517">HEX2ASCII(AB517)&amp;HEX2ASCII(AC517)&amp;HEX2ASCII(AD517)&amp;HEX2ASCII(AE517)&amp;HEX2ASCII(AF517)&amp;HEX2ASCII(AG517)&amp;HEX2ASCII(AH517)&amp;HEX2ASCII(AI517)</f>
        <v/>
      </c>
      <c r="AB517" s="147"/>
      <c r="AC517" s="148"/>
      <c r="AD517" s="148"/>
      <c r="AE517" s="148"/>
      <c r="AF517" s="148"/>
      <c r="AG517" s="148"/>
      <c r="AH517" s="148"/>
      <c r="AI517" s="149"/>
    </row>
    <row r="518" spans="11:35">
      <c r="K518" s="85"/>
      <c r="L518" s="54" t="str">
        <f t="shared" si="51"/>
        <v/>
      </c>
      <c r="M518" s="38" t="str">
        <f t="shared" si="54"/>
        <v>02FE</v>
      </c>
      <c r="N518" s="69">
        <f t="shared" si="53"/>
        <v>766</v>
      </c>
      <c r="O518" s="96"/>
      <c r="P518" s="97"/>
      <c r="Q518" s="98"/>
      <c r="R518" s="135"/>
      <c r="U518" s="48" t="str">
        <f t="shared" si="52"/>
        <v/>
      </c>
      <c r="V518" s="16"/>
      <c r="W518" s="34"/>
      <c r="X518" s="35"/>
      <c r="Z518" s="74"/>
      <c r="AA518" s="130" t="str" cm="1">
        <f t="array" ref="AA518">HEX2ASCII(AB518)&amp;HEX2ASCII(AC518)&amp;HEX2ASCII(AD518)&amp;HEX2ASCII(AE518)&amp;HEX2ASCII(AF518)&amp;HEX2ASCII(AG518)&amp;HEX2ASCII(AH518)&amp;HEX2ASCII(AI518)</f>
        <v/>
      </c>
      <c r="AB518" s="147"/>
      <c r="AC518" s="148"/>
      <c r="AD518" s="148"/>
      <c r="AE518" s="148"/>
      <c r="AF518" s="148"/>
      <c r="AG518" s="148"/>
      <c r="AH518" s="148"/>
      <c r="AI518" s="149"/>
    </row>
    <row r="519" spans="11:35">
      <c r="K519" s="85"/>
      <c r="L519" s="54" t="str">
        <f t="shared" si="51"/>
        <v/>
      </c>
      <c r="M519" s="38" t="str">
        <f t="shared" si="54"/>
        <v>02FF</v>
      </c>
      <c r="N519" s="69">
        <f t="shared" si="53"/>
        <v>767</v>
      </c>
      <c r="O519" s="96"/>
      <c r="P519" s="97"/>
      <c r="Q519" s="98"/>
      <c r="R519" s="135"/>
      <c r="U519" s="48" t="str">
        <f t="shared" si="52"/>
        <v/>
      </c>
      <c r="V519" s="16"/>
      <c r="W519" s="34"/>
      <c r="X519" s="35"/>
      <c r="Z519" s="74"/>
      <c r="AA519" s="130" t="str" cm="1">
        <f t="array" ref="AA519">HEX2ASCII(AB519)&amp;HEX2ASCII(AC519)&amp;HEX2ASCII(AD519)&amp;HEX2ASCII(AE519)&amp;HEX2ASCII(AF519)&amp;HEX2ASCII(AG519)&amp;HEX2ASCII(AH519)&amp;HEX2ASCII(AI519)</f>
        <v/>
      </c>
      <c r="AB519" s="147"/>
      <c r="AC519" s="148"/>
      <c r="AD519" s="148"/>
      <c r="AE519" s="148"/>
      <c r="AF519" s="148"/>
      <c r="AG519" s="148"/>
      <c r="AH519" s="148"/>
      <c r="AI519" s="149"/>
    </row>
    <row r="520" spans="11:35">
      <c r="K520" s="85"/>
      <c r="L520" s="54" t="str">
        <f t="shared" si="51"/>
        <v/>
      </c>
      <c r="M520" s="38" t="str">
        <f t="shared" si="54"/>
        <v>0300</v>
      </c>
      <c r="N520" s="69">
        <f t="shared" si="53"/>
        <v>768</v>
      </c>
      <c r="O520" s="96"/>
      <c r="P520" s="97"/>
      <c r="Q520" s="98"/>
      <c r="R520" s="135"/>
      <c r="U520" s="48" t="str">
        <f t="shared" si="52"/>
        <v/>
      </c>
      <c r="V520" s="16"/>
      <c r="W520" s="34"/>
      <c r="X520" s="35"/>
      <c r="Z520" s="74"/>
      <c r="AA520" s="130" t="str" cm="1">
        <f t="array" ref="AA520">HEX2ASCII(AB520)&amp;HEX2ASCII(AC520)&amp;HEX2ASCII(AD520)&amp;HEX2ASCII(AE520)&amp;HEX2ASCII(AF520)&amp;HEX2ASCII(AG520)&amp;HEX2ASCII(AH520)&amp;HEX2ASCII(AI520)</f>
        <v/>
      </c>
      <c r="AB520" s="147"/>
      <c r="AC520" s="148"/>
      <c r="AD520" s="148"/>
      <c r="AE520" s="148"/>
      <c r="AF520" s="148"/>
      <c r="AG520" s="148"/>
      <c r="AH520" s="148"/>
      <c r="AI520" s="149"/>
    </row>
    <row r="521" spans="11:35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0301</v>
      </c>
      <c r="N521" s="69">
        <f t="shared" si="53"/>
        <v>769</v>
      </c>
      <c r="O521" s="96"/>
      <c r="P521" s="97"/>
      <c r="Q521" s="98"/>
      <c r="R521" s="135"/>
      <c r="U521" s="48" t="str">
        <f t="shared" ref="U521:U584" si="56">IF(V521&gt;0,RIGHT("0000"&amp;DEC2HEX(V521),4),"")</f>
        <v/>
      </c>
      <c r="V521" s="16"/>
      <c r="W521" s="34"/>
      <c r="X521" s="35"/>
      <c r="Z521" s="74"/>
      <c r="AA521" s="130" t="str" cm="1">
        <f t="array" ref="AA521">HEX2ASCII(AB521)&amp;HEX2ASCII(AC521)&amp;HEX2ASCII(AD521)&amp;HEX2ASCII(AE521)&amp;HEX2ASCII(AF521)&amp;HEX2ASCII(AG521)&amp;HEX2ASCII(AH521)&amp;HEX2ASCII(AI521)</f>
        <v/>
      </c>
      <c r="AB521" s="147"/>
      <c r="AC521" s="148"/>
      <c r="AD521" s="148"/>
      <c r="AE521" s="148"/>
      <c r="AF521" s="148"/>
      <c r="AG521" s="148"/>
      <c r="AH521" s="148"/>
      <c r="AI521" s="149"/>
    </row>
    <row r="522" spans="11:35">
      <c r="K522" s="85"/>
      <c r="L522" s="54" t="str">
        <f t="shared" si="55"/>
        <v/>
      </c>
      <c r="M522" s="38" t="str">
        <f t="shared" si="54"/>
        <v>0302</v>
      </c>
      <c r="N522" s="69">
        <f t="shared" ref="N522:N585" si="57">N521+0*COUNTA(P521:R521)+1</f>
        <v>770</v>
      </c>
      <c r="O522" s="96"/>
      <c r="P522" s="97"/>
      <c r="Q522" s="98"/>
      <c r="R522" s="135"/>
      <c r="U522" s="48" t="str">
        <f t="shared" si="56"/>
        <v/>
      </c>
      <c r="V522" s="16"/>
      <c r="W522" s="34"/>
      <c r="X522" s="35"/>
      <c r="Z522" s="74"/>
      <c r="AA522" s="130" t="str" cm="1">
        <f t="array" ref="AA522">HEX2ASCII(AB522)&amp;HEX2ASCII(AC522)&amp;HEX2ASCII(AD522)&amp;HEX2ASCII(AE522)&amp;HEX2ASCII(AF522)&amp;HEX2ASCII(AG522)&amp;HEX2ASCII(AH522)&amp;HEX2ASCII(AI522)</f>
        <v/>
      </c>
      <c r="AB522" s="147"/>
      <c r="AC522" s="148"/>
      <c r="AD522" s="148"/>
      <c r="AE522" s="148"/>
      <c r="AF522" s="148"/>
      <c r="AG522" s="148"/>
      <c r="AH522" s="148"/>
      <c r="AI522" s="149"/>
    </row>
    <row r="523" spans="11:35">
      <c r="K523" s="85"/>
      <c r="L523" s="54" t="str">
        <f t="shared" si="55"/>
        <v/>
      </c>
      <c r="M523" s="38" t="str">
        <f t="shared" si="54"/>
        <v>0303</v>
      </c>
      <c r="N523" s="69">
        <f t="shared" si="57"/>
        <v>771</v>
      </c>
      <c r="O523" s="96"/>
      <c r="P523" s="97"/>
      <c r="Q523" s="98"/>
      <c r="R523" s="135"/>
      <c r="U523" s="48" t="str">
        <f t="shared" si="56"/>
        <v/>
      </c>
      <c r="V523" s="16"/>
      <c r="W523" s="34"/>
      <c r="X523" s="35"/>
      <c r="Z523" s="74"/>
      <c r="AA523" s="130" t="str" cm="1">
        <f t="array" ref="AA523">HEX2ASCII(AB523)&amp;HEX2ASCII(AC523)&amp;HEX2ASCII(AD523)&amp;HEX2ASCII(AE523)&amp;HEX2ASCII(AF523)&amp;HEX2ASCII(AG523)&amp;HEX2ASCII(AH523)&amp;HEX2ASCII(AI523)</f>
        <v/>
      </c>
      <c r="AB523" s="147"/>
      <c r="AC523" s="148"/>
      <c r="AD523" s="148"/>
      <c r="AE523" s="148"/>
      <c r="AF523" s="148"/>
      <c r="AG523" s="148"/>
      <c r="AH523" s="148"/>
      <c r="AI523" s="149"/>
    </row>
    <row r="524" spans="11:35">
      <c r="K524" s="85"/>
      <c r="L524" s="54" t="str">
        <f t="shared" si="55"/>
        <v/>
      </c>
      <c r="M524" s="38" t="str">
        <f t="shared" si="54"/>
        <v>0304</v>
      </c>
      <c r="N524" s="69">
        <f t="shared" si="57"/>
        <v>772</v>
      </c>
      <c r="O524" s="96"/>
      <c r="P524" s="97"/>
      <c r="Q524" s="98"/>
      <c r="R524" s="135"/>
      <c r="U524" s="48" t="str">
        <f t="shared" si="56"/>
        <v/>
      </c>
      <c r="V524" s="16"/>
      <c r="W524" s="34"/>
      <c r="X524" s="35"/>
      <c r="Z524" s="74"/>
      <c r="AA524" s="130" t="str" cm="1">
        <f t="array" ref="AA524">HEX2ASCII(AB524)&amp;HEX2ASCII(AC524)&amp;HEX2ASCII(AD524)&amp;HEX2ASCII(AE524)&amp;HEX2ASCII(AF524)&amp;HEX2ASCII(AG524)&amp;HEX2ASCII(AH524)&amp;HEX2ASCII(AI524)</f>
        <v/>
      </c>
      <c r="AB524" s="147"/>
      <c r="AC524" s="148"/>
      <c r="AD524" s="148"/>
      <c r="AE524" s="148"/>
      <c r="AF524" s="148"/>
      <c r="AG524" s="148"/>
      <c r="AH524" s="148"/>
      <c r="AI524" s="149"/>
    </row>
    <row r="525" spans="11:35">
      <c r="K525" s="85"/>
      <c r="L525" s="54" t="str">
        <f t="shared" si="55"/>
        <v/>
      </c>
      <c r="M525" s="38" t="str">
        <f t="shared" si="54"/>
        <v>0305</v>
      </c>
      <c r="N525" s="69">
        <f t="shared" si="57"/>
        <v>773</v>
      </c>
      <c r="O525" s="96"/>
      <c r="P525" s="97"/>
      <c r="Q525" s="98"/>
      <c r="R525" s="135"/>
      <c r="U525" s="48" t="str">
        <f t="shared" si="56"/>
        <v/>
      </c>
      <c r="V525" s="16"/>
      <c r="W525" s="34"/>
      <c r="X525" s="35"/>
      <c r="Z525" s="74"/>
      <c r="AA525" s="130" t="str" cm="1">
        <f t="array" ref="AA525">HEX2ASCII(AB525)&amp;HEX2ASCII(AC525)&amp;HEX2ASCII(AD525)&amp;HEX2ASCII(AE525)&amp;HEX2ASCII(AF525)&amp;HEX2ASCII(AG525)&amp;HEX2ASCII(AH525)&amp;HEX2ASCII(AI525)</f>
        <v/>
      </c>
      <c r="AB525" s="147"/>
      <c r="AC525" s="148"/>
      <c r="AD525" s="148"/>
      <c r="AE525" s="148"/>
      <c r="AF525" s="148"/>
      <c r="AG525" s="148"/>
      <c r="AH525" s="148"/>
      <c r="AI525" s="149"/>
    </row>
    <row r="526" spans="11:35">
      <c r="K526" s="85"/>
      <c r="L526" s="54" t="str">
        <f t="shared" si="55"/>
        <v/>
      </c>
      <c r="M526" s="38" t="str">
        <f t="shared" si="54"/>
        <v>0306</v>
      </c>
      <c r="N526" s="69">
        <f t="shared" si="57"/>
        <v>774</v>
      </c>
      <c r="O526" s="96"/>
      <c r="P526" s="97"/>
      <c r="Q526" s="98"/>
      <c r="R526" s="135"/>
      <c r="U526" s="48" t="str">
        <f t="shared" si="56"/>
        <v/>
      </c>
      <c r="V526" s="16"/>
      <c r="W526" s="34"/>
      <c r="X526" s="35"/>
      <c r="Z526" s="74"/>
      <c r="AA526" s="130" t="str" cm="1">
        <f t="array" ref="AA526">HEX2ASCII(AB526)&amp;HEX2ASCII(AC526)&amp;HEX2ASCII(AD526)&amp;HEX2ASCII(AE526)&amp;HEX2ASCII(AF526)&amp;HEX2ASCII(AG526)&amp;HEX2ASCII(AH526)&amp;HEX2ASCII(AI526)</f>
        <v/>
      </c>
      <c r="AB526" s="147"/>
      <c r="AC526" s="148"/>
      <c r="AD526" s="148"/>
      <c r="AE526" s="148"/>
      <c r="AF526" s="148"/>
      <c r="AG526" s="148"/>
      <c r="AH526" s="148"/>
      <c r="AI526" s="149"/>
    </row>
    <row r="527" spans="11:35">
      <c r="K527" s="85"/>
      <c r="L527" s="54" t="str">
        <f t="shared" si="55"/>
        <v/>
      </c>
      <c r="M527" s="38" t="str">
        <f t="shared" si="54"/>
        <v>0307</v>
      </c>
      <c r="N527" s="69">
        <f t="shared" si="57"/>
        <v>775</v>
      </c>
      <c r="O527" s="96"/>
      <c r="P527" s="97"/>
      <c r="Q527" s="98"/>
      <c r="R527" s="135"/>
      <c r="U527" s="48" t="str">
        <f t="shared" si="56"/>
        <v/>
      </c>
      <c r="V527" s="16"/>
      <c r="W527" s="34"/>
      <c r="X527" s="35"/>
      <c r="Z527" s="74"/>
      <c r="AA527" s="130" t="str" cm="1">
        <f t="array" ref="AA527">HEX2ASCII(AB527)&amp;HEX2ASCII(AC527)&amp;HEX2ASCII(AD527)&amp;HEX2ASCII(AE527)&amp;HEX2ASCII(AF527)&amp;HEX2ASCII(AG527)&amp;HEX2ASCII(AH527)&amp;HEX2ASCII(AI527)</f>
        <v/>
      </c>
      <c r="AB527" s="147"/>
      <c r="AC527" s="148"/>
      <c r="AD527" s="148"/>
      <c r="AE527" s="148"/>
      <c r="AF527" s="148"/>
      <c r="AG527" s="148"/>
      <c r="AH527" s="148"/>
      <c r="AI527" s="149"/>
    </row>
    <row r="528" spans="11:35">
      <c r="K528" s="85"/>
      <c r="L528" s="54" t="str">
        <f t="shared" si="55"/>
        <v/>
      </c>
      <c r="M528" s="38" t="str">
        <f t="shared" si="54"/>
        <v>0308</v>
      </c>
      <c r="N528" s="69">
        <f t="shared" si="57"/>
        <v>776</v>
      </c>
      <c r="O528" s="96"/>
      <c r="P528" s="97"/>
      <c r="Q528" s="98"/>
      <c r="R528" s="135"/>
      <c r="U528" s="48" t="str">
        <f t="shared" si="56"/>
        <v/>
      </c>
      <c r="V528" s="16"/>
      <c r="W528" s="34"/>
      <c r="X528" s="35"/>
      <c r="Z528" s="74"/>
      <c r="AA528" s="130" t="str" cm="1">
        <f t="array" ref="AA528">HEX2ASCII(AB528)&amp;HEX2ASCII(AC528)&amp;HEX2ASCII(AD528)&amp;HEX2ASCII(AE528)&amp;HEX2ASCII(AF528)&amp;HEX2ASCII(AG528)&amp;HEX2ASCII(AH528)&amp;HEX2ASCII(AI528)</f>
        <v/>
      </c>
      <c r="AB528" s="147"/>
      <c r="AC528" s="148"/>
      <c r="AD528" s="148"/>
      <c r="AE528" s="148"/>
      <c r="AF528" s="148"/>
      <c r="AG528" s="148"/>
      <c r="AH528" s="148"/>
      <c r="AI528" s="149"/>
    </row>
    <row r="529" spans="11:35">
      <c r="K529" s="85"/>
      <c r="L529" s="54" t="str">
        <f t="shared" si="55"/>
        <v/>
      </c>
      <c r="M529" s="38" t="str">
        <f t="shared" si="54"/>
        <v>0309</v>
      </c>
      <c r="N529" s="69">
        <f t="shared" si="57"/>
        <v>777</v>
      </c>
      <c r="O529" s="96"/>
      <c r="P529" s="97"/>
      <c r="Q529" s="98"/>
      <c r="R529" s="135"/>
      <c r="U529" s="48" t="str">
        <f t="shared" si="56"/>
        <v/>
      </c>
      <c r="V529" s="16"/>
      <c r="W529" s="34"/>
      <c r="X529" s="35"/>
      <c r="Z529" s="74"/>
      <c r="AA529" s="130" t="str" cm="1">
        <f t="array" ref="AA529">HEX2ASCII(AB529)&amp;HEX2ASCII(AC529)&amp;HEX2ASCII(AD529)&amp;HEX2ASCII(AE529)&amp;HEX2ASCII(AF529)&amp;HEX2ASCII(AG529)&amp;HEX2ASCII(AH529)&amp;HEX2ASCII(AI529)</f>
        <v/>
      </c>
      <c r="AB529" s="147"/>
      <c r="AC529" s="148"/>
      <c r="AD529" s="148"/>
      <c r="AE529" s="148"/>
      <c r="AF529" s="148"/>
      <c r="AG529" s="148"/>
      <c r="AH529" s="148"/>
      <c r="AI529" s="149"/>
    </row>
    <row r="530" spans="11:35">
      <c r="K530" s="85"/>
      <c r="L530" s="54" t="str">
        <f t="shared" si="55"/>
        <v/>
      </c>
      <c r="M530" s="38" t="str">
        <f t="shared" si="54"/>
        <v>030A</v>
      </c>
      <c r="N530" s="69">
        <f t="shared" si="57"/>
        <v>778</v>
      </c>
      <c r="O530" s="96"/>
      <c r="P530" s="97"/>
      <c r="Q530" s="98"/>
      <c r="R530" s="135"/>
      <c r="U530" s="48" t="str">
        <f t="shared" si="56"/>
        <v/>
      </c>
      <c r="V530" s="16"/>
      <c r="W530" s="34"/>
      <c r="X530" s="35"/>
      <c r="Z530" s="74"/>
      <c r="AA530" s="130" t="str" cm="1">
        <f t="array" ref="AA530">HEX2ASCII(AB530)&amp;HEX2ASCII(AC530)&amp;HEX2ASCII(AD530)&amp;HEX2ASCII(AE530)&amp;HEX2ASCII(AF530)&amp;HEX2ASCII(AG530)&amp;HEX2ASCII(AH530)&amp;HEX2ASCII(AI530)</f>
        <v/>
      </c>
      <c r="AB530" s="147"/>
      <c r="AC530" s="148"/>
      <c r="AD530" s="148"/>
      <c r="AE530" s="148"/>
      <c r="AF530" s="148"/>
      <c r="AG530" s="148"/>
      <c r="AH530" s="148"/>
      <c r="AI530" s="149"/>
    </row>
    <row r="531" spans="11:35">
      <c r="K531" s="85"/>
      <c r="L531" s="54" t="str">
        <f t="shared" si="55"/>
        <v/>
      </c>
      <c r="M531" s="38" t="str">
        <f t="shared" si="54"/>
        <v>030B</v>
      </c>
      <c r="N531" s="69">
        <f t="shared" si="57"/>
        <v>779</v>
      </c>
      <c r="O531" s="96"/>
      <c r="P531" s="97"/>
      <c r="Q531" s="98"/>
      <c r="R531" s="135"/>
      <c r="U531" s="48" t="str">
        <f t="shared" si="56"/>
        <v/>
      </c>
      <c r="V531" s="16"/>
      <c r="W531" s="34"/>
      <c r="X531" s="35"/>
      <c r="Z531" s="74"/>
      <c r="AA531" s="130" t="str" cm="1">
        <f t="array" ref="AA531">HEX2ASCII(AB531)&amp;HEX2ASCII(AC531)&amp;HEX2ASCII(AD531)&amp;HEX2ASCII(AE531)&amp;HEX2ASCII(AF531)&amp;HEX2ASCII(AG531)&amp;HEX2ASCII(AH531)&amp;HEX2ASCII(AI531)</f>
        <v/>
      </c>
      <c r="AB531" s="147"/>
      <c r="AC531" s="148"/>
      <c r="AD531" s="148"/>
      <c r="AE531" s="148"/>
      <c r="AF531" s="148"/>
      <c r="AG531" s="148"/>
      <c r="AH531" s="148"/>
      <c r="AI531" s="149"/>
    </row>
    <row r="532" spans="11:35">
      <c r="K532" s="85"/>
      <c r="L532" s="54" t="str">
        <f t="shared" si="55"/>
        <v/>
      </c>
      <c r="M532" s="38" t="str">
        <f t="shared" si="54"/>
        <v>030C</v>
      </c>
      <c r="N532" s="69">
        <f t="shared" si="57"/>
        <v>780</v>
      </c>
      <c r="O532" s="96"/>
      <c r="P532" s="97"/>
      <c r="Q532" s="98"/>
      <c r="R532" s="135"/>
      <c r="U532" s="48" t="str">
        <f t="shared" si="56"/>
        <v/>
      </c>
      <c r="V532" s="16"/>
      <c r="W532" s="34"/>
      <c r="X532" s="35"/>
      <c r="Z532" s="74"/>
      <c r="AA532" s="130" t="str" cm="1">
        <f t="array" ref="AA532">HEX2ASCII(AB532)&amp;HEX2ASCII(AC532)&amp;HEX2ASCII(AD532)&amp;HEX2ASCII(AE532)&amp;HEX2ASCII(AF532)&amp;HEX2ASCII(AG532)&amp;HEX2ASCII(AH532)&amp;HEX2ASCII(AI532)</f>
        <v/>
      </c>
      <c r="AB532" s="147"/>
      <c r="AC532" s="148"/>
      <c r="AD532" s="148"/>
      <c r="AE532" s="148"/>
      <c r="AF532" s="148"/>
      <c r="AG532" s="148"/>
      <c r="AH532" s="148"/>
      <c r="AI532" s="149"/>
    </row>
    <row r="533" spans="11:35">
      <c r="K533" s="85"/>
      <c r="L533" s="54" t="str">
        <f t="shared" si="55"/>
        <v/>
      </c>
      <c r="M533" s="38" t="str">
        <f t="shared" si="54"/>
        <v>030D</v>
      </c>
      <c r="N533" s="69">
        <f t="shared" si="57"/>
        <v>781</v>
      </c>
      <c r="O533" s="96"/>
      <c r="P533" s="97"/>
      <c r="Q533" s="98"/>
      <c r="R533" s="135"/>
      <c r="U533" s="48" t="str">
        <f t="shared" si="56"/>
        <v/>
      </c>
      <c r="V533" s="16"/>
      <c r="W533" s="34"/>
      <c r="X533" s="35"/>
      <c r="Z533" s="74"/>
      <c r="AA533" s="130" t="str" cm="1">
        <f t="array" ref="AA533">HEX2ASCII(AB533)&amp;HEX2ASCII(AC533)&amp;HEX2ASCII(AD533)&amp;HEX2ASCII(AE533)&amp;HEX2ASCII(AF533)&amp;HEX2ASCII(AG533)&amp;HEX2ASCII(AH533)&amp;HEX2ASCII(AI533)</f>
        <v/>
      </c>
      <c r="AB533" s="147"/>
      <c r="AC533" s="148"/>
      <c r="AD533" s="148"/>
      <c r="AE533" s="148"/>
      <c r="AF533" s="148"/>
      <c r="AG533" s="148"/>
      <c r="AH533" s="148"/>
      <c r="AI533" s="149"/>
    </row>
    <row r="534" spans="11:35">
      <c r="K534" s="85"/>
      <c r="L534" s="54" t="str">
        <f t="shared" si="55"/>
        <v/>
      </c>
      <c r="M534" s="38" t="str">
        <f t="shared" si="54"/>
        <v>030E</v>
      </c>
      <c r="N534" s="69">
        <f t="shared" si="57"/>
        <v>782</v>
      </c>
      <c r="O534" s="96"/>
      <c r="P534" s="97"/>
      <c r="Q534" s="98"/>
      <c r="R534" s="135"/>
      <c r="U534" s="48" t="str">
        <f t="shared" si="56"/>
        <v/>
      </c>
      <c r="V534" s="16"/>
      <c r="W534" s="34"/>
      <c r="X534" s="35"/>
      <c r="Z534" s="74"/>
      <c r="AA534" s="130" t="str" cm="1">
        <f t="array" ref="AA534">HEX2ASCII(AB534)&amp;HEX2ASCII(AC534)&amp;HEX2ASCII(AD534)&amp;HEX2ASCII(AE534)&amp;HEX2ASCII(AF534)&amp;HEX2ASCII(AG534)&amp;HEX2ASCII(AH534)&amp;HEX2ASCII(AI534)</f>
        <v/>
      </c>
      <c r="AB534" s="147"/>
      <c r="AC534" s="148"/>
      <c r="AD534" s="148"/>
      <c r="AE534" s="148"/>
      <c r="AF534" s="148"/>
      <c r="AG534" s="148"/>
      <c r="AH534" s="148"/>
      <c r="AI534" s="149"/>
    </row>
    <row r="535" spans="11:35">
      <c r="K535" s="85"/>
      <c r="L535" s="54" t="str">
        <f t="shared" si="55"/>
        <v/>
      </c>
      <c r="M535" s="38" t="str">
        <f t="shared" si="54"/>
        <v>030F</v>
      </c>
      <c r="N535" s="69">
        <f t="shared" si="57"/>
        <v>783</v>
      </c>
      <c r="O535" s="96"/>
      <c r="P535" s="97"/>
      <c r="Q535" s="98"/>
      <c r="R535" s="135"/>
      <c r="U535" s="48" t="str">
        <f t="shared" si="56"/>
        <v/>
      </c>
      <c r="V535" s="16"/>
      <c r="W535" s="34"/>
      <c r="X535" s="35"/>
      <c r="Z535" s="74"/>
      <c r="AA535" s="130" t="str" cm="1">
        <f t="array" ref="AA535">HEX2ASCII(AB535)&amp;HEX2ASCII(AC535)&amp;HEX2ASCII(AD535)&amp;HEX2ASCII(AE535)&amp;HEX2ASCII(AF535)&amp;HEX2ASCII(AG535)&amp;HEX2ASCII(AH535)&amp;HEX2ASCII(AI535)</f>
        <v/>
      </c>
      <c r="AB535" s="147"/>
      <c r="AC535" s="148"/>
      <c r="AD535" s="148"/>
      <c r="AE535" s="148"/>
      <c r="AF535" s="148"/>
      <c r="AG535" s="148"/>
      <c r="AH535" s="148"/>
      <c r="AI535" s="149"/>
    </row>
    <row r="536" spans="11:35">
      <c r="K536" s="85"/>
      <c r="L536" s="54" t="str">
        <f t="shared" si="55"/>
        <v/>
      </c>
      <c r="M536" s="38" t="str">
        <f t="shared" si="54"/>
        <v>0310</v>
      </c>
      <c r="N536" s="69">
        <f t="shared" si="57"/>
        <v>784</v>
      </c>
      <c r="O536" s="96"/>
      <c r="P536" s="97"/>
      <c r="Q536" s="98"/>
      <c r="R536" s="135"/>
      <c r="U536" s="48" t="str">
        <f t="shared" si="56"/>
        <v/>
      </c>
      <c r="V536" s="16"/>
      <c r="W536" s="34"/>
      <c r="X536" s="35"/>
      <c r="Z536" s="74"/>
      <c r="AA536" s="130" t="str" cm="1">
        <f t="array" ref="AA536">HEX2ASCII(AB536)&amp;HEX2ASCII(AC536)&amp;HEX2ASCII(AD536)&amp;HEX2ASCII(AE536)&amp;HEX2ASCII(AF536)&amp;HEX2ASCII(AG536)&amp;HEX2ASCII(AH536)&amp;HEX2ASCII(AI536)</f>
        <v/>
      </c>
      <c r="AB536" s="147"/>
      <c r="AC536" s="148"/>
      <c r="AD536" s="148"/>
      <c r="AE536" s="148"/>
      <c r="AF536" s="148"/>
      <c r="AG536" s="148"/>
      <c r="AH536" s="148"/>
      <c r="AI536" s="149"/>
    </row>
    <row r="537" spans="11:35">
      <c r="K537" s="85"/>
      <c r="L537" s="54" t="str">
        <f t="shared" si="55"/>
        <v/>
      </c>
      <c r="M537" s="38" t="str">
        <f t="shared" si="54"/>
        <v>0311</v>
      </c>
      <c r="N537" s="69">
        <f t="shared" si="57"/>
        <v>785</v>
      </c>
      <c r="O537" s="96"/>
      <c r="P537" s="97"/>
      <c r="Q537" s="98"/>
      <c r="R537" s="135"/>
      <c r="U537" s="48" t="str">
        <f t="shared" si="56"/>
        <v/>
      </c>
      <c r="V537" s="16"/>
      <c r="W537" s="34"/>
      <c r="X537" s="35"/>
      <c r="Z537" s="74"/>
      <c r="AA537" s="130" t="str" cm="1">
        <f t="array" ref="AA537">HEX2ASCII(AB537)&amp;HEX2ASCII(AC537)&amp;HEX2ASCII(AD537)&amp;HEX2ASCII(AE537)&amp;HEX2ASCII(AF537)&amp;HEX2ASCII(AG537)&amp;HEX2ASCII(AH537)&amp;HEX2ASCII(AI537)</f>
        <v/>
      </c>
      <c r="AB537" s="147"/>
      <c r="AC537" s="148"/>
      <c r="AD537" s="148"/>
      <c r="AE537" s="148"/>
      <c r="AF537" s="148"/>
      <c r="AG537" s="148"/>
      <c r="AH537" s="148"/>
      <c r="AI537" s="149"/>
    </row>
    <row r="538" spans="11:35">
      <c r="K538" s="85"/>
      <c r="L538" s="54" t="str">
        <f t="shared" si="55"/>
        <v/>
      </c>
      <c r="M538" s="38" t="str">
        <f t="shared" si="54"/>
        <v>0312</v>
      </c>
      <c r="N538" s="69">
        <f t="shared" si="57"/>
        <v>786</v>
      </c>
      <c r="O538" s="96"/>
      <c r="P538" s="97"/>
      <c r="Q538" s="98"/>
      <c r="R538" s="135"/>
      <c r="U538" s="48" t="str">
        <f t="shared" si="56"/>
        <v/>
      </c>
      <c r="V538" s="16"/>
      <c r="W538" s="34"/>
      <c r="X538" s="35"/>
      <c r="Z538" s="74"/>
      <c r="AA538" s="130" t="str" cm="1">
        <f t="array" ref="AA538">HEX2ASCII(AB538)&amp;HEX2ASCII(AC538)&amp;HEX2ASCII(AD538)&amp;HEX2ASCII(AE538)&amp;HEX2ASCII(AF538)&amp;HEX2ASCII(AG538)&amp;HEX2ASCII(AH538)&amp;HEX2ASCII(AI538)</f>
        <v/>
      </c>
      <c r="AB538" s="147"/>
      <c r="AC538" s="148"/>
      <c r="AD538" s="148"/>
      <c r="AE538" s="148"/>
      <c r="AF538" s="148"/>
      <c r="AG538" s="148"/>
      <c r="AH538" s="148"/>
      <c r="AI538" s="149"/>
    </row>
    <row r="539" spans="11:35">
      <c r="K539" s="85"/>
      <c r="L539" s="54" t="str">
        <f t="shared" si="55"/>
        <v/>
      </c>
      <c r="M539" s="38" t="str">
        <f t="shared" si="54"/>
        <v>0313</v>
      </c>
      <c r="N539" s="69">
        <f t="shared" si="57"/>
        <v>787</v>
      </c>
      <c r="O539" s="96"/>
      <c r="P539" s="97"/>
      <c r="Q539" s="98"/>
      <c r="R539" s="135"/>
      <c r="U539" s="48" t="str">
        <f t="shared" si="56"/>
        <v/>
      </c>
      <c r="V539" s="16"/>
      <c r="W539" s="34"/>
      <c r="X539" s="35"/>
      <c r="Z539" s="74"/>
      <c r="AA539" s="130" t="str" cm="1">
        <f t="array" ref="AA539">HEX2ASCII(AB539)&amp;HEX2ASCII(AC539)&amp;HEX2ASCII(AD539)&amp;HEX2ASCII(AE539)&amp;HEX2ASCII(AF539)&amp;HEX2ASCII(AG539)&amp;HEX2ASCII(AH539)&amp;HEX2ASCII(AI539)</f>
        <v/>
      </c>
      <c r="AB539" s="147"/>
      <c r="AC539" s="148"/>
      <c r="AD539" s="148"/>
      <c r="AE539" s="148"/>
      <c r="AF539" s="148"/>
      <c r="AG539" s="148"/>
      <c r="AH539" s="148"/>
      <c r="AI539" s="149"/>
    </row>
    <row r="540" spans="11:35">
      <c r="K540" s="85"/>
      <c r="L540" s="54" t="str">
        <f t="shared" si="55"/>
        <v/>
      </c>
      <c r="M540" s="38" t="str">
        <f t="shared" si="54"/>
        <v>0314</v>
      </c>
      <c r="N540" s="69">
        <f t="shared" si="57"/>
        <v>788</v>
      </c>
      <c r="O540" s="96"/>
      <c r="P540" s="97"/>
      <c r="Q540" s="98"/>
      <c r="R540" s="135"/>
      <c r="U540" s="48" t="str">
        <f t="shared" si="56"/>
        <v/>
      </c>
      <c r="V540" s="16"/>
      <c r="W540" s="34"/>
      <c r="X540" s="35"/>
      <c r="Z540" s="74"/>
      <c r="AA540" s="130" t="str" cm="1">
        <f t="array" ref="AA540">HEX2ASCII(AB540)&amp;HEX2ASCII(AC540)&amp;HEX2ASCII(AD540)&amp;HEX2ASCII(AE540)&amp;HEX2ASCII(AF540)&amp;HEX2ASCII(AG540)&amp;HEX2ASCII(AH540)&amp;HEX2ASCII(AI540)</f>
        <v/>
      </c>
      <c r="AB540" s="147"/>
      <c r="AC540" s="148"/>
      <c r="AD540" s="148"/>
      <c r="AE540" s="148"/>
      <c r="AF540" s="148"/>
      <c r="AG540" s="148"/>
      <c r="AH540" s="148"/>
      <c r="AI540" s="149"/>
    </row>
    <row r="541" spans="11:35">
      <c r="K541" s="85"/>
      <c r="L541" s="54" t="str">
        <f t="shared" si="55"/>
        <v/>
      </c>
      <c r="M541" s="38" t="str">
        <f t="shared" ref="M541:M604" si="58">IFERROR(RIGHT("0000"&amp;DEC2HEX(N541),4),"")</f>
        <v>0315</v>
      </c>
      <c r="N541" s="69">
        <f t="shared" si="57"/>
        <v>789</v>
      </c>
      <c r="O541" s="96"/>
      <c r="P541" s="97"/>
      <c r="Q541" s="98"/>
      <c r="R541" s="135"/>
      <c r="U541" s="48" t="str">
        <f t="shared" si="56"/>
        <v/>
      </c>
      <c r="V541" s="16"/>
      <c r="W541" s="34"/>
      <c r="X541" s="35"/>
      <c r="Z541" s="74"/>
      <c r="AA541" s="130" t="str" cm="1">
        <f t="array" ref="AA541">HEX2ASCII(AB541)&amp;HEX2ASCII(AC541)&amp;HEX2ASCII(AD541)&amp;HEX2ASCII(AE541)&amp;HEX2ASCII(AF541)&amp;HEX2ASCII(AG541)&amp;HEX2ASCII(AH541)&amp;HEX2ASCII(AI541)</f>
        <v/>
      </c>
      <c r="AB541" s="147"/>
      <c r="AC541" s="148"/>
      <c r="AD541" s="148"/>
      <c r="AE541" s="148"/>
      <c r="AF541" s="148"/>
      <c r="AG541" s="148"/>
      <c r="AH541" s="148"/>
      <c r="AI541" s="149"/>
    </row>
    <row r="542" spans="11:35">
      <c r="K542" s="85"/>
      <c r="L542" s="54" t="str">
        <f t="shared" si="55"/>
        <v/>
      </c>
      <c r="M542" s="38" t="str">
        <f t="shared" si="58"/>
        <v>0316</v>
      </c>
      <c r="N542" s="69">
        <f t="shared" si="57"/>
        <v>790</v>
      </c>
      <c r="O542" s="96"/>
      <c r="P542" s="97"/>
      <c r="Q542" s="98"/>
      <c r="R542" s="135"/>
      <c r="U542" s="48" t="str">
        <f t="shared" si="56"/>
        <v/>
      </c>
      <c r="V542" s="16"/>
      <c r="W542" s="34"/>
      <c r="X542" s="35"/>
      <c r="Z542" s="74"/>
      <c r="AA542" s="130" t="str" cm="1">
        <f t="array" ref="AA542">HEX2ASCII(AB542)&amp;HEX2ASCII(AC542)&amp;HEX2ASCII(AD542)&amp;HEX2ASCII(AE542)&amp;HEX2ASCII(AF542)&amp;HEX2ASCII(AG542)&amp;HEX2ASCII(AH542)&amp;HEX2ASCII(AI542)</f>
        <v/>
      </c>
      <c r="AB542" s="147"/>
      <c r="AC542" s="148"/>
      <c r="AD542" s="148"/>
      <c r="AE542" s="148"/>
      <c r="AF542" s="148"/>
      <c r="AG542" s="148"/>
      <c r="AH542" s="148"/>
      <c r="AI542" s="149"/>
    </row>
    <row r="543" spans="11:35">
      <c r="K543" s="85"/>
      <c r="L543" s="54" t="str">
        <f t="shared" si="55"/>
        <v/>
      </c>
      <c r="M543" s="38" t="str">
        <f t="shared" si="58"/>
        <v>0317</v>
      </c>
      <c r="N543" s="69">
        <f t="shared" si="57"/>
        <v>791</v>
      </c>
      <c r="O543" s="96"/>
      <c r="P543" s="97"/>
      <c r="Q543" s="98"/>
      <c r="R543" s="135"/>
      <c r="U543" s="48" t="str">
        <f t="shared" si="56"/>
        <v/>
      </c>
      <c r="V543" s="16"/>
      <c r="W543" s="34"/>
      <c r="X543" s="35"/>
      <c r="Z543" s="74"/>
      <c r="AA543" s="130" t="str" cm="1">
        <f t="array" ref="AA543">HEX2ASCII(AB543)&amp;HEX2ASCII(AC543)&amp;HEX2ASCII(AD543)&amp;HEX2ASCII(AE543)&amp;HEX2ASCII(AF543)&amp;HEX2ASCII(AG543)&amp;HEX2ASCII(AH543)&amp;HEX2ASCII(AI543)</f>
        <v/>
      </c>
      <c r="AB543" s="147"/>
      <c r="AC543" s="148"/>
      <c r="AD543" s="148"/>
      <c r="AE543" s="148"/>
      <c r="AF543" s="148"/>
      <c r="AG543" s="148"/>
      <c r="AH543" s="148"/>
      <c r="AI543" s="149"/>
    </row>
    <row r="544" spans="11:35">
      <c r="K544" s="85"/>
      <c r="L544" s="54" t="str">
        <f t="shared" si="55"/>
        <v/>
      </c>
      <c r="M544" s="38" t="str">
        <f t="shared" si="58"/>
        <v>0318</v>
      </c>
      <c r="N544" s="69">
        <f t="shared" si="57"/>
        <v>792</v>
      </c>
      <c r="O544" s="96"/>
      <c r="P544" s="97"/>
      <c r="Q544" s="98"/>
      <c r="R544" s="135"/>
      <c r="U544" s="48" t="str">
        <f t="shared" si="56"/>
        <v/>
      </c>
      <c r="V544" s="16"/>
      <c r="W544" s="34"/>
      <c r="X544" s="35"/>
      <c r="Z544" s="74"/>
      <c r="AA544" s="130" t="str" cm="1">
        <f t="array" ref="AA544">HEX2ASCII(AB544)&amp;HEX2ASCII(AC544)&amp;HEX2ASCII(AD544)&amp;HEX2ASCII(AE544)&amp;HEX2ASCII(AF544)&amp;HEX2ASCII(AG544)&amp;HEX2ASCII(AH544)&amp;HEX2ASCII(AI544)</f>
        <v/>
      </c>
      <c r="AB544" s="147"/>
      <c r="AC544" s="148"/>
      <c r="AD544" s="148"/>
      <c r="AE544" s="148"/>
      <c r="AF544" s="148"/>
      <c r="AG544" s="148"/>
      <c r="AH544" s="148"/>
      <c r="AI544" s="149"/>
    </row>
    <row r="545" spans="11:35">
      <c r="K545" s="85"/>
      <c r="L545" s="54" t="str">
        <f t="shared" si="55"/>
        <v/>
      </c>
      <c r="M545" s="38" t="str">
        <f t="shared" si="58"/>
        <v>0319</v>
      </c>
      <c r="N545" s="69">
        <f t="shared" si="57"/>
        <v>793</v>
      </c>
      <c r="O545" s="96"/>
      <c r="P545" s="97"/>
      <c r="Q545" s="98"/>
      <c r="R545" s="135"/>
      <c r="U545" s="48" t="str">
        <f t="shared" si="56"/>
        <v/>
      </c>
      <c r="V545" s="16"/>
      <c r="W545" s="34"/>
      <c r="X545" s="35"/>
      <c r="Z545" s="74"/>
      <c r="AA545" s="130" t="str" cm="1">
        <f t="array" ref="AA545">HEX2ASCII(AB545)&amp;HEX2ASCII(AC545)&amp;HEX2ASCII(AD545)&amp;HEX2ASCII(AE545)&amp;HEX2ASCII(AF545)&amp;HEX2ASCII(AG545)&amp;HEX2ASCII(AH545)&amp;HEX2ASCII(AI545)</f>
        <v/>
      </c>
      <c r="AB545" s="147"/>
      <c r="AC545" s="148"/>
      <c r="AD545" s="148"/>
      <c r="AE545" s="148"/>
      <c r="AF545" s="148"/>
      <c r="AG545" s="148"/>
      <c r="AH545" s="148"/>
      <c r="AI545" s="149"/>
    </row>
    <row r="546" spans="11:35">
      <c r="K546" s="85"/>
      <c r="L546" s="54" t="str">
        <f t="shared" si="55"/>
        <v/>
      </c>
      <c r="M546" s="38" t="str">
        <f t="shared" si="58"/>
        <v>031A</v>
      </c>
      <c r="N546" s="69">
        <f t="shared" si="57"/>
        <v>794</v>
      </c>
      <c r="O546" s="96"/>
      <c r="P546" s="97"/>
      <c r="Q546" s="98"/>
      <c r="R546" s="135"/>
      <c r="U546" s="48" t="str">
        <f t="shared" si="56"/>
        <v/>
      </c>
      <c r="V546" s="16"/>
      <c r="W546" s="34"/>
      <c r="X546" s="35"/>
      <c r="Z546" s="74"/>
      <c r="AA546" s="130" t="str" cm="1">
        <f t="array" ref="AA546">HEX2ASCII(AB546)&amp;HEX2ASCII(AC546)&amp;HEX2ASCII(AD546)&amp;HEX2ASCII(AE546)&amp;HEX2ASCII(AF546)&amp;HEX2ASCII(AG546)&amp;HEX2ASCII(AH546)&amp;HEX2ASCII(AI546)</f>
        <v/>
      </c>
      <c r="AB546" s="147"/>
      <c r="AC546" s="148"/>
      <c r="AD546" s="148"/>
      <c r="AE546" s="148"/>
      <c r="AF546" s="148"/>
      <c r="AG546" s="148"/>
      <c r="AH546" s="148"/>
      <c r="AI546" s="149"/>
    </row>
    <row r="547" spans="11:35">
      <c r="K547" s="85"/>
      <c r="L547" s="54" t="str">
        <f t="shared" si="55"/>
        <v/>
      </c>
      <c r="M547" s="38" t="str">
        <f t="shared" si="58"/>
        <v>031B</v>
      </c>
      <c r="N547" s="69">
        <f t="shared" si="57"/>
        <v>795</v>
      </c>
      <c r="O547" s="96"/>
      <c r="P547" s="97"/>
      <c r="Q547" s="98"/>
      <c r="R547" s="135"/>
      <c r="U547" s="48" t="str">
        <f t="shared" si="56"/>
        <v/>
      </c>
      <c r="V547" s="16"/>
      <c r="W547" s="34"/>
      <c r="X547" s="35"/>
      <c r="Z547" s="74"/>
      <c r="AA547" s="130" t="str" cm="1">
        <f t="array" ref="AA547">HEX2ASCII(AB547)&amp;HEX2ASCII(AC547)&amp;HEX2ASCII(AD547)&amp;HEX2ASCII(AE547)&amp;HEX2ASCII(AF547)&amp;HEX2ASCII(AG547)&amp;HEX2ASCII(AH547)&amp;HEX2ASCII(AI547)</f>
        <v/>
      </c>
      <c r="AB547" s="147"/>
      <c r="AC547" s="148"/>
      <c r="AD547" s="148"/>
      <c r="AE547" s="148"/>
      <c r="AF547" s="148"/>
      <c r="AG547" s="148"/>
      <c r="AH547" s="148"/>
      <c r="AI547" s="149"/>
    </row>
    <row r="548" spans="11:35">
      <c r="K548" s="85"/>
      <c r="L548" s="54" t="str">
        <f t="shared" si="55"/>
        <v/>
      </c>
      <c r="M548" s="38" t="str">
        <f t="shared" si="58"/>
        <v>031C</v>
      </c>
      <c r="N548" s="69">
        <f t="shared" si="57"/>
        <v>796</v>
      </c>
      <c r="O548" s="96"/>
      <c r="P548" s="97"/>
      <c r="Q548" s="98"/>
      <c r="R548" s="135"/>
      <c r="U548" s="48" t="str">
        <f t="shared" si="56"/>
        <v/>
      </c>
      <c r="V548" s="16"/>
      <c r="W548" s="34"/>
      <c r="X548" s="35"/>
      <c r="Z548" s="74"/>
      <c r="AA548" s="130" t="str" cm="1">
        <f t="array" ref="AA548">HEX2ASCII(AB548)&amp;HEX2ASCII(AC548)&amp;HEX2ASCII(AD548)&amp;HEX2ASCII(AE548)&amp;HEX2ASCII(AF548)&amp;HEX2ASCII(AG548)&amp;HEX2ASCII(AH548)&amp;HEX2ASCII(AI548)</f>
        <v/>
      </c>
      <c r="AB548" s="147"/>
      <c r="AC548" s="148"/>
      <c r="AD548" s="148"/>
      <c r="AE548" s="148"/>
      <c r="AF548" s="148"/>
      <c r="AG548" s="148"/>
      <c r="AH548" s="148"/>
      <c r="AI548" s="149"/>
    </row>
    <row r="549" spans="11:35">
      <c r="K549" s="85"/>
      <c r="L549" s="54" t="str">
        <f t="shared" si="55"/>
        <v/>
      </c>
      <c r="M549" s="38" t="str">
        <f t="shared" si="58"/>
        <v>031D</v>
      </c>
      <c r="N549" s="69">
        <f t="shared" si="57"/>
        <v>797</v>
      </c>
      <c r="O549" s="96"/>
      <c r="P549" s="97"/>
      <c r="Q549" s="98"/>
      <c r="R549" s="135"/>
      <c r="U549" s="48" t="str">
        <f t="shared" si="56"/>
        <v/>
      </c>
      <c r="V549" s="16"/>
      <c r="W549" s="34"/>
      <c r="X549" s="35"/>
      <c r="Z549" s="74"/>
      <c r="AA549" s="130" t="str" cm="1">
        <f t="array" ref="AA549">HEX2ASCII(AB549)&amp;HEX2ASCII(AC549)&amp;HEX2ASCII(AD549)&amp;HEX2ASCII(AE549)&amp;HEX2ASCII(AF549)&amp;HEX2ASCII(AG549)&amp;HEX2ASCII(AH549)&amp;HEX2ASCII(AI549)</f>
        <v/>
      </c>
      <c r="AB549" s="147"/>
      <c r="AC549" s="148"/>
      <c r="AD549" s="148"/>
      <c r="AE549" s="148"/>
      <c r="AF549" s="148"/>
      <c r="AG549" s="148"/>
      <c r="AH549" s="148"/>
      <c r="AI549" s="149"/>
    </row>
    <row r="550" spans="11:35">
      <c r="K550" s="85"/>
      <c r="L550" s="54" t="str">
        <f t="shared" si="55"/>
        <v/>
      </c>
      <c r="M550" s="38" t="str">
        <f t="shared" si="58"/>
        <v>031E</v>
      </c>
      <c r="N550" s="69">
        <f t="shared" si="57"/>
        <v>798</v>
      </c>
      <c r="O550" s="96"/>
      <c r="P550" s="97"/>
      <c r="Q550" s="98"/>
      <c r="R550" s="135"/>
      <c r="U550" s="48" t="str">
        <f t="shared" si="56"/>
        <v/>
      </c>
      <c r="V550" s="16"/>
      <c r="W550" s="34"/>
      <c r="X550" s="35"/>
      <c r="Z550" s="74"/>
      <c r="AA550" s="130" t="str" cm="1">
        <f t="array" ref="AA550">HEX2ASCII(AB550)&amp;HEX2ASCII(AC550)&amp;HEX2ASCII(AD550)&amp;HEX2ASCII(AE550)&amp;HEX2ASCII(AF550)&amp;HEX2ASCII(AG550)&amp;HEX2ASCII(AH550)&amp;HEX2ASCII(AI550)</f>
        <v/>
      </c>
      <c r="AB550" s="147"/>
      <c r="AC550" s="148"/>
      <c r="AD550" s="148"/>
      <c r="AE550" s="148"/>
      <c r="AF550" s="148"/>
      <c r="AG550" s="148"/>
      <c r="AH550" s="148"/>
      <c r="AI550" s="149"/>
    </row>
    <row r="551" spans="11:35">
      <c r="K551" s="85"/>
      <c r="L551" s="54" t="str">
        <f t="shared" si="55"/>
        <v/>
      </c>
      <c r="M551" s="38" t="str">
        <f t="shared" si="58"/>
        <v>031F</v>
      </c>
      <c r="N551" s="69">
        <f t="shared" si="57"/>
        <v>799</v>
      </c>
      <c r="O551" s="96"/>
      <c r="P551" s="97"/>
      <c r="Q551" s="98"/>
      <c r="R551" s="135"/>
      <c r="U551" s="48" t="str">
        <f t="shared" si="56"/>
        <v/>
      </c>
      <c r="V551" s="16"/>
      <c r="W551" s="34"/>
      <c r="X551" s="35"/>
      <c r="Z551" s="74"/>
      <c r="AA551" s="130" t="str" cm="1">
        <f t="array" ref="AA551">HEX2ASCII(AB551)&amp;HEX2ASCII(AC551)&amp;HEX2ASCII(AD551)&amp;HEX2ASCII(AE551)&amp;HEX2ASCII(AF551)&amp;HEX2ASCII(AG551)&amp;HEX2ASCII(AH551)&amp;HEX2ASCII(AI551)</f>
        <v/>
      </c>
      <c r="AB551" s="147"/>
      <c r="AC551" s="148"/>
      <c r="AD551" s="148"/>
      <c r="AE551" s="148"/>
      <c r="AF551" s="148"/>
      <c r="AG551" s="148"/>
      <c r="AH551" s="148"/>
      <c r="AI551" s="149"/>
    </row>
    <row r="552" spans="11:35">
      <c r="K552" s="85"/>
      <c r="L552" s="54" t="str">
        <f t="shared" si="55"/>
        <v/>
      </c>
      <c r="M552" s="38" t="str">
        <f t="shared" si="58"/>
        <v>0320</v>
      </c>
      <c r="N552" s="69">
        <f t="shared" si="57"/>
        <v>800</v>
      </c>
      <c r="O552" s="96"/>
      <c r="P552" s="97"/>
      <c r="Q552" s="98"/>
      <c r="R552" s="135"/>
      <c r="U552" s="48" t="str">
        <f t="shared" si="56"/>
        <v/>
      </c>
      <c r="V552" s="16"/>
      <c r="W552" s="34"/>
      <c r="X552" s="35"/>
      <c r="Z552" s="74"/>
      <c r="AA552" s="130" t="str" cm="1">
        <f t="array" ref="AA552">HEX2ASCII(AB552)&amp;HEX2ASCII(AC552)&amp;HEX2ASCII(AD552)&amp;HEX2ASCII(AE552)&amp;HEX2ASCII(AF552)&amp;HEX2ASCII(AG552)&amp;HEX2ASCII(AH552)&amp;HEX2ASCII(AI552)</f>
        <v/>
      </c>
      <c r="AB552" s="147"/>
      <c r="AC552" s="148"/>
      <c r="AD552" s="148"/>
      <c r="AE552" s="148"/>
      <c r="AF552" s="148"/>
      <c r="AG552" s="148"/>
      <c r="AH552" s="148"/>
      <c r="AI552" s="149"/>
    </row>
    <row r="553" spans="11:35">
      <c r="K553" s="85"/>
      <c r="L553" s="54" t="str">
        <f t="shared" si="55"/>
        <v/>
      </c>
      <c r="M553" s="38" t="str">
        <f t="shared" si="58"/>
        <v>0321</v>
      </c>
      <c r="N553" s="69">
        <f t="shared" si="57"/>
        <v>801</v>
      </c>
      <c r="O553" s="96"/>
      <c r="P553" s="97"/>
      <c r="Q553" s="98"/>
      <c r="R553" s="135"/>
      <c r="U553" s="48" t="str">
        <f t="shared" si="56"/>
        <v/>
      </c>
      <c r="V553" s="16"/>
      <c r="W553" s="34"/>
      <c r="X553" s="35"/>
      <c r="Z553" s="74"/>
      <c r="AA553" s="130" t="str" cm="1">
        <f t="array" ref="AA553">HEX2ASCII(AB553)&amp;HEX2ASCII(AC553)&amp;HEX2ASCII(AD553)&amp;HEX2ASCII(AE553)&amp;HEX2ASCII(AF553)&amp;HEX2ASCII(AG553)&amp;HEX2ASCII(AH553)&amp;HEX2ASCII(AI553)</f>
        <v/>
      </c>
      <c r="AB553" s="147"/>
      <c r="AC553" s="148"/>
      <c r="AD553" s="148"/>
      <c r="AE553" s="148"/>
      <c r="AF553" s="148"/>
      <c r="AG553" s="148"/>
      <c r="AH553" s="148"/>
      <c r="AI553" s="149"/>
    </row>
    <row r="554" spans="11:35">
      <c r="K554" s="85"/>
      <c r="L554" s="54" t="str">
        <f t="shared" si="55"/>
        <v/>
      </c>
      <c r="M554" s="38" t="str">
        <f t="shared" si="58"/>
        <v>0322</v>
      </c>
      <c r="N554" s="69">
        <f t="shared" si="57"/>
        <v>802</v>
      </c>
      <c r="O554" s="96"/>
      <c r="P554" s="97"/>
      <c r="Q554" s="98"/>
      <c r="R554" s="135"/>
      <c r="U554" s="48" t="str">
        <f t="shared" si="56"/>
        <v/>
      </c>
      <c r="V554" s="16"/>
      <c r="W554" s="34"/>
      <c r="X554" s="35"/>
      <c r="Z554" s="74"/>
      <c r="AA554" s="130" t="str" cm="1">
        <f t="array" ref="AA554">HEX2ASCII(AB554)&amp;HEX2ASCII(AC554)&amp;HEX2ASCII(AD554)&amp;HEX2ASCII(AE554)&amp;HEX2ASCII(AF554)&amp;HEX2ASCII(AG554)&amp;HEX2ASCII(AH554)&amp;HEX2ASCII(AI554)</f>
        <v/>
      </c>
      <c r="AB554" s="147"/>
      <c r="AC554" s="148"/>
      <c r="AD554" s="148"/>
      <c r="AE554" s="148"/>
      <c r="AF554" s="148"/>
      <c r="AG554" s="148"/>
      <c r="AH554" s="148"/>
      <c r="AI554" s="149"/>
    </row>
    <row r="555" spans="11:35">
      <c r="K555" s="85"/>
      <c r="L555" s="54" t="str">
        <f t="shared" si="55"/>
        <v/>
      </c>
      <c r="M555" s="38" t="str">
        <f t="shared" si="58"/>
        <v>0323</v>
      </c>
      <c r="N555" s="69">
        <f t="shared" si="57"/>
        <v>803</v>
      </c>
      <c r="O555" s="96"/>
      <c r="P555" s="97"/>
      <c r="Q555" s="98"/>
      <c r="R555" s="135"/>
      <c r="U555" s="48" t="str">
        <f t="shared" si="56"/>
        <v/>
      </c>
      <c r="V555" s="16"/>
      <c r="W555" s="34"/>
      <c r="X555" s="35"/>
      <c r="Z555" s="74"/>
      <c r="AA555" s="130" t="str" cm="1">
        <f t="array" ref="AA555">HEX2ASCII(AB555)&amp;HEX2ASCII(AC555)&amp;HEX2ASCII(AD555)&amp;HEX2ASCII(AE555)&amp;HEX2ASCII(AF555)&amp;HEX2ASCII(AG555)&amp;HEX2ASCII(AH555)&amp;HEX2ASCII(AI555)</f>
        <v/>
      </c>
      <c r="AB555" s="147"/>
      <c r="AC555" s="148"/>
      <c r="AD555" s="148"/>
      <c r="AE555" s="148"/>
      <c r="AF555" s="148"/>
      <c r="AG555" s="148"/>
      <c r="AH555" s="148"/>
      <c r="AI555" s="149"/>
    </row>
    <row r="556" spans="11:35">
      <c r="K556" s="85"/>
      <c r="L556" s="54" t="str">
        <f t="shared" si="55"/>
        <v/>
      </c>
      <c r="M556" s="38" t="str">
        <f t="shared" si="58"/>
        <v>0324</v>
      </c>
      <c r="N556" s="69">
        <f t="shared" si="57"/>
        <v>804</v>
      </c>
      <c r="O556" s="96"/>
      <c r="P556" s="97"/>
      <c r="Q556" s="98"/>
      <c r="R556" s="135"/>
      <c r="U556" s="48" t="str">
        <f t="shared" si="56"/>
        <v/>
      </c>
      <c r="V556" s="16"/>
      <c r="W556" s="34"/>
      <c r="X556" s="35"/>
      <c r="Z556" s="74"/>
      <c r="AA556" s="130" t="str" cm="1">
        <f t="array" ref="AA556">HEX2ASCII(AB556)&amp;HEX2ASCII(AC556)&amp;HEX2ASCII(AD556)&amp;HEX2ASCII(AE556)&amp;HEX2ASCII(AF556)&amp;HEX2ASCII(AG556)&amp;HEX2ASCII(AH556)&amp;HEX2ASCII(AI556)</f>
        <v/>
      </c>
      <c r="AB556" s="147"/>
      <c r="AC556" s="148"/>
      <c r="AD556" s="148"/>
      <c r="AE556" s="148"/>
      <c r="AF556" s="148"/>
      <c r="AG556" s="148"/>
      <c r="AH556" s="148"/>
      <c r="AI556" s="149"/>
    </row>
    <row r="557" spans="11:35">
      <c r="K557" s="85"/>
      <c r="L557" s="54" t="str">
        <f t="shared" si="55"/>
        <v/>
      </c>
      <c r="M557" s="38" t="str">
        <f t="shared" si="58"/>
        <v>0325</v>
      </c>
      <c r="N557" s="69">
        <f t="shared" si="57"/>
        <v>805</v>
      </c>
      <c r="O557" s="96"/>
      <c r="P557" s="97"/>
      <c r="Q557" s="98"/>
      <c r="R557" s="135"/>
      <c r="U557" s="48" t="str">
        <f t="shared" si="56"/>
        <v/>
      </c>
      <c r="V557" s="16"/>
      <c r="W557" s="34"/>
      <c r="X557" s="35"/>
      <c r="Z557" s="74"/>
      <c r="AA557" s="130" t="str" cm="1">
        <f t="array" ref="AA557">HEX2ASCII(AB557)&amp;HEX2ASCII(AC557)&amp;HEX2ASCII(AD557)&amp;HEX2ASCII(AE557)&amp;HEX2ASCII(AF557)&amp;HEX2ASCII(AG557)&amp;HEX2ASCII(AH557)&amp;HEX2ASCII(AI557)</f>
        <v/>
      </c>
      <c r="AB557" s="147"/>
      <c r="AC557" s="148"/>
      <c r="AD557" s="148"/>
      <c r="AE557" s="148"/>
      <c r="AF557" s="148"/>
      <c r="AG557" s="148"/>
      <c r="AH557" s="148"/>
      <c r="AI557" s="149"/>
    </row>
    <row r="558" spans="11:35">
      <c r="K558" s="85"/>
      <c r="L558" s="54" t="str">
        <f t="shared" si="55"/>
        <v/>
      </c>
      <c r="M558" s="38" t="str">
        <f t="shared" si="58"/>
        <v>0326</v>
      </c>
      <c r="N558" s="69">
        <f t="shared" si="57"/>
        <v>806</v>
      </c>
      <c r="O558" s="96"/>
      <c r="P558" s="97"/>
      <c r="Q558" s="98"/>
      <c r="R558" s="135"/>
      <c r="U558" s="48" t="str">
        <f t="shared" si="56"/>
        <v/>
      </c>
      <c r="V558" s="16"/>
      <c r="W558" s="34"/>
      <c r="X558" s="35"/>
      <c r="Z558" s="74"/>
      <c r="AA558" s="130" t="str" cm="1">
        <f t="array" ref="AA558">HEX2ASCII(AB558)&amp;HEX2ASCII(AC558)&amp;HEX2ASCII(AD558)&amp;HEX2ASCII(AE558)&amp;HEX2ASCII(AF558)&amp;HEX2ASCII(AG558)&amp;HEX2ASCII(AH558)&amp;HEX2ASCII(AI558)</f>
        <v/>
      </c>
      <c r="AB558" s="147"/>
      <c r="AC558" s="148"/>
      <c r="AD558" s="148"/>
      <c r="AE558" s="148"/>
      <c r="AF558" s="148"/>
      <c r="AG558" s="148"/>
      <c r="AH558" s="148"/>
      <c r="AI558" s="149"/>
    </row>
    <row r="559" spans="11:35">
      <c r="K559" s="85"/>
      <c r="L559" s="54" t="str">
        <f t="shared" si="55"/>
        <v/>
      </c>
      <c r="M559" s="38" t="str">
        <f t="shared" si="58"/>
        <v>0327</v>
      </c>
      <c r="N559" s="69">
        <f t="shared" si="57"/>
        <v>807</v>
      </c>
      <c r="O559" s="96"/>
      <c r="P559" s="97"/>
      <c r="Q559" s="98"/>
      <c r="R559" s="135"/>
      <c r="U559" s="48" t="str">
        <f t="shared" si="56"/>
        <v/>
      </c>
      <c r="V559" s="16"/>
      <c r="W559" s="34"/>
      <c r="X559" s="35"/>
      <c r="Z559" s="74"/>
      <c r="AA559" s="130" t="str" cm="1">
        <f t="array" ref="AA559">HEX2ASCII(AB559)&amp;HEX2ASCII(AC559)&amp;HEX2ASCII(AD559)&amp;HEX2ASCII(AE559)&amp;HEX2ASCII(AF559)&amp;HEX2ASCII(AG559)&amp;HEX2ASCII(AH559)&amp;HEX2ASCII(AI559)</f>
        <v/>
      </c>
      <c r="AB559" s="147"/>
      <c r="AC559" s="148"/>
      <c r="AD559" s="148"/>
      <c r="AE559" s="148"/>
      <c r="AF559" s="148"/>
      <c r="AG559" s="148"/>
      <c r="AH559" s="148"/>
      <c r="AI559" s="149"/>
    </row>
    <row r="560" spans="11:35">
      <c r="K560" s="85"/>
      <c r="L560" s="54" t="str">
        <f t="shared" si="55"/>
        <v/>
      </c>
      <c r="M560" s="38" t="str">
        <f t="shared" si="58"/>
        <v>0328</v>
      </c>
      <c r="N560" s="69">
        <f t="shared" si="57"/>
        <v>808</v>
      </c>
      <c r="O560" s="96"/>
      <c r="P560" s="97"/>
      <c r="Q560" s="98"/>
      <c r="R560" s="135"/>
      <c r="U560" s="48" t="str">
        <f t="shared" si="56"/>
        <v/>
      </c>
      <c r="V560" s="16"/>
      <c r="W560" s="34"/>
      <c r="X560" s="35"/>
      <c r="Z560" s="74"/>
      <c r="AA560" s="130" t="str" cm="1">
        <f t="array" ref="AA560">HEX2ASCII(AB560)&amp;HEX2ASCII(AC560)&amp;HEX2ASCII(AD560)&amp;HEX2ASCII(AE560)&amp;HEX2ASCII(AF560)&amp;HEX2ASCII(AG560)&amp;HEX2ASCII(AH560)&amp;HEX2ASCII(AI560)</f>
        <v/>
      </c>
      <c r="AB560" s="147"/>
      <c r="AC560" s="148"/>
      <c r="AD560" s="148"/>
      <c r="AE560" s="148"/>
      <c r="AF560" s="148"/>
      <c r="AG560" s="148"/>
      <c r="AH560" s="148"/>
      <c r="AI560" s="149"/>
    </row>
    <row r="561" spans="11:35">
      <c r="K561" s="85"/>
      <c r="L561" s="54" t="str">
        <f t="shared" si="55"/>
        <v/>
      </c>
      <c r="M561" s="38" t="str">
        <f t="shared" si="58"/>
        <v>0329</v>
      </c>
      <c r="N561" s="69">
        <f t="shared" si="57"/>
        <v>809</v>
      </c>
      <c r="O561" s="96"/>
      <c r="P561" s="97"/>
      <c r="Q561" s="98"/>
      <c r="R561" s="135"/>
      <c r="U561" s="48" t="str">
        <f t="shared" si="56"/>
        <v/>
      </c>
      <c r="V561" s="16"/>
      <c r="W561" s="34"/>
      <c r="X561" s="35"/>
      <c r="Z561" s="74"/>
      <c r="AA561" s="130" t="str" cm="1">
        <f t="array" ref="AA561">HEX2ASCII(AB561)&amp;HEX2ASCII(AC561)&amp;HEX2ASCII(AD561)&amp;HEX2ASCII(AE561)&amp;HEX2ASCII(AF561)&amp;HEX2ASCII(AG561)&amp;HEX2ASCII(AH561)&amp;HEX2ASCII(AI561)</f>
        <v/>
      </c>
      <c r="AB561" s="147"/>
      <c r="AC561" s="148"/>
      <c r="AD561" s="148"/>
      <c r="AE561" s="148"/>
      <c r="AF561" s="148"/>
      <c r="AG561" s="148"/>
      <c r="AH561" s="148"/>
      <c r="AI561" s="149"/>
    </row>
    <row r="562" spans="11:35">
      <c r="K562" s="85"/>
      <c r="L562" s="54" t="str">
        <f t="shared" si="55"/>
        <v/>
      </c>
      <c r="M562" s="38" t="str">
        <f t="shared" si="58"/>
        <v>032A</v>
      </c>
      <c r="N562" s="69">
        <f t="shared" si="57"/>
        <v>810</v>
      </c>
      <c r="O562" s="96"/>
      <c r="P562" s="97"/>
      <c r="Q562" s="98"/>
      <c r="R562" s="135"/>
      <c r="U562" s="48" t="str">
        <f t="shared" si="56"/>
        <v/>
      </c>
      <c r="V562" s="16"/>
      <c r="W562" s="34"/>
      <c r="X562" s="35"/>
      <c r="Z562" s="74"/>
      <c r="AA562" s="130" t="str" cm="1">
        <f t="array" ref="AA562">HEX2ASCII(AB562)&amp;HEX2ASCII(AC562)&amp;HEX2ASCII(AD562)&amp;HEX2ASCII(AE562)&amp;HEX2ASCII(AF562)&amp;HEX2ASCII(AG562)&amp;HEX2ASCII(AH562)&amp;HEX2ASCII(AI562)</f>
        <v/>
      </c>
      <c r="AB562" s="147"/>
      <c r="AC562" s="148"/>
      <c r="AD562" s="148"/>
      <c r="AE562" s="148"/>
      <c r="AF562" s="148"/>
      <c r="AG562" s="148"/>
      <c r="AH562" s="148"/>
      <c r="AI562" s="149"/>
    </row>
    <row r="563" spans="11:35">
      <c r="K563" s="85"/>
      <c r="L563" s="54" t="str">
        <f t="shared" si="55"/>
        <v/>
      </c>
      <c r="M563" s="38" t="str">
        <f t="shared" si="58"/>
        <v>032B</v>
      </c>
      <c r="N563" s="69">
        <f t="shared" si="57"/>
        <v>811</v>
      </c>
      <c r="O563" s="96"/>
      <c r="P563" s="97"/>
      <c r="Q563" s="98"/>
      <c r="R563" s="135"/>
      <c r="U563" s="48" t="str">
        <f t="shared" si="56"/>
        <v/>
      </c>
      <c r="V563" s="16"/>
      <c r="W563" s="34"/>
      <c r="X563" s="35"/>
      <c r="Z563" s="74"/>
      <c r="AA563" s="130" t="str" cm="1">
        <f t="array" ref="AA563">HEX2ASCII(AB563)&amp;HEX2ASCII(AC563)&amp;HEX2ASCII(AD563)&amp;HEX2ASCII(AE563)&amp;HEX2ASCII(AF563)&amp;HEX2ASCII(AG563)&amp;HEX2ASCII(AH563)&amp;HEX2ASCII(AI563)</f>
        <v/>
      </c>
      <c r="AB563" s="147"/>
      <c r="AC563" s="148"/>
      <c r="AD563" s="148"/>
      <c r="AE563" s="148"/>
      <c r="AF563" s="148"/>
      <c r="AG563" s="148"/>
      <c r="AH563" s="148"/>
      <c r="AI563" s="149"/>
    </row>
    <row r="564" spans="11:35">
      <c r="K564" s="85"/>
      <c r="L564" s="54" t="str">
        <f t="shared" si="55"/>
        <v/>
      </c>
      <c r="M564" s="38" t="str">
        <f t="shared" si="58"/>
        <v>032C</v>
      </c>
      <c r="N564" s="69">
        <f t="shared" si="57"/>
        <v>812</v>
      </c>
      <c r="O564" s="96"/>
      <c r="P564" s="97"/>
      <c r="Q564" s="98"/>
      <c r="R564" s="135"/>
      <c r="U564" s="48" t="str">
        <f t="shared" si="56"/>
        <v/>
      </c>
      <c r="V564" s="16"/>
      <c r="W564" s="34"/>
      <c r="X564" s="35"/>
      <c r="Z564" s="74"/>
      <c r="AA564" s="130" t="str" cm="1">
        <f t="array" ref="AA564">HEX2ASCII(AB564)&amp;HEX2ASCII(AC564)&amp;HEX2ASCII(AD564)&amp;HEX2ASCII(AE564)&amp;HEX2ASCII(AF564)&amp;HEX2ASCII(AG564)&amp;HEX2ASCII(AH564)&amp;HEX2ASCII(AI564)</f>
        <v/>
      </c>
      <c r="AB564" s="147"/>
      <c r="AC564" s="148"/>
      <c r="AD564" s="148"/>
      <c r="AE564" s="148"/>
      <c r="AF564" s="148"/>
      <c r="AG564" s="148"/>
      <c r="AH564" s="148"/>
      <c r="AI564" s="149"/>
    </row>
    <row r="565" spans="11:35">
      <c r="K565" s="85"/>
      <c r="L565" s="54" t="str">
        <f t="shared" si="55"/>
        <v/>
      </c>
      <c r="M565" s="38" t="str">
        <f t="shared" si="58"/>
        <v>032D</v>
      </c>
      <c r="N565" s="69">
        <f t="shared" si="57"/>
        <v>813</v>
      </c>
      <c r="O565" s="96"/>
      <c r="P565" s="97"/>
      <c r="Q565" s="98"/>
      <c r="R565" s="135"/>
      <c r="U565" s="48" t="str">
        <f t="shared" si="56"/>
        <v/>
      </c>
      <c r="V565" s="16"/>
      <c r="W565" s="34"/>
      <c r="X565" s="35"/>
      <c r="Z565" s="74"/>
      <c r="AA565" s="130" t="str" cm="1">
        <f t="array" ref="AA565">HEX2ASCII(AB565)&amp;HEX2ASCII(AC565)&amp;HEX2ASCII(AD565)&amp;HEX2ASCII(AE565)&amp;HEX2ASCII(AF565)&amp;HEX2ASCII(AG565)&amp;HEX2ASCII(AH565)&amp;HEX2ASCII(AI565)</f>
        <v/>
      </c>
      <c r="AB565" s="147"/>
      <c r="AC565" s="148"/>
      <c r="AD565" s="148"/>
      <c r="AE565" s="148"/>
      <c r="AF565" s="148"/>
      <c r="AG565" s="148"/>
      <c r="AH565" s="148"/>
      <c r="AI565" s="149"/>
    </row>
    <row r="566" spans="11:35">
      <c r="K566" s="85"/>
      <c r="L566" s="54" t="str">
        <f t="shared" si="55"/>
        <v/>
      </c>
      <c r="M566" s="38" t="str">
        <f t="shared" si="58"/>
        <v>032E</v>
      </c>
      <c r="N566" s="69">
        <f t="shared" si="57"/>
        <v>814</v>
      </c>
      <c r="O566" s="96"/>
      <c r="P566" s="97"/>
      <c r="Q566" s="98"/>
      <c r="R566" s="135"/>
      <c r="U566" s="48" t="str">
        <f t="shared" si="56"/>
        <v/>
      </c>
      <c r="V566" s="16"/>
      <c r="W566" s="34"/>
      <c r="X566" s="35"/>
      <c r="Z566" s="74"/>
      <c r="AA566" s="130" t="str" cm="1">
        <f t="array" ref="AA566">HEX2ASCII(AB566)&amp;HEX2ASCII(AC566)&amp;HEX2ASCII(AD566)&amp;HEX2ASCII(AE566)&amp;HEX2ASCII(AF566)&amp;HEX2ASCII(AG566)&amp;HEX2ASCII(AH566)&amp;HEX2ASCII(AI566)</f>
        <v/>
      </c>
      <c r="AB566" s="147"/>
      <c r="AC566" s="148"/>
      <c r="AD566" s="148"/>
      <c r="AE566" s="148"/>
      <c r="AF566" s="148"/>
      <c r="AG566" s="148"/>
      <c r="AH566" s="148"/>
      <c r="AI566" s="149"/>
    </row>
    <row r="567" spans="11:35">
      <c r="K567" s="85"/>
      <c r="L567" s="54" t="str">
        <f t="shared" si="55"/>
        <v/>
      </c>
      <c r="M567" s="38" t="str">
        <f t="shared" si="58"/>
        <v>032F</v>
      </c>
      <c r="N567" s="69">
        <f t="shared" si="57"/>
        <v>815</v>
      </c>
      <c r="O567" s="96"/>
      <c r="P567" s="97"/>
      <c r="Q567" s="98"/>
      <c r="R567" s="135"/>
      <c r="U567" s="48" t="str">
        <f t="shared" si="56"/>
        <v/>
      </c>
      <c r="V567" s="16"/>
      <c r="W567" s="34"/>
      <c r="X567" s="35"/>
      <c r="Z567" s="74"/>
      <c r="AA567" s="130" t="str" cm="1">
        <f t="array" ref="AA567">HEX2ASCII(AB567)&amp;HEX2ASCII(AC567)&amp;HEX2ASCII(AD567)&amp;HEX2ASCII(AE567)&amp;HEX2ASCII(AF567)&amp;HEX2ASCII(AG567)&amp;HEX2ASCII(AH567)&amp;HEX2ASCII(AI567)</f>
        <v/>
      </c>
      <c r="AB567" s="147"/>
      <c r="AC567" s="148"/>
      <c r="AD567" s="148"/>
      <c r="AE567" s="148"/>
      <c r="AF567" s="148"/>
      <c r="AG567" s="148"/>
      <c r="AH567" s="148"/>
      <c r="AI567" s="149"/>
    </row>
    <row r="568" spans="11:35">
      <c r="K568" s="85"/>
      <c r="L568" s="54" t="str">
        <f t="shared" si="55"/>
        <v/>
      </c>
      <c r="M568" s="38" t="str">
        <f t="shared" si="58"/>
        <v>0330</v>
      </c>
      <c r="N568" s="69">
        <f t="shared" si="57"/>
        <v>816</v>
      </c>
      <c r="O568" s="96"/>
      <c r="P568" s="97"/>
      <c r="Q568" s="98"/>
      <c r="R568" s="135"/>
      <c r="U568" s="48" t="str">
        <f t="shared" si="56"/>
        <v/>
      </c>
      <c r="V568" s="16"/>
      <c r="W568" s="34"/>
      <c r="X568" s="35"/>
      <c r="Z568" s="74"/>
      <c r="AA568" s="130" t="str" cm="1">
        <f t="array" ref="AA568">HEX2ASCII(AB568)&amp;HEX2ASCII(AC568)&amp;HEX2ASCII(AD568)&amp;HEX2ASCII(AE568)&amp;HEX2ASCII(AF568)&amp;HEX2ASCII(AG568)&amp;HEX2ASCII(AH568)&amp;HEX2ASCII(AI568)</f>
        <v/>
      </c>
      <c r="AB568" s="147"/>
      <c r="AC568" s="148"/>
      <c r="AD568" s="148"/>
      <c r="AE568" s="148"/>
      <c r="AF568" s="148"/>
      <c r="AG568" s="148"/>
      <c r="AH568" s="148"/>
      <c r="AI568" s="149"/>
    </row>
    <row r="569" spans="11:35">
      <c r="K569" s="85"/>
      <c r="L569" s="54" t="str">
        <f t="shared" si="55"/>
        <v/>
      </c>
      <c r="M569" s="38" t="str">
        <f t="shared" si="58"/>
        <v>0331</v>
      </c>
      <c r="N569" s="69">
        <f t="shared" si="57"/>
        <v>817</v>
      </c>
      <c r="O569" s="96"/>
      <c r="P569" s="97"/>
      <c r="Q569" s="98"/>
      <c r="R569" s="135"/>
      <c r="U569" s="48" t="str">
        <f t="shared" si="56"/>
        <v/>
      </c>
      <c r="V569" s="16"/>
      <c r="W569" s="34"/>
      <c r="X569" s="35"/>
      <c r="Z569" s="74"/>
      <c r="AA569" s="130" t="str" cm="1">
        <f t="array" ref="AA569">HEX2ASCII(AB569)&amp;HEX2ASCII(AC569)&amp;HEX2ASCII(AD569)&amp;HEX2ASCII(AE569)&amp;HEX2ASCII(AF569)&amp;HEX2ASCII(AG569)&amp;HEX2ASCII(AH569)&amp;HEX2ASCII(AI569)</f>
        <v/>
      </c>
      <c r="AB569" s="147"/>
      <c r="AC569" s="148"/>
      <c r="AD569" s="148"/>
      <c r="AE569" s="148"/>
      <c r="AF569" s="148"/>
      <c r="AG569" s="148"/>
      <c r="AH569" s="148"/>
      <c r="AI569" s="149"/>
    </row>
    <row r="570" spans="11:35">
      <c r="K570" s="85"/>
      <c r="L570" s="54" t="str">
        <f t="shared" si="55"/>
        <v/>
      </c>
      <c r="M570" s="38" t="str">
        <f t="shared" si="58"/>
        <v>0332</v>
      </c>
      <c r="N570" s="69">
        <f t="shared" si="57"/>
        <v>818</v>
      </c>
      <c r="O570" s="96"/>
      <c r="P570" s="97"/>
      <c r="Q570" s="98"/>
      <c r="R570" s="135"/>
      <c r="U570" s="48" t="str">
        <f t="shared" si="56"/>
        <v/>
      </c>
      <c r="V570" s="16"/>
      <c r="W570" s="34"/>
      <c r="X570" s="35"/>
      <c r="Z570" s="74"/>
      <c r="AA570" s="130" t="str" cm="1">
        <f t="array" ref="AA570">HEX2ASCII(AB570)&amp;HEX2ASCII(AC570)&amp;HEX2ASCII(AD570)&amp;HEX2ASCII(AE570)&amp;HEX2ASCII(AF570)&amp;HEX2ASCII(AG570)&amp;HEX2ASCII(AH570)&amp;HEX2ASCII(AI570)</f>
        <v/>
      </c>
      <c r="AB570" s="147"/>
      <c r="AC570" s="148"/>
      <c r="AD570" s="148"/>
      <c r="AE570" s="148"/>
      <c r="AF570" s="148"/>
      <c r="AG570" s="148"/>
      <c r="AH570" s="148"/>
      <c r="AI570" s="149"/>
    </row>
    <row r="571" spans="11:35">
      <c r="K571" s="85"/>
      <c r="L571" s="54" t="str">
        <f t="shared" si="55"/>
        <v/>
      </c>
      <c r="M571" s="38" t="str">
        <f t="shared" si="58"/>
        <v>0333</v>
      </c>
      <c r="N571" s="69">
        <f t="shared" si="57"/>
        <v>819</v>
      </c>
      <c r="O571" s="96"/>
      <c r="P571" s="97"/>
      <c r="Q571" s="98"/>
      <c r="R571" s="135"/>
      <c r="U571" s="48" t="str">
        <f t="shared" si="56"/>
        <v/>
      </c>
      <c r="V571" s="16"/>
      <c r="W571" s="34"/>
      <c r="X571" s="35"/>
      <c r="Z571" s="74"/>
      <c r="AA571" s="130" t="str" cm="1">
        <f t="array" ref="AA571">HEX2ASCII(AB571)&amp;HEX2ASCII(AC571)&amp;HEX2ASCII(AD571)&amp;HEX2ASCII(AE571)&amp;HEX2ASCII(AF571)&amp;HEX2ASCII(AG571)&amp;HEX2ASCII(AH571)&amp;HEX2ASCII(AI571)</f>
        <v/>
      </c>
      <c r="AB571" s="147"/>
      <c r="AC571" s="148"/>
      <c r="AD571" s="148"/>
      <c r="AE571" s="148"/>
      <c r="AF571" s="148"/>
      <c r="AG571" s="148"/>
      <c r="AH571" s="148"/>
      <c r="AI571" s="149"/>
    </row>
    <row r="572" spans="11:35">
      <c r="K572" s="85"/>
      <c r="L572" s="54" t="str">
        <f t="shared" si="55"/>
        <v/>
      </c>
      <c r="M572" s="38" t="str">
        <f t="shared" si="58"/>
        <v>0334</v>
      </c>
      <c r="N572" s="69">
        <f t="shared" si="57"/>
        <v>820</v>
      </c>
      <c r="O572" s="96"/>
      <c r="P572" s="97"/>
      <c r="Q572" s="98"/>
      <c r="R572" s="135"/>
      <c r="U572" s="48" t="str">
        <f t="shared" si="56"/>
        <v/>
      </c>
      <c r="V572" s="16"/>
      <c r="W572" s="34"/>
      <c r="X572" s="35"/>
      <c r="Z572" s="74"/>
      <c r="AA572" s="130" t="str" cm="1">
        <f t="array" ref="AA572">HEX2ASCII(AB572)&amp;HEX2ASCII(AC572)&amp;HEX2ASCII(AD572)&amp;HEX2ASCII(AE572)&amp;HEX2ASCII(AF572)&amp;HEX2ASCII(AG572)&amp;HEX2ASCII(AH572)&amp;HEX2ASCII(AI572)</f>
        <v/>
      </c>
      <c r="AB572" s="147"/>
      <c r="AC572" s="148"/>
      <c r="AD572" s="148"/>
      <c r="AE572" s="148"/>
      <c r="AF572" s="148"/>
      <c r="AG572" s="148"/>
      <c r="AH572" s="148"/>
      <c r="AI572" s="149"/>
    </row>
    <row r="573" spans="11:35">
      <c r="K573" s="85"/>
      <c r="L573" s="54" t="str">
        <f t="shared" si="55"/>
        <v/>
      </c>
      <c r="M573" s="38" t="str">
        <f t="shared" si="58"/>
        <v>0335</v>
      </c>
      <c r="N573" s="69">
        <f t="shared" si="57"/>
        <v>821</v>
      </c>
      <c r="O573" s="96"/>
      <c r="P573" s="97"/>
      <c r="Q573" s="98"/>
      <c r="R573" s="135"/>
      <c r="U573" s="48" t="str">
        <f t="shared" si="56"/>
        <v/>
      </c>
      <c r="V573" s="16"/>
      <c r="W573" s="34"/>
      <c r="X573" s="35"/>
      <c r="Z573" s="74"/>
      <c r="AA573" s="130" t="str" cm="1">
        <f t="array" ref="AA573">HEX2ASCII(AB573)&amp;HEX2ASCII(AC573)&amp;HEX2ASCII(AD573)&amp;HEX2ASCII(AE573)&amp;HEX2ASCII(AF573)&amp;HEX2ASCII(AG573)&amp;HEX2ASCII(AH573)&amp;HEX2ASCII(AI573)</f>
        <v/>
      </c>
      <c r="AB573" s="147"/>
      <c r="AC573" s="148"/>
      <c r="AD573" s="148"/>
      <c r="AE573" s="148"/>
      <c r="AF573" s="148"/>
      <c r="AG573" s="148"/>
      <c r="AH573" s="148"/>
      <c r="AI573" s="149"/>
    </row>
    <row r="574" spans="11:35">
      <c r="K574" s="85"/>
      <c r="L574" s="54" t="str">
        <f t="shared" si="55"/>
        <v/>
      </c>
      <c r="M574" s="38" t="str">
        <f t="shared" si="58"/>
        <v>0336</v>
      </c>
      <c r="N574" s="69">
        <f t="shared" si="57"/>
        <v>822</v>
      </c>
      <c r="O574" s="96"/>
      <c r="P574" s="97"/>
      <c r="Q574" s="98"/>
      <c r="R574" s="135"/>
      <c r="U574" s="48" t="str">
        <f t="shared" si="56"/>
        <v/>
      </c>
      <c r="V574" s="16"/>
      <c r="W574" s="34"/>
      <c r="X574" s="35"/>
      <c r="Z574" s="74"/>
      <c r="AA574" s="130" t="str" cm="1">
        <f t="array" ref="AA574">HEX2ASCII(AB574)&amp;HEX2ASCII(AC574)&amp;HEX2ASCII(AD574)&amp;HEX2ASCII(AE574)&amp;HEX2ASCII(AF574)&amp;HEX2ASCII(AG574)&amp;HEX2ASCII(AH574)&amp;HEX2ASCII(AI574)</f>
        <v/>
      </c>
      <c r="AB574" s="147"/>
      <c r="AC574" s="148"/>
      <c r="AD574" s="148"/>
      <c r="AE574" s="148"/>
      <c r="AF574" s="148"/>
      <c r="AG574" s="148"/>
      <c r="AH574" s="148"/>
      <c r="AI574" s="149"/>
    </row>
    <row r="575" spans="11:35">
      <c r="K575" s="85"/>
      <c r="L575" s="54" t="str">
        <f t="shared" si="55"/>
        <v/>
      </c>
      <c r="M575" s="38" t="str">
        <f t="shared" si="58"/>
        <v>0337</v>
      </c>
      <c r="N575" s="69">
        <f t="shared" si="57"/>
        <v>823</v>
      </c>
      <c r="O575" s="96"/>
      <c r="P575" s="97"/>
      <c r="Q575" s="98"/>
      <c r="R575" s="135"/>
      <c r="U575" s="48" t="str">
        <f t="shared" si="56"/>
        <v/>
      </c>
      <c r="V575" s="16"/>
      <c r="W575" s="34"/>
      <c r="X575" s="35"/>
      <c r="Z575" s="74"/>
      <c r="AA575" s="130" t="str" cm="1">
        <f t="array" ref="AA575">HEX2ASCII(AB575)&amp;HEX2ASCII(AC575)&amp;HEX2ASCII(AD575)&amp;HEX2ASCII(AE575)&amp;HEX2ASCII(AF575)&amp;HEX2ASCII(AG575)&amp;HEX2ASCII(AH575)&amp;HEX2ASCII(AI575)</f>
        <v/>
      </c>
      <c r="AB575" s="147"/>
      <c r="AC575" s="148"/>
      <c r="AD575" s="148"/>
      <c r="AE575" s="148"/>
      <c r="AF575" s="148"/>
      <c r="AG575" s="148"/>
      <c r="AH575" s="148"/>
      <c r="AI575" s="149"/>
    </row>
    <row r="576" spans="11:35">
      <c r="K576" s="85"/>
      <c r="L576" s="54" t="str">
        <f t="shared" si="55"/>
        <v/>
      </c>
      <c r="M576" s="38" t="str">
        <f t="shared" si="58"/>
        <v>0338</v>
      </c>
      <c r="N576" s="69">
        <f t="shared" si="57"/>
        <v>824</v>
      </c>
      <c r="O576" s="96"/>
      <c r="P576" s="97"/>
      <c r="Q576" s="98"/>
      <c r="R576" s="135"/>
      <c r="U576" s="48" t="str">
        <f t="shared" si="56"/>
        <v/>
      </c>
      <c r="V576" s="16"/>
      <c r="W576" s="34"/>
      <c r="X576" s="35"/>
      <c r="Z576" s="74"/>
      <c r="AA576" s="130" t="str" cm="1">
        <f t="array" ref="AA576">HEX2ASCII(AB576)&amp;HEX2ASCII(AC576)&amp;HEX2ASCII(AD576)&amp;HEX2ASCII(AE576)&amp;HEX2ASCII(AF576)&amp;HEX2ASCII(AG576)&amp;HEX2ASCII(AH576)&amp;HEX2ASCII(AI576)</f>
        <v/>
      </c>
      <c r="AB576" s="147"/>
      <c r="AC576" s="148"/>
      <c r="AD576" s="148"/>
      <c r="AE576" s="148"/>
      <c r="AF576" s="148"/>
      <c r="AG576" s="148"/>
      <c r="AH576" s="148"/>
      <c r="AI576" s="149"/>
    </row>
    <row r="577" spans="11:35">
      <c r="K577" s="85"/>
      <c r="L577" s="54" t="str">
        <f t="shared" si="55"/>
        <v/>
      </c>
      <c r="M577" s="38" t="str">
        <f t="shared" si="58"/>
        <v>0339</v>
      </c>
      <c r="N577" s="69">
        <f t="shared" si="57"/>
        <v>825</v>
      </c>
      <c r="O577" s="96"/>
      <c r="P577" s="97"/>
      <c r="Q577" s="98"/>
      <c r="R577" s="135"/>
      <c r="U577" s="48" t="str">
        <f t="shared" si="56"/>
        <v/>
      </c>
      <c r="V577" s="16"/>
      <c r="W577" s="34"/>
      <c r="X577" s="35"/>
      <c r="Z577" s="74"/>
      <c r="AA577" s="130" t="str" cm="1">
        <f t="array" ref="AA577">HEX2ASCII(AB577)&amp;HEX2ASCII(AC577)&amp;HEX2ASCII(AD577)&amp;HEX2ASCII(AE577)&amp;HEX2ASCII(AF577)&amp;HEX2ASCII(AG577)&amp;HEX2ASCII(AH577)&amp;HEX2ASCII(AI577)</f>
        <v/>
      </c>
      <c r="AB577" s="147"/>
      <c r="AC577" s="148"/>
      <c r="AD577" s="148"/>
      <c r="AE577" s="148"/>
      <c r="AF577" s="148"/>
      <c r="AG577" s="148"/>
      <c r="AH577" s="148"/>
      <c r="AI577" s="149"/>
    </row>
    <row r="578" spans="11:35">
      <c r="K578" s="85"/>
      <c r="L578" s="54" t="str">
        <f t="shared" si="55"/>
        <v/>
      </c>
      <c r="M578" s="38" t="str">
        <f t="shared" si="58"/>
        <v>033A</v>
      </c>
      <c r="N578" s="69">
        <f t="shared" si="57"/>
        <v>826</v>
      </c>
      <c r="O578" s="96"/>
      <c r="P578" s="97"/>
      <c r="Q578" s="98"/>
      <c r="R578" s="135"/>
      <c r="U578" s="48" t="str">
        <f t="shared" si="56"/>
        <v/>
      </c>
      <c r="V578" s="16"/>
      <c r="W578" s="34"/>
      <c r="X578" s="35"/>
      <c r="Z578" s="74"/>
      <c r="AA578" s="130" t="str" cm="1">
        <f t="array" ref="AA578">HEX2ASCII(AB578)&amp;HEX2ASCII(AC578)&amp;HEX2ASCII(AD578)&amp;HEX2ASCII(AE578)&amp;HEX2ASCII(AF578)&amp;HEX2ASCII(AG578)&amp;HEX2ASCII(AH578)&amp;HEX2ASCII(AI578)</f>
        <v/>
      </c>
      <c r="AB578" s="147"/>
      <c r="AC578" s="148"/>
      <c r="AD578" s="148"/>
      <c r="AE578" s="148"/>
      <c r="AF578" s="148"/>
      <c r="AG578" s="148"/>
      <c r="AH578" s="148"/>
      <c r="AI578" s="149"/>
    </row>
    <row r="579" spans="11:35">
      <c r="K579" s="85"/>
      <c r="L579" s="54" t="str">
        <f t="shared" si="55"/>
        <v/>
      </c>
      <c r="M579" s="38" t="str">
        <f t="shared" si="58"/>
        <v>033B</v>
      </c>
      <c r="N579" s="69">
        <f t="shared" si="57"/>
        <v>827</v>
      </c>
      <c r="O579" s="96"/>
      <c r="P579" s="97"/>
      <c r="Q579" s="98"/>
      <c r="R579" s="135"/>
      <c r="U579" s="48" t="str">
        <f t="shared" si="56"/>
        <v/>
      </c>
      <c r="V579" s="16"/>
      <c r="W579" s="34"/>
      <c r="X579" s="35"/>
      <c r="Z579" s="74"/>
      <c r="AA579" s="130" t="str" cm="1">
        <f t="array" ref="AA579">HEX2ASCII(AB579)&amp;HEX2ASCII(AC579)&amp;HEX2ASCII(AD579)&amp;HEX2ASCII(AE579)&amp;HEX2ASCII(AF579)&amp;HEX2ASCII(AG579)&amp;HEX2ASCII(AH579)&amp;HEX2ASCII(AI579)</f>
        <v/>
      </c>
      <c r="AB579" s="147"/>
      <c r="AC579" s="148"/>
      <c r="AD579" s="148"/>
      <c r="AE579" s="148"/>
      <c r="AF579" s="148"/>
      <c r="AG579" s="148"/>
      <c r="AH579" s="148"/>
      <c r="AI579" s="149"/>
    </row>
    <row r="580" spans="11:35">
      <c r="K580" s="85"/>
      <c r="L580" s="54" t="str">
        <f t="shared" si="55"/>
        <v/>
      </c>
      <c r="M580" s="38" t="str">
        <f t="shared" si="58"/>
        <v>033C</v>
      </c>
      <c r="N580" s="69">
        <f t="shared" si="57"/>
        <v>828</v>
      </c>
      <c r="O580" s="96"/>
      <c r="P580" s="97"/>
      <c r="Q580" s="98"/>
      <c r="R580" s="135"/>
      <c r="U580" s="48" t="str">
        <f t="shared" si="56"/>
        <v/>
      </c>
      <c r="V580" s="16"/>
      <c r="W580" s="34"/>
      <c r="X580" s="35"/>
      <c r="Z580" s="74"/>
      <c r="AA580" s="130" t="str" cm="1">
        <f t="array" ref="AA580">HEX2ASCII(AB580)&amp;HEX2ASCII(AC580)&amp;HEX2ASCII(AD580)&amp;HEX2ASCII(AE580)&amp;HEX2ASCII(AF580)&amp;HEX2ASCII(AG580)&amp;HEX2ASCII(AH580)&amp;HEX2ASCII(AI580)</f>
        <v/>
      </c>
      <c r="AB580" s="147"/>
      <c r="AC580" s="148"/>
      <c r="AD580" s="148"/>
      <c r="AE580" s="148"/>
      <c r="AF580" s="148"/>
      <c r="AG580" s="148"/>
      <c r="AH580" s="148"/>
      <c r="AI580" s="149"/>
    </row>
    <row r="581" spans="11:35">
      <c r="K581" s="85"/>
      <c r="L581" s="54" t="str">
        <f t="shared" si="55"/>
        <v/>
      </c>
      <c r="M581" s="38" t="str">
        <f t="shared" si="58"/>
        <v>033D</v>
      </c>
      <c r="N581" s="69">
        <f t="shared" si="57"/>
        <v>829</v>
      </c>
      <c r="O581" s="96"/>
      <c r="P581" s="97"/>
      <c r="Q581" s="98"/>
      <c r="R581" s="135"/>
      <c r="U581" s="48" t="str">
        <f t="shared" si="56"/>
        <v/>
      </c>
      <c r="V581" s="16"/>
      <c r="W581" s="34"/>
      <c r="X581" s="35"/>
      <c r="Z581" s="74"/>
      <c r="AA581" s="130" t="str" cm="1">
        <f t="array" ref="AA581">HEX2ASCII(AB581)&amp;HEX2ASCII(AC581)&amp;HEX2ASCII(AD581)&amp;HEX2ASCII(AE581)&amp;HEX2ASCII(AF581)&amp;HEX2ASCII(AG581)&amp;HEX2ASCII(AH581)&amp;HEX2ASCII(AI581)</f>
        <v/>
      </c>
      <c r="AB581" s="147"/>
      <c r="AC581" s="148"/>
      <c r="AD581" s="148"/>
      <c r="AE581" s="148"/>
      <c r="AF581" s="148"/>
      <c r="AG581" s="148"/>
      <c r="AH581" s="148"/>
      <c r="AI581" s="149"/>
    </row>
    <row r="582" spans="11:35">
      <c r="K582" s="85"/>
      <c r="L582" s="54" t="str">
        <f t="shared" si="55"/>
        <v/>
      </c>
      <c r="M582" s="38" t="str">
        <f t="shared" si="58"/>
        <v>033E</v>
      </c>
      <c r="N582" s="69">
        <f t="shared" si="57"/>
        <v>830</v>
      </c>
      <c r="O582" s="96"/>
      <c r="P582" s="97"/>
      <c r="Q582" s="98"/>
      <c r="R582" s="135"/>
      <c r="U582" s="48" t="str">
        <f t="shared" si="56"/>
        <v/>
      </c>
      <c r="V582" s="16"/>
      <c r="W582" s="34"/>
      <c r="X582" s="35"/>
      <c r="Z582" s="74"/>
      <c r="AA582" s="130" t="str" cm="1">
        <f t="array" ref="AA582">HEX2ASCII(AB582)&amp;HEX2ASCII(AC582)&amp;HEX2ASCII(AD582)&amp;HEX2ASCII(AE582)&amp;HEX2ASCII(AF582)&amp;HEX2ASCII(AG582)&amp;HEX2ASCII(AH582)&amp;HEX2ASCII(AI582)</f>
        <v/>
      </c>
      <c r="AB582" s="147"/>
      <c r="AC582" s="148"/>
      <c r="AD582" s="148"/>
      <c r="AE582" s="148"/>
      <c r="AF582" s="148"/>
      <c r="AG582" s="148"/>
      <c r="AH582" s="148"/>
      <c r="AI582" s="149"/>
    </row>
    <row r="583" spans="11:35">
      <c r="K583" s="85"/>
      <c r="L583" s="54" t="str">
        <f t="shared" si="55"/>
        <v/>
      </c>
      <c r="M583" s="38" t="str">
        <f t="shared" si="58"/>
        <v>033F</v>
      </c>
      <c r="N583" s="69">
        <f t="shared" si="57"/>
        <v>831</v>
      </c>
      <c r="O583" s="96"/>
      <c r="P583" s="97"/>
      <c r="Q583" s="98"/>
      <c r="R583" s="135"/>
      <c r="U583" s="48" t="str">
        <f t="shared" si="56"/>
        <v/>
      </c>
      <c r="V583" s="16"/>
      <c r="W583" s="34"/>
      <c r="X583" s="35"/>
      <c r="Z583" s="74"/>
      <c r="AA583" s="130" t="str" cm="1">
        <f t="array" ref="AA583">HEX2ASCII(AB583)&amp;HEX2ASCII(AC583)&amp;HEX2ASCII(AD583)&amp;HEX2ASCII(AE583)&amp;HEX2ASCII(AF583)&amp;HEX2ASCII(AG583)&amp;HEX2ASCII(AH583)&amp;HEX2ASCII(AI583)</f>
        <v/>
      </c>
      <c r="AB583" s="147"/>
      <c r="AC583" s="148"/>
      <c r="AD583" s="148"/>
      <c r="AE583" s="148"/>
      <c r="AF583" s="148"/>
      <c r="AG583" s="148"/>
      <c r="AH583" s="148"/>
      <c r="AI583" s="149"/>
    </row>
    <row r="584" spans="11:35">
      <c r="K584" s="85"/>
      <c r="L584" s="54" t="str">
        <f t="shared" si="55"/>
        <v/>
      </c>
      <c r="M584" s="38" t="str">
        <f t="shared" si="58"/>
        <v>0340</v>
      </c>
      <c r="N584" s="69">
        <f t="shared" si="57"/>
        <v>832</v>
      </c>
      <c r="O584" s="96"/>
      <c r="P584" s="97"/>
      <c r="Q584" s="98"/>
      <c r="R584" s="135"/>
      <c r="U584" s="48" t="str">
        <f t="shared" si="56"/>
        <v/>
      </c>
      <c r="V584" s="16"/>
      <c r="W584" s="34"/>
      <c r="X584" s="35"/>
      <c r="Z584" s="74"/>
      <c r="AA584" s="130" t="str" cm="1">
        <f t="array" ref="AA584">HEX2ASCII(AB584)&amp;HEX2ASCII(AC584)&amp;HEX2ASCII(AD584)&amp;HEX2ASCII(AE584)&amp;HEX2ASCII(AF584)&amp;HEX2ASCII(AG584)&amp;HEX2ASCII(AH584)&amp;HEX2ASCII(AI584)</f>
        <v/>
      </c>
      <c r="AB584" s="147"/>
      <c r="AC584" s="148"/>
      <c r="AD584" s="148"/>
      <c r="AE584" s="148"/>
      <c r="AF584" s="148"/>
      <c r="AG584" s="148"/>
      <c r="AH584" s="148"/>
      <c r="AI584" s="149"/>
    </row>
    <row r="585" spans="11:35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0341</v>
      </c>
      <c r="N585" s="69">
        <f t="shared" si="57"/>
        <v>833</v>
      </c>
      <c r="O585" s="96"/>
      <c r="P585" s="97"/>
      <c r="Q585" s="98"/>
      <c r="R585" s="135"/>
      <c r="U585" s="48" t="str">
        <f t="shared" ref="U585:U648" si="60">IF(V585&gt;0,RIGHT("0000"&amp;DEC2HEX(V585),4),"")</f>
        <v/>
      </c>
      <c r="V585" s="16"/>
      <c r="W585" s="34"/>
      <c r="X585" s="35"/>
      <c r="Z585" s="74"/>
      <c r="AA585" s="130" t="str" cm="1">
        <f t="array" ref="AA585">HEX2ASCII(AB585)&amp;HEX2ASCII(AC585)&amp;HEX2ASCII(AD585)&amp;HEX2ASCII(AE585)&amp;HEX2ASCII(AF585)&amp;HEX2ASCII(AG585)&amp;HEX2ASCII(AH585)&amp;HEX2ASCII(AI585)</f>
        <v/>
      </c>
      <c r="AB585" s="147"/>
      <c r="AC585" s="148"/>
      <c r="AD585" s="148"/>
      <c r="AE585" s="148"/>
      <c r="AF585" s="148"/>
      <c r="AG585" s="148"/>
      <c r="AH585" s="148"/>
      <c r="AI585" s="149"/>
    </row>
    <row r="586" spans="11:35">
      <c r="K586" s="85"/>
      <c r="L586" s="54" t="str">
        <f t="shared" si="59"/>
        <v/>
      </c>
      <c r="M586" s="38" t="str">
        <f t="shared" si="58"/>
        <v>0342</v>
      </c>
      <c r="N586" s="69">
        <f t="shared" ref="N586:N649" si="61">N585+0*COUNTA(P585:R585)+1</f>
        <v>834</v>
      </c>
      <c r="O586" s="96"/>
      <c r="P586" s="97"/>
      <c r="Q586" s="98"/>
      <c r="R586" s="135"/>
      <c r="U586" s="48" t="str">
        <f t="shared" si="60"/>
        <v/>
      </c>
      <c r="V586" s="16"/>
      <c r="W586" s="34"/>
      <c r="X586" s="35"/>
      <c r="Z586" s="74"/>
      <c r="AA586" s="130" t="str" cm="1">
        <f t="array" ref="AA586">HEX2ASCII(AB586)&amp;HEX2ASCII(AC586)&amp;HEX2ASCII(AD586)&amp;HEX2ASCII(AE586)&amp;HEX2ASCII(AF586)&amp;HEX2ASCII(AG586)&amp;HEX2ASCII(AH586)&amp;HEX2ASCII(AI586)</f>
        <v/>
      </c>
      <c r="AB586" s="147"/>
      <c r="AC586" s="148"/>
      <c r="AD586" s="148"/>
      <c r="AE586" s="148"/>
      <c r="AF586" s="148"/>
      <c r="AG586" s="148"/>
      <c r="AH586" s="148"/>
      <c r="AI586" s="149"/>
    </row>
    <row r="587" spans="11:35">
      <c r="K587" s="85"/>
      <c r="L587" s="54" t="str">
        <f t="shared" si="59"/>
        <v/>
      </c>
      <c r="M587" s="38" t="str">
        <f t="shared" si="58"/>
        <v>0343</v>
      </c>
      <c r="N587" s="69">
        <f t="shared" si="61"/>
        <v>835</v>
      </c>
      <c r="O587" s="96"/>
      <c r="P587" s="97"/>
      <c r="Q587" s="98"/>
      <c r="R587" s="135"/>
      <c r="U587" s="48" t="str">
        <f t="shared" si="60"/>
        <v/>
      </c>
      <c r="V587" s="16"/>
      <c r="W587" s="34"/>
      <c r="X587" s="35"/>
      <c r="Z587" s="74"/>
      <c r="AA587" s="130" t="str" cm="1">
        <f t="array" ref="AA587">HEX2ASCII(AB587)&amp;HEX2ASCII(AC587)&amp;HEX2ASCII(AD587)&amp;HEX2ASCII(AE587)&amp;HEX2ASCII(AF587)&amp;HEX2ASCII(AG587)&amp;HEX2ASCII(AH587)&amp;HEX2ASCII(AI587)</f>
        <v/>
      </c>
      <c r="AB587" s="147"/>
      <c r="AC587" s="148"/>
      <c r="AD587" s="148"/>
      <c r="AE587" s="148"/>
      <c r="AF587" s="148"/>
      <c r="AG587" s="148"/>
      <c r="AH587" s="148"/>
      <c r="AI587" s="149"/>
    </row>
    <row r="588" spans="11:35">
      <c r="K588" s="85"/>
      <c r="L588" s="54" t="str">
        <f t="shared" si="59"/>
        <v/>
      </c>
      <c r="M588" s="38" t="str">
        <f t="shared" si="58"/>
        <v>0344</v>
      </c>
      <c r="N588" s="69">
        <f t="shared" si="61"/>
        <v>836</v>
      </c>
      <c r="O588" s="96"/>
      <c r="P588" s="97"/>
      <c r="Q588" s="98"/>
      <c r="R588" s="135"/>
      <c r="U588" s="48" t="str">
        <f t="shared" si="60"/>
        <v/>
      </c>
      <c r="V588" s="16"/>
      <c r="W588" s="34"/>
      <c r="X588" s="35"/>
      <c r="Z588" s="74"/>
      <c r="AA588" s="130" t="str" cm="1">
        <f t="array" ref="AA588">HEX2ASCII(AB588)&amp;HEX2ASCII(AC588)&amp;HEX2ASCII(AD588)&amp;HEX2ASCII(AE588)&amp;HEX2ASCII(AF588)&amp;HEX2ASCII(AG588)&amp;HEX2ASCII(AH588)&amp;HEX2ASCII(AI588)</f>
        <v/>
      </c>
      <c r="AB588" s="147"/>
      <c r="AC588" s="148"/>
      <c r="AD588" s="148"/>
      <c r="AE588" s="148"/>
      <c r="AF588" s="148"/>
      <c r="AG588" s="148"/>
      <c r="AH588" s="148"/>
      <c r="AI588" s="149"/>
    </row>
    <row r="589" spans="11:35">
      <c r="K589" s="85"/>
      <c r="L589" s="54" t="str">
        <f t="shared" si="59"/>
        <v/>
      </c>
      <c r="M589" s="38" t="str">
        <f t="shared" si="58"/>
        <v>0345</v>
      </c>
      <c r="N589" s="69">
        <f t="shared" si="61"/>
        <v>837</v>
      </c>
      <c r="O589" s="96"/>
      <c r="P589" s="97"/>
      <c r="Q589" s="98"/>
      <c r="R589" s="135"/>
      <c r="U589" s="48" t="str">
        <f t="shared" si="60"/>
        <v/>
      </c>
      <c r="V589" s="16"/>
      <c r="W589" s="34"/>
      <c r="X589" s="35"/>
      <c r="Z589" s="74"/>
      <c r="AA589" s="130" t="str" cm="1">
        <f t="array" ref="AA589">HEX2ASCII(AB589)&amp;HEX2ASCII(AC589)&amp;HEX2ASCII(AD589)&amp;HEX2ASCII(AE589)&amp;HEX2ASCII(AF589)&amp;HEX2ASCII(AG589)&amp;HEX2ASCII(AH589)&amp;HEX2ASCII(AI589)</f>
        <v/>
      </c>
      <c r="AB589" s="147"/>
      <c r="AC589" s="148"/>
      <c r="AD589" s="148"/>
      <c r="AE589" s="148"/>
      <c r="AF589" s="148"/>
      <c r="AG589" s="148"/>
      <c r="AH589" s="148"/>
      <c r="AI589" s="149"/>
    </row>
    <row r="590" spans="11:35">
      <c r="K590" s="85"/>
      <c r="L590" s="54" t="str">
        <f t="shared" si="59"/>
        <v/>
      </c>
      <c r="M590" s="38" t="str">
        <f t="shared" si="58"/>
        <v>0346</v>
      </c>
      <c r="N590" s="69">
        <f t="shared" si="61"/>
        <v>838</v>
      </c>
      <c r="O590" s="96"/>
      <c r="P590" s="97"/>
      <c r="Q590" s="98"/>
      <c r="R590" s="135"/>
      <c r="U590" s="48" t="str">
        <f t="shared" si="60"/>
        <v/>
      </c>
      <c r="V590" s="16"/>
      <c r="W590" s="34"/>
      <c r="X590" s="35"/>
      <c r="Z590" s="74"/>
      <c r="AA590" s="130" t="str" cm="1">
        <f t="array" ref="AA590">HEX2ASCII(AB590)&amp;HEX2ASCII(AC590)&amp;HEX2ASCII(AD590)&amp;HEX2ASCII(AE590)&amp;HEX2ASCII(AF590)&amp;HEX2ASCII(AG590)&amp;HEX2ASCII(AH590)&amp;HEX2ASCII(AI590)</f>
        <v/>
      </c>
      <c r="AB590" s="147"/>
      <c r="AC590" s="148"/>
      <c r="AD590" s="148"/>
      <c r="AE590" s="148"/>
      <c r="AF590" s="148"/>
      <c r="AG590" s="148"/>
      <c r="AH590" s="148"/>
      <c r="AI590" s="149"/>
    </row>
    <row r="591" spans="11:35">
      <c r="K591" s="85"/>
      <c r="L591" s="54" t="str">
        <f t="shared" si="59"/>
        <v/>
      </c>
      <c r="M591" s="38" t="str">
        <f t="shared" si="58"/>
        <v>0347</v>
      </c>
      <c r="N591" s="69">
        <f t="shared" si="61"/>
        <v>839</v>
      </c>
      <c r="O591" s="96"/>
      <c r="P591" s="97"/>
      <c r="Q591" s="98"/>
      <c r="R591" s="135"/>
      <c r="U591" s="48" t="str">
        <f t="shared" si="60"/>
        <v/>
      </c>
      <c r="V591" s="16"/>
      <c r="W591" s="34"/>
      <c r="X591" s="35"/>
      <c r="Z591" s="74"/>
      <c r="AA591" s="130" t="str" cm="1">
        <f t="array" ref="AA591">HEX2ASCII(AB591)&amp;HEX2ASCII(AC591)&amp;HEX2ASCII(AD591)&amp;HEX2ASCII(AE591)&amp;HEX2ASCII(AF591)&amp;HEX2ASCII(AG591)&amp;HEX2ASCII(AH591)&amp;HEX2ASCII(AI591)</f>
        <v/>
      </c>
      <c r="AB591" s="147"/>
      <c r="AC591" s="148"/>
      <c r="AD591" s="148"/>
      <c r="AE591" s="148"/>
      <c r="AF591" s="148"/>
      <c r="AG591" s="148"/>
      <c r="AH591" s="148"/>
      <c r="AI591" s="149"/>
    </row>
    <row r="592" spans="11:35">
      <c r="K592" s="85"/>
      <c r="L592" s="54" t="str">
        <f t="shared" si="59"/>
        <v/>
      </c>
      <c r="M592" s="38" t="str">
        <f t="shared" si="58"/>
        <v>0348</v>
      </c>
      <c r="N592" s="69">
        <f t="shared" si="61"/>
        <v>840</v>
      </c>
      <c r="O592" s="96"/>
      <c r="P592" s="97"/>
      <c r="Q592" s="98"/>
      <c r="R592" s="135"/>
      <c r="U592" s="48" t="str">
        <f t="shared" si="60"/>
        <v/>
      </c>
      <c r="V592" s="16"/>
      <c r="W592" s="34"/>
      <c r="X592" s="35"/>
      <c r="Z592" s="74"/>
      <c r="AA592" s="130" t="str" cm="1">
        <f t="array" ref="AA592">HEX2ASCII(AB592)&amp;HEX2ASCII(AC592)&amp;HEX2ASCII(AD592)&amp;HEX2ASCII(AE592)&amp;HEX2ASCII(AF592)&amp;HEX2ASCII(AG592)&amp;HEX2ASCII(AH592)&amp;HEX2ASCII(AI592)</f>
        <v/>
      </c>
      <c r="AB592" s="147"/>
      <c r="AC592" s="148"/>
      <c r="AD592" s="148"/>
      <c r="AE592" s="148"/>
      <c r="AF592" s="148"/>
      <c r="AG592" s="148"/>
      <c r="AH592" s="148"/>
      <c r="AI592" s="149"/>
    </row>
    <row r="593" spans="11:35">
      <c r="K593" s="85"/>
      <c r="L593" s="54" t="str">
        <f t="shared" si="59"/>
        <v/>
      </c>
      <c r="M593" s="38" t="str">
        <f t="shared" si="58"/>
        <v>0349</v>
      </c>
      <c r="N593" s="69">
        <f t="shared" si="61"/>
        <v>841</v>
      </c>
      <c r="O593" s="96"/>
      <c r="P593" s="97"/>
      <c r="Q593" s="98"/>
      <c r="R593" s="135"/>
      <c r="U593" s="48" t="str">
        <f t="shared" si="60"/>
        <v/>
      </c>
      <c r="V593" s="16"/>
      <c r="W593" s="34"/>
      <c r="X593" s="35"/>
      <c r="Z593" s="74"/>
      <c r="AA593" s="130" t="str" cm="1">
        <f t="array" ref="AA593">HEX2ASCII(AB593)&amp;HEX2ASCII(AC593)&amp;HEX2ASCII(AD593)&amp;HEX2ASCII(AE593)&amp;HEX2ASCII(AF593)&amp;HEX2ASCII(AG593)&amp;HEX2ASCII(AH593)&amp;HEX2ASCII(AI593)</f>
        <v/>
      </c>
      <c r="AB593" s="147"/>
      <c r="AC593" s="148"/>
      <c r="AD593" s="148"/>
      <c r="AE593" s="148"/>
      <c r="AF593" s="148"/>
      <c r="AG593" s="148"/>
      <c r="AH593" s="148"/>
      <c r="AI593" s="149"/>
    </row>
    <row r="594" spans="11:35">
      <c r="K594" s="85"/>
      <c r="L594" s="54" t="str">
        <f t="shared" si="59"/>
        <v/>
      </c>
      <c r="M594" s="38" t="str">
        <f t="shared" si="58"/>
        <v>034A</v>
      </c>
      <c r="N594" s="69">
        <f t="shared" si="61"/>
        <v>842</v>
      </c>
      <c r="O594" s="96"/>
      <c r="P594" s="97"/>
      <c r="Q594" s="98"/>
      <c r="R594" s="135"/>
      <c r="U594" s="48" t="str">
        <f t="shared" si="60"/>
        <v/>
      </c>
      <c r="V594" s="16"/>
      <c r="W594" s="34"/>
      <c r="X594" s="35"/>
      <c r="Z594" s="74"/>
      <c r="AA594" s="130" t="str" cm="1">
        <f t="array" ref="AA594">HEX2ASCII(AB594)&amp;HEX2ASCII(AC594)&amp;HEX2ASCII(AD594)&amp;HEX2ASCII(AE594)&amp;HEX2ASCII(AF594)&amp;HEX2ASCII(AG594)&amp;HEX2ASCII(AH594)&amp;HEX2ASCII(AI594)</f>
        <v/>
      </c>
      <c r="AB594" s="147"/>
      <c r="AC594" s="148"/>
      <c r="AD594" s="148"/>
      <c r="AE594" s="148"/>
      <c r="AF594" s="148"/>
      <c r="AG594" s="148"/>
      <c r="AH594" s="148"/>
      <c r="AI594" s="149"/>
    </row>
    <row r="595" spans="11:35">
      <c r="K595" s="85"/>
      <c r="L595" s="54" t="str">
        <f t="shared" si="59"/>
        <v/>
      </c>
      <c r="M595" s="38" t="str">
        <f t="shared" si="58"/>
        <v>034B</v>
      </c>
      <c r="N595" s="69">
        <f t="shared" si="61"/>
        <v>843</v>
      </c>
      <c r="O595" s="96"/>
      <c r="P595" s="97"/>
      <c r="Q595" s="98"/>
      <c r="R595" s="135"/>
      <c r="U595" s="48" t="str">
        <f t="shared" si="60"/>
        <v/>
      </c>
      <c r="V595" s="16"/>
      <c r="W595" s="34"/>
      <c r="X595" s="35"/>
      <c r="Z595" s="74"/>
      <c r="AA595" s="130" t="str" cm="1">
        <f t="array" ref="AA595">HEX2ASCII(AB595)&amp;HEX2ASCII(AC595)&amp;HEX2ASCII(AD595)&amp;HEX2ASCII(AE595)&amp;HEX2ASCII(AF595)&amp;HEX2ASCII(AG595)&amp;HEX2ASCII(AH595)&amp;HEX2ASCII(AI595)</f>
        <v/>
      </c>
      <c r="AB595" s="147"/>
      <c r="AC595" s="148"/>
      <c r="AD595" s="148"/>
      <c r="AE595" s="148"/>
      <c r="AF595" s="148"/>
      <c r="AG595" s="148"/>
      <c r="AH595" s="148"/>
      <c r="AI595" s="149"/>
    </row>
    <row r="596" spans="11:35">
      <c r="K596" s="85"/>
      <c r="L596" s="54" t="str">
        <f t="shared" si="59"/>
        <v/>
      </c>
      <c r="M596" s="38" t="str">
        <f t="shared" si="58"/>
        <v>034C</v>
      </c>
      <c r="N596" s="69">
        <f t="shared" si="61"/>
        <v>844</v>
      </c>
      <c r="O596" s="96"/>
      <c r="P596" s="97"/>
      <c r="Q596" s="98"/>
      <c r="R596" s="135"/>
      <c r="U596" s="48" t="str">
        <f t="shared" si="60"/>
        <v/>
      </c>
      <c r="V596" s="16"/>
      <c r="W596" s="34"/>
      <c r="X596" s="35"/>
      <c r="Z596" s="74"/>
      <c r="AA596" s="130" t="str" cm="1">
        <f t="array" ref="AA596">HEX2ASCII(AB596)&amp;HEX2ASCII(AC596)&amp;HEX2ASCII(AD596)&amp;HEX2ASCII(AE596)&amp;HEX2ASCII(AF596)&amp;HEX2ASCII(AG596)&amp;HEX2ASCII(AH596)&amp;HEX2ASCII(AI596)</f>
        <v/>
      </c>
      <c r="AB596" s="147"/>
      <c r="AC596" s="148"/>
      <c r="AD596" s="148"/>
      <c r="AE596" s="148"/>
      <c r="AF596" s="148"/>
      <c r="AG596" s="148"/>
      <c r="AH596" s="148"/>
      <c r="AI596" s="149"/>
    </row>
    <row r="597" spans="11:35">
      <c r="K597" s="85"/>
      <c r="L597" s="54" t="str">
        <f t="shared" si="59"/>
        <v/>
      </c>
      <c r="M597" s="38" t="str">
        <f t="shared" si="58"/>
        <v>034D</v>
      </c>
      <c r="N597" s="69">
        <f t="shared" si="61"/>
        <v>845</v>
      </c>
      <c r="O597" s="96"/>
      <c r="P597" s="97"/>
      <c r="Q597" s="98"/>
      <c r="R597" s="135"/>
      <c r="U597" s="48" t="str">
        <f t="shared" si="60"/>
        <v/>
      </c>
      <c r="V597" s="16"/>
      <c r="W597" s="34"/>
      <c r="X597" s="35"/>
      <c r="Z597" s="74"/>
      <c r="AA597" s="130" t="str" cm="1">
        <f t="array" ref="AA597">HEX2ASCII(AB597)&amp;HEX2ASCII(AC597)&amp;HEX2ASCII(AD597)&amp;HEX2ASCII(AE597)&amp;HEX2ASCII(AF597)&amp;HEX2ASCII(AG597)&amp;HEX2ASCII(AH597)&amp;HEX2ASCII(AI597)</f>
        <v/>
      </c>
      <c r="AB597" s="147"/>
      <c r="AC597" s="148"/>
      <c r="AD597" s="148"/>
      <c r="AE597" s="148"/>
      <c r="AF597" s="148"/>
      <c r="AG597" s="148"/>
      <c r="AH597" s="148"/>
      <c r="AI597" s="149"/>
    </row>
    <row r="598" spans="11:35">
      <c r="K598" s="85"/>
      <c r="L598" s="54" t="str">
        <f t="shared" si="59"/>
        <v/>
      </c>
      <c r="M598" s="38" t="str">
        <f t="shared" si="58"/>
        <v>034E</v>
      </c>
      <c r="N598" s="69">
        <f t="shared" si="61"/>
        <v>846</v>
      </c>
      <c r="O598" s="96"/>
      <c r="P598" s="97"/>
      <c r="Q598" s="98"/>
      <c r="R598" s="135"/>
      <c r="U598" s="48" t="str">
        <f t="shared" si="60"/>
        <v/>
      </c>
      <c r="V598" s="16"/>
      <c r="W598" s="34"/>
      <c r="X598" s="35"/>
      <c r="Z598" s="74"/>
      <c r="AA598" s="130" t="str" cm="1">
        <f t="array" ref="AA598">HEX2ASCII(AB598)&amp;HEX2ASCII(AC598)&amp;HEX2ASCII(AD598)&amp;HEX2ASCII(AE598)&amp;HEX2ASCII(AF598)&amp;HEX2ASCII(AG598)&amp;HEX2ASCII(AH598)&amp;HEX2ASCII(AI598)</f>
        <v/>
      </c>
      <c r="AB598" s="147"/>
      <c r="AC598" s="148"/>
      <c r="AD598" s="148"/>
      <c r="AE598" s="148"/>
      <c r="AF598" s="148"/>
      <c r="AG598" s="148"/>
      <c r="AH598" s="148"/>
      <c r="AI598" s="149"/>
    </row>
    <row r="599" spans="11:35">
      <c r="K599" s="85"/>
      <c r="L599" s="54" t="str">
        <f t="shared" si="59"/>
        <v/>
      </c>
      <c r="M599" s="38" t="str">
        <f t="shared" si="58"/>
        <v>034F</v>
      </c>
      <c r="N599" s="69">
        <f t="shared" si="61"/>
        <v>847</v>
      </c>
      <c r="O599" s="96"/>
      <c r="P599" s="97"/>
      <c r="Q599" s="98"/>
      <c r="R599" s="135"/>
      <c r="U599" s="48" t="str">
        <f t="shared" si="60"/>
        <v/>
      </c>
      <c r="V599" s="16"/>
      <c r="W599" s="34"/>
      <c r="X599" s="35"/>
      <c r="Z599" s="74"/>
      <c r="AA599" s="130" t="str" cm="1">
        <f t="array" ref="AA599">HEX2ASCII(AB599)&amp;HEX2ASCII(AC599)&amp;HEX2ASCII(AD599)&amp;HEX2ASCII(AE599)&amp;HEX2ASCII(AF599)&amp;HEX2ASCII(AG599)&amp;HEX2ASCII(AH599)&amp;HEX2ASCII(AI599)</f>
        <v/>
      </c>
      <c r="AB599" s="147"/>
      <c r="AC599" s="148"/>
      <c r="AD599" s="148"/>
      <c r="AE599" s="148"/>
      <c r="AF599" s="148"/>
      <c r="AG599" s="148"/>
      <c r="AH599" s="148"/>
      <c r="AI599" s="149"/>
    </row>
    <row r="600" spans="11:35">
      <c r="K600" s="85"/>
      <c r="L600" s="54" t="str">
        <f t="shared" si="59"/>
        <v/>
      </c>
      <c r="M600" s="38" t="str">
        <f t="shared" si="58"/>
        <v>0350</v>
      </c>
      <c r="N600" s="69">
        <f t="shared" si="61"/>
        <v>848</v>
      </c>
      <c r="O600" s="96"/>
      <c r="P600" s="97"/>
      <c r="Q600" s="98"/>
      <c r="R600" s="135"/>
      <c r="U600" s="48" t="str">
        <f t="shared" si="60"/>
        <v/>
      </c>
      <c r="V600" s="16"/>
      <c r="W600" s="34"/>
      <c r="X600" s="35"/>
      <c r="Z600" s="74"/>
      <c r="AA600" s="130" t="str" cm="1">
        <f t="array" ref="AA600">HEX2ASCII(AB600)&amp;HEX2ASCII(AC600)&amp;HEX2ASCII(AD600)&amp;HEX2ASCII(AE600)&amp;HEX2ASCII(AF600)&amp;HEX2ASCII(AG600)&amp;HEX2ASCII(AH600)&amp;HEX2ASCII(AI600)</f>
        <v/>
      </c>
      <c r="AB600" s="147"/>
      <c r="AC600" s="148"/>
      <c r="AD600" s="148"/>
      <c r="AE600" s="148"/>
      <c r="AF600" s="148"/>
      <c r="AG600" s="148"/>
      <c r="AH600" s="148"/>
      <c r="AI600" s="149"/>
    </row>
    <row r="601" spans="11:35">
      <c r="K601" s="85"/>
      <c r="L601" s="54" t="str">
        <f t="shared" si="59"/>
        <v/>
      </c>
      <c r="M601" s="38" t="str">
        <f t="shared" si="58"/>
        <v>0351</v>
      </c>
      <c r="N601" s="69">
        <f t="shared" si="61"/>
        <v>849</v>
      </c>
      <c r="O601" s="96"/>
      <c r="P601" s="97"/>
      <c r="Q601" s="98"/>
      <c r="R601" s="135"/>
      <c r="U601" s="48" t="str">
        <f t="shared" si="60"/>
        <v/>
      </c>
      <c r="V601" s="16"/>
      <c r="W601" s="34"/>
      <c r="X601" s="35"/>
      <c r="Z601" s="74"/>
      <c r="AA601" s="130" t="str" cm="1">
        <f t="array" ref="AA601">HEX2ASCII(AB601)&amp;HEX2ASCII(AC601)&amp;HEX2ASCII(AD601)&amp;HEX2ASCII(AE601)&amp;HEX2ASCII(AF601)&amp;HEX2ASCII(AG601)&amp;HEX2ASCII(AH601)&amp;HEX2ASCII(AI601)</f>
        <v/>
      </c>
      <c r="AB601" s="147"/>
      <c r="AC601" s="148"/>
      <c r="AD601" s="148"/>
      <c r="AE601" s="148"/>
      <c r="AF601" s="148"/>
      <c r="AG601" s="148"/>
      <c r="AH601" s="148"/>
      <c r="AI601" s="149"/>
    </row>
    <row r="602" spans="11:35">
      <c r="K602" s="85"/>
      <c r="L602" s="54" t="str">
        <f t="shared" si="59"/>
        <v/>
      </c>
      <c r="M602" s="38" t="str">
        <f t="shared" si="58"/>
        <v>0352</v>
      </c>
      <c r="N602" s="69">
        <f t="shared" si="61"/>
        <v>850</v>
      </c>
      <c r="O602" s="96"/>
      <c r="P602" s="97"/>
      <c r="Q602" s="98"/>
      <c r="R602" s="135"/>
      <c r="U602" s="48" t="str">
        <f t="shared" si="60"/>
        <v/>
      </c>
      <c r="V602" s="16"/>
      <c r="W602" s="34"/>
      <c r="X602" s="35"/>
      <c r="Z602" s="74"/>
      <c r="AA602" s="130" t="str" cm="1">
        <f t="array" ref="AA602">HEX2ASCII(AB602)&amp;HEX2ASCII(AC602)&amp;HEX2ASCII(AD602)&amp;HEX2ASCII(AE602)&amp;HEX2ASCII(AF602)&amp;HEX2ASCII(AG602)&amp;HEX2ASCII(AH602)&amp;HEX2ASCII(AI602)</f>
        <v/>
      </c>
      <c r="AB602" s="147"/>
      <c r="AC602" s="148"/>
      <c r="AD602" s="148"/>
      <c r="AE602" s="148"/>
      <c r="AF602" s="148"/>
      <c r="AG602" s="148"/>
      <c r="AH602" s="148"/>
      <c r="AI602" s="149"/>
    </row>
    <row r="603" spans="11:35">
      <c r="K603" s="85"/>
      <c r="L603" s="54" t="str">
        <f t="shared" si="59"/>
        <v/>
      </c>
      <c r="M603" s="38" t="str">
        <f t="shared" si="58"/>
        <v>0353</v>
      </c>
      <c r="N603" s="69">
        <f t="shared" si="61"/>
        <v>851</v>
      </c>
      <c r="O603" s="96"/>
      <c r="P603" s="97"/>
      <c r="Q603" s="98"/>
      <c r="R603" s="135"/>
      <c r="U603" s="48" t="str">
        <f t="shared" si="60"/>
        <v/>
      </c>
      <c r="V603" s="16"/>
      <c r="W603" s="34"/>
      <c r="X603" s="35"/>
      <c r="Z603" s="74"/>
      <c r="AA603" s="130" t="str" cm="1">
        <f t="array" ref="AA603">HEX2ASCII(AB603)&amp;HEX2ASCII(AC603)&amp;HEX2ASCII(AD603)&amp;HEX2ASCII(AE603)&amp;HEX2ASCII(AF603)&amp;HEX2ASCII(AG603)&amp;HEX2ASCII(AH603)&amp;HEX2ASCII(AI603)</f>
        <v/>
      </c>
      <c r="AB603" s="147"/>
      <c r="AC603" s="148"/>
      <c r="AD603" s="148"/>
      <c r="AE603" s="148"/>
      <c r="AF603" s="148"/>
      <c r="AG603" s="148"/>
      <c r="AH603" s="148"/>
      <c r="AI603" s="149"/>
    </row>
    <row r="604" spans="11:35">
      <c r="K604" s="85"/>
      <c r="L604" s="54" t="str">
        <f t="shared" si="59"/>
        <v/>
      </c>
      <c r="M604" s="38" t="str">
        <f t="shared" si="58"/>
        <v>0354</v>
      </c>
      <c r="N604" s="69">
        <f t="shared" si="61"/>
        <v>852</v>
      </c>
      <c r="O604" s="96"/>
      <c r="P604" s="97"/>
      <c r="Q604" s="98"/>
      <c r="R604" s="135"/>
      <c r="U604" s="48" t="str">
        <f t="shared" si="60"/>
        <v/>
      </c>
      <c r="V604" s="16"/>
      <c r="W604" s="34"/>
      <c r="X604" s="35"/>
      <c r="Z604" s="74"/>
      <c r="AA604" s="130" t="str" cm="1">
        <f t="array" ref="AA604">HEX2ASCII(AB604)&amp;HEX2ASCII(AC604)&amp;HEX2ASCII(AD604)&amp;HEX2ASCII(AE604)&amp;HEX2ASCII(AF604)&amp;HEX2ASCII(AG604)&amp;HEX2ASCII(AH604)&amp;HEX2ASCII(AI604)</f>
        <v/>
      </c>
      <c r="AB604" s="147"/>
      <c r="AC604" s="148"/>
      <c r="AD604" s="148"/>
      <c r="AE604" s="148"/>
      <c r="AF604" s="148"/>
      <c r="AG604" s="148"/>
      <c r="AH604" s="148"/>
      <c r="AI604" s="149"/>
    </row>
    <row r="605" spans="11:35">
      <c r="K605" s="85"/>
      <c r="L605" s="54" t="str">
        <f t="shared" si="59"/>
        <v/>
      </c>
      <c r="M605" s="38" t="str">
        <f t="shared" ref="M605:M668" si="62">IFERROR(RIGHT("0000"&amp;DEC2HEX(N605),4),"")</f>
        <v>0355</v>
      </c>
      <c r="N605" s="69">
        <f t="shared" si="61"/>
        <v>853</v>
      </c>
      <c r="O605" s="96"/>
      <c r="P605" s="97"/>
      <c r="Q605" s="98"/>
      <c r="R605" s="135"/>
      <c r="U605" s="48" t="str">
        <f t="shared" si="60"/>
        <v/>
      </c>
      <c r="V605" s="16"/>
      <c r="W605" s="34"/>
      <c r="X605" s="35"/>
      <c r="Z605" s="74"/>
      <c r="AA605" s="130" t="str" cm="1">
        <f t="array" ref="AA605">HEX2ASCII(AB605)&amp;HEX2ASCII(AC605)&amp;HEX2ASCII(AD605)&amp;HEX2ASCII(AE605)&amp;HEX2ASCII(AF605)&amp;HEX2ASCII(AG605)&amp;HEX2ASCII(AH605)&amp;HEX2ASCII(AI605)</f>
        <v/>
      </c>
      <c r="AB605" s="147"/>
      <c r="AC605" s="148"/>
      <c r="AD605" s="148"/>
      <c r="AE605" s="148"/>
      <c r="AF605" s="148"/>
      <c r="AG605" s="148"/>
      <c r="AH605" s="148"/>
      <c r="AI605" s="149"/>
    </row>
    <row r="606" spans="11:35">
      <c r="K606" s="85"/>
      <c r="L606" s="54" t="str">
        <f t="shared" si="59"/>
        <v/>
      </c>
      <c r="M606" s="38" t="str">
        <f t="shared" si="62"/>
        <v>0356</v>
      </c>
      <c r="N606" s="69">
        <f t="shared" si="61"/>
        <v>854</v>
      </c>
      <c r="O606" s="96"/>
      <c r="P606" s="97"/>
      <c r="Q606" s="98"/>
      <c r="R606" s="135"/>
      <c r="U606" s="48" t="str">
        <f t="shared" si="60"/>
        <v/>
      </c>
      <c r="V606" s="16"/>
      <c r="W606" s="34"/>
      <c r="X606" s="35"/>
      <c r="Z606" s="74"/>
      <c r="AA606" s="130" t="str" cm="1">
        <f t="array" ref="AA606">HEX2ASCII(AB606)&amp;HEX2ASCII(AC606)&amp;HEX2ASCII(AD606)&amp;HEX2ASCII(AE606)&amp;HEX2ASCII(AF606)&amp;HEX2ASCII(AG606)&amp;HEX2ASCII(AH606)&amp;HEX2ASCII(AI606)</f>
        <v/>
      </c>
      <c r="AB606" s="147"/>
      <c r="AC606" s="148"/>
      <c r="AD606" s="148"/>
      <c r="AE606" s="148"/>
      <c r="AF606" s="148"/>
      <c r="AG606" s="148"/>
      <c r="AH606" s="148"/>
      <c r="AI606" s="149"/>
    </row>
    <row r="607" spans="11:35">
      <c r="K607" s="85"/>
      <c r="L607" s="54" t="str">
        <f t="shared" si="59"/>
        <v/>
      </c>
      <c r="M607" s="38" t="str">
        <f t="shared" si="62"/>
        <v>0357</v>
      </c>
      <c r="N607" s="69">
        <f t="shared" si="61"/>
        <v>855</v>
      </c>
      <c r="O607" s="96"/>
      <c r="P607" s="97"/>
      <c r="Q607" s="98"/>
      <c r="R607" s="135"/>
      <c r="U607" s="48" t="str">
        <f t="shared" si="60"/>
        <v/>
      </c>
      <c r="V607" s="16"/>
      <c r="W607" s="34"/>
      <c r="X607" s="35"/>
      <c r="Z607" s="74"/>
      <c r="AA607" s="130" t="str" cm="1">
        <f t="array" ref="AA607">HEX2ASCII(AB607)&amp;HEX2ASCII(AC607)&amp;HEX2ASCII(AD607)&amp;HEX2ASCII(AE607)&amp;HEX2ASCII(AF607)&amp;HEX2ASCII(AG607)&amp;HEX2ASCII(AH607)&amp;HEX2ASCII(AI607)</f>
        <v/>
      </c>
      <c r="AB607" s="147"/>
      <c r="AC607" s="148"/>
      <c r="AD607" s="148"/>
      <c r="AE607" s="148"/>
      <c r="AF607" s="148"/>
      <c r="AG607" s="148"/>
      <c r="AH607" s="148"/>
      <c r="AI607" s="149"/>
    </row>
    <row r="608" spans="11:35">
      <c r="K608" s="85"/>
      <c r="L608" s="54" t="str">
        <f t="shared" si="59"/>
        <v/>
      </c>
      <c r="M608" s="38" t="str">
        <f t="shared" si="62"/>
        <v>0358</v>
      </c>
      <c r="N608" s="69">
        <f t="shared" si="61"/>
        <v>856</v>
      </c>
      <c r="O608" s="96"/>
      <c r="P608" s="97"/>
      <c r="Q608" s="98"/>
      <c r="R608" s="135"/>
      <c r="U608" s="48" t="str">
        <f t="shared" si="60"/>
        <v/>
      </c>
      <c r="V608" s="16"/>
      <c r="W608" s="34"/>
      <c r="X608" s="35"/>
      <c r="Z608" s="74"/>
      <c r="AA608" s="130" t="str" cm="1">
        <f t="array" ref="AA608">HEX2ASCII(AB608)&amp;HEX2ASCII(AC608)&amp;HEX2ASCII(AD608)&amp;HEX2ASCII(AE608)&amp;HEX2ASCII(AF608)&amp;HEX2ASCII(AG608)&amp;HEX2ASCII(AH608)&amp;HEX2ASCII(AI608)</f>
        <v/>
      </c>
      <c r="AB608" s="147"/>
      <c r="AC608" s="148"/>
      <c r="AD608" s="148"/>
      <c r="AE608" s="148"/>
      <c r="AF608" s="148"/>
      <c r="AG608" s="148"/>
      <c r="AH608" s="148"/>
      <c r="AI608" s="149"/>
    </row>
    <row r="609" spans="11:35">
      <c r="K609" s="85"/>
      <c r="L609" s="54" t="str">
        <f t="shared" si="59"/>
        <v/>
      </c>
      <c r="M609" s="38" t="str">
        <f t="shared" si="62"/>
        <v>0359</v>
      </c>
      <c r="N609" s="69">
        <f t="shared" si="61"/>
        <v>857</v>
      </c>
      <c r="O609" s="96"/>
      <c r="P609" s="97"/>
      <c r="Q609" s="98"/>
      <c r="R609" s="135"/>
      <c r="U609" s="48" t="str">
        <f t="shared" si="60"/>
        <v/>
      </c>
      <c r="V609" s="16"/>
      <c r="W609" s="34"/>
      <c r="X609" s="35"/>
      <c r="Z609" s="74"/>
      <c r="AA609" s="130" t="str" cm="1">
        <f t="array" ref="AA609">HEX2ASCII(AB609)&amp;HEX2ASCII(AC609)&amp;HEX2ASCII(AD609)&amp;HEX2ASCII(AE609)&amp;HEX2ASCII(AF609)&amp;HEX2ASCII(AG609)&amp;HEX2ASCII(AH609)&amp;HEX2ASCII(AI609)</f>
        <v/>
      </c>
      <c r="AB609" s="147"/>
      <c r="AC609" s="148"/>
      <c r="AD609" s="148"/>
      <c r="AE609" s="148"/>
      <c r="AF609" s="148"/>
      <c r="AG609" s="148"/>
      <c r="AH609" s="148"/>
      <c r="AI609" s="149"/>
    </row>
    <row r="610" spans="11:35">
      <c r="K610" s="85"/>
      <c r="L610" s="54" t="str">
        <f t="shared" si="59"/>
        <v/>
      </c>
      <c r="M610" s="38" t="str">
        <f t="shared" si="62"/>
        <v>035A</v>
      </c>
      <c r="N610" s="69">
        <f t="shared" si="61"/>
        <v>858</v>
      </c>
      <c r="O610" s="96"/>
      <c r="P610" s="97"/>
      <c r="Q610" s="98"/>
      <c r="R610" s="135"/>
      <c r="U610" s="48" t="str">
        <f t="shared" si="60"/>
        <v/>
      </c>
      <c r="V610" s="16"/>
      <c r="W610" s="34"/>
      <c r="X610" s="35"/>
      <c r="Z610" s="74"/>
      <c r="AA610" s="130" t="str" cm="1">
        <f t="array" ref="AA610">HEX2ASCII(AB610)&amp;HEX2ASCII(AC610)&amp;HEX2ASCII(AD610)&amp;HEX2ASCII(AE610)&amp;HEX2ASCII(AF610)&amp;HEX2ASCII(AG610)&amp;HEX2ASCII(AH610)&amp;HEX2ASCII(AI610)</f>
        <v/>
      </c>
      <c r="AB610" s="147"/>
      <c r="AC610" s="148"/>
      <c r="AD610" s="148"/>
      <c r="AE610" s="148"/>
      <c r="AF610" s="148"/>
      <c r="AG610" s="148"/>
      <c r="AH610" s="148"/>
      <c r="AI610" s="149"/>
    </row>
    <row r="611" spans="11:35">
      <c r="K611" s="85"/>
      <c r="L611" s="54" t="str">
        <f t="shared" si="59"/>
        <v/>
      </c>
      <c r="M611" s="38" t="str">
        <f t="shared" si="62"/>
        <v>035B</v>
      </c>
      <c r="N611" s="69">
        <f t="shared" si="61"/>
        <v>859</v>
      </c>
      <c r="O611" s="96"/>
      <c r="P611" s="97"/>
      <c r="Q611" s="98"/>
      <c r="R611" s="135"/>
      <c r="U611" s="48" t="str">
        <f t="shared" si="60"/>
        <v/>
      </c>
      <c r="V611" s="16"/>
      <c r="W611" s="34"/>
      <c r="X611" s="35"/>
      <c r="Z611" s="74"/>
      <c r="AA611" s="130" t="str" cm="1">
        <f t="array" ref="AA611">HEX2ASCII(AB611)&amp;HEX2ASCII(AC611)&amp;HEX2ASCII(AD611)&amp;HEX2ASCII(AE611)&amp;HEX2ASCII(AF611)&amp;HEX2ASCII(AG611)&amp;HEX2ASCII(AH611)&amp;HEX2ASCII(AI611)</f>
        <v/>
      </c>
      <c r="AB611" s="147"/>
      <c r="AC611" s="148"/>
      <c r="AD611" s="148"/>
      <c r="AE611" s="148"/>
      <c r="AF611" s="148"/>
      <c r="AG611" s="148"/>
      <c r="AH611" s="148"/>
      <c r="AI611" s="149"/>
    </row>
    <row r="612" spans="11:35">
      <c r="K612" s="85"/>
      <c r="L612" s="54" t="str">
        <f t="shared" si="59"/>
        <v/>
      </c>
      <c r="M612" s="38" t="str">
        <f t="shared" si="62"/>
        <v>035C</v>
      </c>
      <c r="N612" s="69">
        <f t="shared" si="61"/>
        <v>860</v>
      </c>
      <c r="O612" s="96"/>
      <c r="P612" s="97"/>
      <c r="Q612" s="98"/>
      <c r="R612" s="135"/>
      <c r="U612" s="48" t="str">
        <f t="shared" si="60"/>
        <v/>
      </c>
      <c r="V612" s="16"/>
      <c r="W612" s="34"/>
      <c r="X612" s="35"/>
      <c r="Z612" s="74"/>
      <c r="AA612" s="130" t="str" cm="1">
        <f t="array" ref="AA612">HEX2ASCII(AB612)&amp;HEX2ASCII(AC612)&amp;HEX2ASCII(AD612)&amp;HEX2ASCII(AE612)&amp;HEX2ASCII(AF612)&amp;HEX2ASCII(AG612)&amp;HEX2ASCII(AH612)&amp;HEX2ASCII(AI612)</f>
        <v/>
      </c>
      <c r="AB612" s="147"/>
      <c r="AC612" s="148"/>
      <c r="AD612" s="148"/>
      <c r="AE612" s="148"/>
      <c r="AF612" s="148"/>
      <c r="AG612" s="148"/>
      <c r="AH612" s="148"/>
      <c r="AI612" s="149"/>
    </row>
    <row r="613" spans="11:35">
      <c r="K613" s="85"/>
      <c r="L613" s="54" t="str">
        <f t="shared" si="59"/>
        <v/>
      </c>
      <c r="M613" s="38" t="str">
        <f t="shared" si="62"/>
        <v>035D</v>
      </c>
      <c r="N613" s="69">
        <f t="shared" si="61"/>
        <v>861</v>
      </c>
      <c r="O613" s="96"/>
      <c r="P613" s="97"/>
      <c r="Q613" s="98"/>
      <c r="R613" s="135"/>
      <c r="U613" s="48" t="str">
        <f t="shared" si="60"/>
        <v/>
      </c>
      <c r="V613" s="16"/>
      <c r="W613" s="34"/>
      <c r="X613" s="35"/>
      <c r="Z613" s="74"/>
      <c r="AA613" s="130" t="str" cm="1">
        <f t="array" ref="AA613">HEX2ASCII(AB613)&amp;HEX2ASCII(AC613)&amp;HEX2ASCII(AD613)&amp;HEX2ASCII(AE613)&amp;HEX2ASCII(AF613)&amp;HEX2ASCII(AG613)&amp;HEX2ASCII(AH613)&amp;HEX2ASCII(AI613)</f>
        <v/>
      </c>
      <c r="AB613" s="147"/>
      <c r="AC613" s="148"/>
      <c r="AD613" s="148"/>
      <c r="AE613" s="148"/>
      <c r="AF613" s="148"/>
      <c r="AG613" s="148"/>
      <c r="AH613" s="148"/>
      <c r="AI613" s="149"/>
    </row>
    <row r="614" spans="11:35">
      <c r="K614" s="85"/>
      <c r="L614" s="54" t="str">
        <f t="shared" si="59"/>
        <v/>
      </c>
      <c r="M614" s="38" t="str">
        <f t="shared" si="62"/>
        <v>035E</v>
      </c>
      <c r="N614" s="69">
        <f t="shared" si="61"/>
        <v>862</v>
      </c>
      <c r="O614" s="96"/>
      <c r="P614" s="97"/>
      <c r="Q614" s="98"/>
      <c r="R614" s="135"/>
      <c r="U614" s="48" t="str">
        <f t="shared" si="60"/>
        <v/>
      </c>
      <c r="V614" s="16"/>
      <c r="W614" s="34"/>
      <c r="X614" s="35"/>
      <c r="Z614" s="74"/>
      <c r="AA614" s="130" t="str" cm="1">
        <f t="array" ref="AA614">HEX2ASCII(AB614)&amp;HEX2ASCII(AC614)&amp;HEX2ASCII(AD614)&amp;HEX2ASCII(AE614)&amp;HEX2ASCII(AF614)&amp;HEX2ASCII(AG614)&amp;HEX2ASCII(AH614)&amp;HEX2ASCII(AI614)</f>
        <v/>
      </c>
      <c r="AB614" s="147"/>
      <c r="AC614" s="148"/>
      <c r="AD614" s="148"/>
      <c r="AE614" s="148"/>
      <c r="AF614" s="148"/>
      <c r="AG614" s="148"/>
      <c r="AH614" s="148"/>
      <c r="AI614" s="149"/>
    </row>
    <row r="615" spans="11:35">
      <c r="K615" s="85"/>
      <c r="L615" s="54" t="str">
        <f t="shared" si="59"/>
        <v/>
      </c>
      <c r="M615" s="38" t="str">
        <f t="shared" si="62"/>
        <v>035F</v>
      </c>
      <c r="N615" s="69">
        <f t="shared" si="61"/>
        <v>863</v>
      </c>
      <c r="O615" s="96"/>
      <c r="P615" s="97"/>
      <c r="Q615" s="98"/>
      <c r="R615" s="135"/>
      <c r="U615" s="48" t="str">
        <f t="shared" si="60"/>
        <v/>
      </c>
      <c r="V615" s="16"/>
      <c r="W615" s="34"/>
      <c r="X615" s="35"/>
      <c r="Z615" s="74"/>
      <c r="AA615" s="130" t="str" cm="1">
        <f t="array" ref="AA615">HEX2ASCII(AB615)&amp;HEX2ASCII(AC615)&amp;HEX2ASCII(AD615)&amp;HEX2ASCII(AE615)&amp;HEX2ASCII(AF615)&amp;HEX2ASCII(AG615)&amp;HEX2ASCII(AH615)&amp;HEX2ASCII(AI615)</f>
        <v/>
      </c>
      <c r="AB615" s="147"/>
      <c r="AC615" s="148"/>
      <c r="AD615" s="148"/>
      <c r="AE615" s="148"/>
      <c r="AF615" s="148"/>
      <c r="AG615" s="148"/>
      <c r="AH615" s="148"/>
      <c r="AI615" s="149"/>
    </row>
    <row r="616" spans="11:35">
      <c r="K616" s="85"/>
      <c r="L616" s="54" t="str">
        <f t="shared" si="59"/>
        <v/>
      </c>
      <c r="M616" s="38" t="str">
        <f t="shared" si="62"/>
        <v>0360</v>
      </c>
      <c r="N616" s="69">
        <f t="shared" si="61"/>
        <v>864</v>
      </c>
      <c r="O616" s="96"/>
      <c r="P616" s="97"/>
      <c r="Q616" s="98"/>
      <c r="R616" s="135"/>
      <c r="U616" s="48" t="str">
        <f t="shared" si="60"/>
        <v/>
      </c>
      <c r="V616" s="16"/>
      <c r="W616" s="34"/>
      <c r="X616" s="35"/>
      <c r="Z616" s="74"/>
      <c r="AA616" s="130" t="str" cm="1">
        <f t="array" ref="AA616">HEX2ASCII(AB616)&amp;HEX2ASCII(AC616)&amp;HEX2ASCII(AD616)&amp;HEX2ASCII(AE616)&amp;HEX2ASCII(AF616)&amp;HEX2ASCII(AG616)&amp;HEX2ASCII(AH616)&amp;HEX2ASCII(AI616)</f>
        <v/>
      </c>
      <c r="AB616" s="147"/>
      <c r="AC616" s="148"/>
      <c r="AD616" s="148"/>
      <c r="AE616" s="148"/>
      <c r="AF616" s="148"/>
      <c r="AG616" s="148"/>
      <c r="AH616" s="148"/>
      <c r="AI616" s="149"/>
    </row>
    <row r="617" spans="11:35">
      <c r="K617" s="85"/>
      <c r="L617" s="54" t="str">
        <f t="shared" si="59"/>
        <v/>
      </c>
      <c r="M617" s="38" t="str">
        <f t="shared" si="62"/>
        <v>0361</v>
      </c>
      <c r="N617" s="69">
        <f t="shared" si="61"/>
        <v>865</v>
      </c>
      <c r="O617" s="96"/>
      <c r="P617" s="97"/>
      <c r="Q617" s="98"/>
      <c r="R617" s="135"/>
      <c r="U617" s="48" t="str">
        <f t="shared" si="60"/>
        <v/>
      </c>
      <c r="V617" s="16"/>
      <c r="W617" s="34"/>
      <c r="X617" s="35"/>
      <c r="Z617" s="74"/>
      <c r="AA617" s="130" t="str" cm="1">
        <f t="array" ref="AA617">HEX2ASCII(AB617)&amp;HEX2ASCII(AC617)&amp;HEX2ASCII(AD617)&amp;HEX2ASCII(AE617)&amp;HEX2ASCII(AF617)&amp;HEX2ASCII(AG617)&amp;HEX2ASCII(AH617)&amp;HEX2ASCII(AI617)</f>
        <v/>
      </c>
      <c r="AB617" s="147"/>
      <c r="AC617" s="148"/>
      <c r="AD617" s="148"/>
      <c r="AE617" s="148"/>
      <c r="AF617" s="148"/>
      <c r="AG617" s="148"/>
      <c r="AH617" s="148"/>
      <c r="AI617" s="149"/>
    </row>
    <row r="618" spans="11:35">
      <c r="K618" s="85"/>
      <c r="L618" s="54" t="str">
        <f t="shared" si="59"/>
        <v/>
      </c>
      <c r="M618" s="38" t="str">
        <f t="shared" si="62"/>
        <v>0362</v>
      </c>
      <c r="N618" s="69">
        <f t="shared" si="61"/>
        <v>866</v>
      </c>
      <c r="O618" s="96"/>
      <c r="P618" s="97"/>
      <c r="Q618" s="98"/>
      <c r="R618" s="135"/>
      <c r="U618" s="48" t="str">
        <f t="shared" si="60"/>
        <v/>
      </c>
      <c r="V618" s="16"/>
      <c r="W618" s="34"/>
      <c r="X618" s="35"/>
      <c r="Z618" s="74"/>
      <c r="AA618" s="130" t="str" cm="1">
        <f t="array" ref="AA618">HEX2ASCII(AB618)&amp;HEX2ASCII(AC618)&amp;HEX2ASCII(AD618)&amp;HEX2ASCII(AE618)&amp;HEX2ASCII(AF618)&amp;HEX2ASCII(AG618)&amp;HEX2ASCII(AH618)&amp;HEX2ASCII(AI618)</f>
        <v/>
      </c>
      <c r="AB618" s="147"/>
      <c r="AC618" s="148"/>
      <c r="AD618" s="148"/>
      <c r="AE618" s="148"/>
      <c r="AF618" s="148"/>
      <c r="AG618" s="148"/>
      <c r="AH618" s="148"/>
      <c r="AI618" s="149"/>
    </row>
    <row r="619" spans="11:35">
      <c r="K619" s="85"/>
      <c r="L619" s="54" t="str">
        <f t="shared" si="59"/>
        <v/>
      </c>
      <c r="M619" s="38" t="str">
        <f t="shared" si="62"/>
        <v>0363</v>
      </c>
      <c r="N619" s="69">
        <f t="shared" si="61"/>
        <v>867</v>
      </c>
      <c r="O619" s="96"/>
      <c r="P619" s="97"/>
      <c r="Q619" s="98"/>
      <c r="R619" s="135"/>
      <c r="U619" s="48" t="str">
        <f t="shared" si="60"/>
        <v/>
      </c>
      <c r="V619" s="16"/>
      <c r="W619" s="34"/>
      <c r="X619" s="35"/>
      <c r="Z619" s="74"/>
      <c r="AA619" s="130" t="str" cm="1">
        <f t="array" ref="AA619">HEX2ASCII(AB619)&amp;HEX2ASCII(AC619)&amp;HEX2ASCII(AD619)&amp;HEX2ASCII(AE619)&amp;HEX2ASCII(AF619)&amp;HEX2ASCII(AG619)&amp;HEX2ASCII(AH619)&amp;HEX2ASCII(AI619)</f>
        <v/>
      </c>
      <c r="AB619" s="147"/>
      <c r="AC619" s="148"/>
      <c r="AD619" s="148"/>
      <c r="AE619" s="148"/>
      <c r="AF619" s="148"/>
      <c r="AG619" s="148"/>
      <c r="AH619" s="148"/>
      <c r="AI619" s="149"/>
    </row>
    <row r="620" spans="11:35">
      <c r="K620" s="85"/>
      <c r="L620" s="54" t="str">
        <f t="shared" si="59"/>
        <v/>
      </c>
      <c r="M620" s="38" t="str">
        <f t="shared" si="62"/>
        <v>0364</v>
      </c>
      <c r="N620" s="69">
        <f t="shared" si="61"/>
        <v>868</v>
      </c>
      <c r="O620" s="96"/>
      <c r="P620" s="97"/>
      <c r="Q620" s="98"/>
      <c r="R620" s="135"/>
      <c r="U620" s="48" t="str">
        <f t="shared" si="60"/>
        <v/>
      </c>
      <c r="V620" s="16"/>
      <c r="W620" s="34"/>
      <c r="X620" s="35"/>
      <c r="Z620" s="74"/>
      <c r="AA620" s="130" t="str" cm="1">
        <f t="array" ref="AA620">HEX2ASCII(AB620)&amp;HEX2ASCII(AC620)&amp;HEX2ASCII(AD620)&amp;HEX2ASCII(AE620)&amp;HEX2ASCII(AF620)&amp;HEX2ASCII(AG620)&amp;HEX2ASCII(AH620)&amp;HEX2ASCII(AI620)</f>
        <v/>
      </c>
      <c r="AB620" s="147"/>
      <c r="AC620" s="148"/>
      <c r="AD620" s="148"/>
      <c r="AE620" s="148"/>
      <c r="AF620" s="148"/>
      <c r="AG620" s="148"/>
      <c r="AH620" s="148"/>
      <c r="AI620" s="149"/>
    </row>
    <row r="621" spans="11:35">
      <c r="K621" s="85"/>
      <c r="L621" s="54" t="str">
        <f t="shared" si="59"/>
        <v/>
      </c>
      <c r="M621" s="38" t="str">
        <f t="shared" si="62"/>
        <v>0365</v>
      </c>
      <c r="N621" s="69">
        <f t="shared" si="61"/>
        <v>869</v>
      </c>
      <c r="O621" s="96"/>
      <c r="P621" s="97"/>
      <c r="Q621" s="98"/>
      <c r="R621" s="135"/>
      <c r="U621" s="48" t="str">
        <f t="shared" si="60"/>
        <v/>
      </c>
      <c r="V621" s="16"/>
      <c r="W621" s="34"/>
      <c r="X621" s="35"/>
      <c r="Z621" s="74"/>
      <c r="AA621" s="130" t="str" cm="1">
        <f t="array" ref="AA621">HEX2ASCII(AB621)&amp;HEX2ASCII(AC621)&amp;HEX2ASCII(AD621)&amp;HEX2ASCII(AE621)&amp;HEX2ASCII(AF621)&amp;HEX2ASCII(AG621)&amp;HEX2ASCII(AH621)&amp;HEX2ASCII(AI621)</f>
        <v/>
      </c>
      <c r="AB621" s="147"/>
      <c r="AC621" s="148"/>
      <c r="AD621" s="148"/>
      <c r="AE621" s="148"/>
      <c r="AF621" s="148"/>
      <c r="AG621" s="148"/>
      <c r="AH621" s="148"/>
      <c r="AI621" s="149"/>
    </row>
    <row r="622" spans="11:35">
      <c r="K622" s="85"/>
      <c r="L622" s="54" t="str">
        <f t="shared" si="59"/>
        <v/>
      </c>
      <c r="M622" s="38" t="str">
        <f t="shared" si="62"/>
        <v>0366</v>
      </c>
      <c r="N622" s="69">
        <f t="shared" si="61"/>
        <v>870</v>
      </c>
      <c r="O622" s="96"/>
      <c r="P622" s="97"/>
      <c r="Q622" s="98"/>
      <c r="R622" s="135"/>
      <c r="U622" s="48" t="str">
        <f t="shared" si="60"/>
        <v/>
      </c>
      <c r="V622" s="16"/>
      <c r="W622" s="34"/>
      <c r="X622" s="35"/>
      <c r="Z622" s="74"/>
      <c r="AA622" s="130" t="str" cm="1">
        <f t="array" ref="AA622">HEX2ASCII(AB622)&amp;HEX2ASCII(AC622)&amp;HEX2ASCII(AD622)&amp;HEX2ASCII(AE622)&amp;HEX2ASCII(AF622)&amp;HEX2ASCII(AG622)&amp;HEX2ASCII(AH622)&amp;HEX2ASCII(AI622)</f>
        <v/>
      </c>
      <c r="AB622" s="147"/>
      <c r="AC622" s="148"/>
      <c r="AD622" s="148"/>
      <c r="AE622" s="148"/>
      <c r="AF622" s="148"/>
      <c r="AG622" s="148"/>
      <c r="AH622" s="148"/>
      <c r="AI622" s="149"/>
    </row>
    <row r="623" spans="11:35">
      <c r="K623" s="85"/>
      <c r="L623" s="54" t="str">
        <f t="shared" si="59"/>
        <v/>
      </c>
      <c r="M623" s="38" t="str">
        <f t="shared" si="62"/>
        <v>0367</v>
      </c>
      <c r="N623" s="69">
        <f t="shared" si="61"/>
        <v>871</v>
      </c>
      <c r="O623" s="96"/>
      <c r="P623" s="97"/>
      <c r="Q623" s="98"/>
      <c r="R623" s="135"/>
      <c r="U623" s="48" t="str">
        <f t="shared" si="60"/>
        <v/>
      </c>
      <c r="V623" s="16"/>
      <c r="W623" s="34"/>
      <c r="X623" s="35"/>
      <c r="Z623" s="74"/>
      <c r="AA623" s="130" t="str" cm="1">
        <f t="array" ref="AA623">HEX2ASCII(AB623)&amp;HEX2ASCII(AC623)&amp;HEX2ASCII(AD623)&amp;HEX2ASCII(AE623)&amp;HEX2ASCII(AF623)&amp;HEX2ASCII(AG623)&amp;HEX2ASCII(AH623)&amp;HEX2ASCII(AI623)</f>
        <v/>
      </c>
      <c r="AB623" s="147"/>
      <c r="AC623" s="148"/>
      <c r="AD623" s="148"/>
      <c r="AE623" s="148"/>
      <c r="AF623" s="148"/>
      <c r="AG623" s="148"/>
      <c r="AH623" s="148"/>
      <c r="AI623" s="149"/>
    </row>
    <row r="624" spans="11:35">
      <c r="K624" s="85"/>
      <c r="L624" s="54" t="str">
        <f t="shared" si="59"/>
        <v/>
      </c>
      <c r="M624" s="38" t="str">
        <f t="shared" si="62"/>
        <v>0368</v>
      </c>
      <c r="N624" s="69">
        <f t="shared" si="61"/>
        <v>872</v>
      </c>
      <c r="O624" s="96"/>
      <c r="P624" s="97"/>
      <c r="Q624" s="98"/>
      <c r="R624" s="135"/>
      <c r="U624" s="48" t="str">
        <f t="shared" si="60"/>
        <v/>
      </c>
      <c r="V624" s="16"/>
      <c r="W624" s="34"/>
      <c r="X624" s="35"/>
      <c r="Z624" s="74"/>
      <c r="AA624" s="130" t="str" cm="1">
        <f t="array" ref="AA624">HEX2ASCII(AB624)&amp;HEX2ASCII(AC624)&amp;HEX2ASCII(AD624)&amp;HEX2ASCII(AE624)&amp;HEX2ASCII(AF624)&amp;HEX2ASCII(AG624)&amp;HEX2ASCII(AH624)&amp;HEX2ASCII(AI624)</f>
        <v/>
      </c>
      <c r="AB624" s="147"/>
      <c r="AC624" s="148"/>
      <c r="AD624" s="148"/>
      <c r="AE624" s="148"/>
      <c r="AF624" s="148"/>
      <c r="AG624" s="148"/>
      <c r="AH624" s="148"/>
      <c r="AI624" s="149"/>
    </row>
    <row r="625" spans="11:35">
      <c r="K625" s="85"/>
      <c r="L625" s="54" t="str">
        <f t="shared" si="59"/>
        <v/>
      </c>
      <c r="M625" s="38" t="str">
        <f t="shared" si="62"/>
        <v>0369</v>
      </c>
      <c r="N625" s="69">
        <f t="shared" si="61"/>
        <v>873</v>
      </c>
      <c r="O625" s="96"/>
      <c r="P625" s="97"/>
      <c r="Q625" s="98"/>
      <c r="R625" s="135"/>
      <c r="U625" s="48" t="str">
        <f t="shared" si="60"/>
        <v/>
      </c>
      <c r="V625" s="16"/>
      <c r="W625" s="34"/>
      <c r="X625" s="35"/>
      <c r="Z625" s="74"/>
      <c r="AA625" s="130" t="str" cm="1">
        <f t="array" ref="AA625">HEX2ASCII(AB625)&amp;HEX2ASCII(AC625)&amp;HEX2ASCII(AD625)&amp;HEX2ASCII(AE625)&amp;HEX2ASCII(AF625)&amp;HEX2ASCII(AG625)&amp;HEX2ASCII(AH625)&amp;HEX2ASCII(AI625)</f>
        <v/>
      </c>
      <c r="AB625" s="147"/>
      <c r="AC625" s="148"/>
      <c r="AD625" s="148"/>
      <c r="AE625" s="148"/>
      <c r="AF625" s="148"/>
      <c r="AG625" s="148"/>
      <c r="AH625" s="148"/>
      <c r="AI625" s="149"/>
    </row>
    <row r="626" spans="11:35">
      <c r="K626" s="85"/>
      <c r="L626" s="54" t="str">
        <f t="shared" si="59"/>
        <v/>
      </c>
      <c r="M626" s="38" t="str">
        <f t="shared" si="62"/>
        <v>036A</v>
      </c>
      <c r="N626" s="69">
        <f t="shared" si="61"/>
        <v>874</v>
      </c>
      <c r="O626" s="96"/>
      <c r="P626" s="97"/>
      <c r="Q626" s="98"/>
      <c r="R626" s="135"/>
      <c r="U626" s="48" t="str">
        <f t="shared" si="60"/>
        <v/>
      </c>
      <c r="V626" s="16"/>
      <c r="W626" s="34"/>
      <c r="X626" s="35"/>
      <c r="Z626" s="74"/>
      <c r="AA626" s="130" t="str" cm="1">
        <f t="array" ref="AA626">HEX2ASCII(AB626)&amp;HEX2ASCII(AC626)&amp;HEX2ASCII(AD626)&amp;HEX2ASCII(AE626)&amp;HEX2ASCII(AF626)&amp;HEX2ASCII(AG626)&amp;HEX2ASCII(AH626)&amp;HEX2ASCII(AI626)</f>
        <v/>
      </c>
      <c r="AB626" s="147"/>
      <c r="AC626" s="148"/>
      <c r="AD626" s="148"/>
      <c r="AE626" s="148"/>
      <c r="AF626" s="148"/>
      <c r="AG626" s="148"/>
      <c r="AH626" s="148"/>
      <c r="AI626" s="149"/>
    </row>
    <row r="627" spans="11:35">
      <c r="K627" s="85"/>
      <c r="L627" s="54" t="str">
        <f t="shared" si="59"/>
        <v/>
      </c>
      <c r="M627" s="38" t="str">
        <f t="shared" si="62"/>
        <v>036B</v>
      </c>
      <c r="N627" s="69">
        <f t="shared" si="61"/>
        <v>875</v>
      </c>
      <c r="O627" s="96"/>
      <c r="P627" s="97"/>
      <c r="Q627" s="98"/>
      <c r="R627" s="135"/>
      <c r="U627" s="48" t="str">
        <f t="shared" si="60"/>
        <v/>
      </c>
      <c r="V627" s="16"/>
      <c r="W627" s="34"/>
      <c r="X627" s="35"/>
      <c r="Z627" s="74"/>
      <c r="AA627" s="130" t="str" cm="1">
        <f t="array" ref="AA627">HEX2ASCII(AB627)&amp;HEX2ASCII(AC627)&amp;HEX2ASCII(AD627)&amp;HEX2ASCII(AE627)&amp;HEX2ASCII(AF627)&amp;HEX2ASCII(AG627)&amp;HEX2ASCII(AH627)&amp;HEX2ASCII(AI627)</f>
        <v/>
      </c>
      <c r="AB627" s="147"/>
      <c r="AC627" s="148"/>
      <c r="AD627" s="148"/>
      <c r="AE627" s="148"/>
      <c r="AF627" s="148"/>
      <c r="AG627" s="148"/>
      <c r="AH627" s="148"/>
      <c r="AI627" s="149"/>
    </row>
    <row r="628" spans="11:35">
      <c r="K628" s="85"/>
      <c r="L628" s="54" t="str">
        <f t="shared" si="59"/>
        <v/>
      </c>
      <c r="M628" s="38" t="str">
        <f t="shared" si="62"/>
        <v>036C</v>
      </c>
      <c r="N628" s="69">
        <f t="shared" si="61"/>
        <v>876</v>
      </c>
      <c r="O628" s="96"/>
      <c r="P628" s="97"/>
      <c r="Q628" s="98"/>
      <c r="R628" s="135"/>
      <c r="U628" s="48" t="str">
        <f t="shared" si="60"/>
        <v/>
      </c>
      <c r="V628" s="16"/>
      <c r="W628" s="34"/>
      <c r="X628" s="35"/>
      <c r="Z628" s="74"/>
      <c r="AA628" s="130" t="str" cm="1">
        <f t="array" ref="AA628">HEX2ASCII(AB628)&amp;HEX2ASCII(AC628)&amp;HEX2ASCII(AD628)&amp;HEX2ASCII(AE628)&amp;HEX2ASCII(AF628)&amp;HEX2ASCII(AG628)&amp;HEX2ASCII(AH628)&amp;HEX2ASCII(AI628)</f>
        <v/>
      </c>
      <c r="AB628" s="147"/>
      <c r="AC628" s="148"/>
      <c r="AD628" s="148"/>
      <c r="AE628" s="148"/>
      <c r="AF628" s="148"/>
      <c r="AG628" s="148"/>
      <c r="AH628" s="148"/>
      <c r="AI628" s="149"/>
    </row>
    <row r="629" spans="11:35">
      <c r="K629" s="85"/>
      <c r="L629" s="54" t="str">
        <f t="shared" si="59"/>
        <v/>
      </c>
      <c r="M629" s="38" t="str">
        <f t="shared" si="62"/>
        <v>036D</v>
      </c>
      <c r="N629" s="69">
        <f t="shared" si="61"/>
        <v>877</v>
      </c>
      <c r="O629" s="96"/>
      <c r="P629" s="97"/>
      <c r="Q629" s="98"/>
      <c r="R629" s="135"/>
      <c r="U629" s="48" t="str">
        <f t="shared" si="60"/>
        <v/>
      </c>
      <c r="V629" s="16"/>
      <c r="W629" s="34"/>
      <c r="X629" s="35"/>
      <c r="Z629" s="74"/>
      <c r="AA629" s="130" t="str" cm="1">
        <f t="array" ref="AA629">HEX2ASCII(AB629)&amp;HEX2ASCII(AC629)&amp;HEX2ASCII(AD629)&amp;HEX2ASCII(AE629)&amp;HEX2ASCII(AF629)&amp;HEX2ASCII(AG629)&amp;HEX2ASCII(AH629)&amp;HEX2ASCII(AI629)</f>
        <v/>
      </c>
      <c r="AB629" s="147"/>
      <c r="AC629" s="148"/>
      <c r="AD629" s="148"/>
      <c r="AE629" s="148"/>
      <c r="AF629" s="148"/>
      <c r="AG629" s="148"/>
      <c r="AH629" s="148"/>
      <c r="AI629" s="149"/>
    </row>
    <row r="630" spans="11:35">
      <c r="K630" s="85"/>
      <c r="L630" s="54" t="str">
        <f t="shared" si="59"/>
        <v/>
      </c>
      <c r="M630" s="38" t="str">
        <f t="shared" si="62"/>
        <v>036E</v>
      </c>
      <c r="N630" s="69">
        <f t="shared" si="61"/>
        <v>878</v>
      </c>
      <c r="O630" s="96"/>
      <c r="P630" s="97"/>
      <c r="Q630" s="98"/>
      <c r="R630" s="135"/>
      <c r="U630" s="48" t="str">
        <f t="shared" si="60"/>
        <v/>
      </c>
      <c r="V630" s="16"/>
      <c r="W630" s="34"/>
      <c r="X630" s="35"/>
      <c r="Z630" s="74"/>
      <c r="AA630" s="130" t="str" cm="1">
        <f t="array" ref="AA630">HEX2ASCII(AB630)&amp;HEX2ASCII(AC630)&amp;HEX2ASCII(AD630)&amp;HEX2ASCII(AE630)&amp;HEX2ASCII(AF630)&amp;HEX2ASCII(AG630)&amp;HEX2ASCII(AH630)&amp;HEX2ASCII(AI630)</f>
        <v/>
      </c>
      <c r="AB630" s="147"/>
      <c r="AC630" s="148"/>
      <c r="AD630" s="148"/>
      <c r="AE630" s="148"/>
      <c r="AF630" s="148"/>
      <c r="AG630" s="148"/>
      <c r="AH630" s="148"/>
      <c r="AI630" s="149"/>
    </row>
    <row r="631" spans="11:35">
      <c r="K631" s="85"/>
      <c r="L631" s="54" t="str">
        <f t="shared" si="59"/>
        <v/>
      </c>
      <c r="M631" s="38" t="str">
        <f t="shared" si="62"/>
        <v>036F</v>
      </c>
      <c r="N631" s="69">
        <f t="shared" si="61"/>
        <v>879</v>
      </c>
      <c r="O631" s="96"/>
      <c r="P631" s="97"/>
      <c r="Q631" s="98"/>
      <c r="R631" s="135"/>
      <c r="U631" s="48" t="str">
        <f t="shared" si="60"/>
        <v/>
      </c>
      <c r="V631" s="16"/>
      <c r="W631" s="34"/>
      <c r="X631" s="35"/>
      <c r="Z631" s="74"/>
      <c r="AA631" s="130" t="str" cm="1">
        <f t="array" ref="AA631">HEX2ASCII(AB631)&amp;HEX2ASCII(AC631)&amp;HEX2ASCII(AD631)&amp;HEX2ASCII(AE631)&amp;HEX2ASCII(AF631)&amp;HEX2ASCII(AG631)&amp;HEX2ASCII(AH631)&amp;HEX2ASCII(AI631)</f>
        <v/>
      </c>
      <c r="AB631" s="147"/>
      <c r="AC631" s="148"/>
      <c r="AD631" s="148"/>
      <c r="AE631" s="148"/>
      <c r="AF631" s="148"/>
      <c r="AG631" s="148"/>
      <c r="AH631" s="148"/>
      <c r="AI631" s="149"/>
    </row>
    <row r="632" spans="11:35">
      <c r="K632" s="85"/>
      <c r="L632" s="54" t="str">
        <f t="shared" si="59"/>
        <v/>
      </c>
      <c r="M632" s="38" t="str">
        <f t="shared" si="62"/>
        <v>0370</v>
      </c>
      <c r="N632" s="69">
        <f t="shared" si="61"/>
        <v>880</v>
      </c>
      <c r="O632" s="96"/>
      <c r="P632" s="97"/>
      <c r="Q632" s="98"/>
      <c r="R632" s="135"/>
      <c r="U632" s="48" t="str">
        <f t="shared" si="60"/>
        <v/>
      </c>
      <c r="V632" s="16"/>
      <c r="W632" s="34"/>
      <c r="X632" s="35"/>
      <c r="Z632" s="74"/>
      <c r="AA632" s="130" t="str" cm="1">
        <f t="array" ref="AA632">HEX2ASCII(AB632)&amp;HEX2ASCII(AC632)&amp;HEX2ASCII(AD632)&amp;HEX2ASCII(AE632)&amp;HEX2ASCII(AF632)&amp;HEX2ASCII(AG632)&amp;HEX2ASCII(AH632)&amp;HEX2ASCII(AI632)</f>
        <v/>
      </c>
      <c r="AB632" s="147"/>
      <c r="AC632" s="148"/>
      <c r="AD632" s="148"/>
      <c r="AE632" s="148"/>
      <c r="AF632" s="148"/>
      <c r="AG632" s="148"/>
      <c r="AH632" s="148"/>
      <c r="AI632" s="149"/>
    </row>
    <row r="633" spans="11:35">
      <c r="K633" s="85"/>
      <c r="L633" s="54" t="str">
        <f t="shared" si="59"/>
        <v/>
      </c>
      <c r="M633" s="38" t="str">
        <f t="shared" si="62"/>
        <v>0371</v>
      </c>
      <c r="N633" s="69">
        <f t="shared" si="61"/>
        <v>881</v>
      </c>
      <c r="O633" s="96"/>
      <c r="P633" s="97"/>
      <c r="Q633" s="98"/>
      <c r="R633" s="135"/>
      <c r="U633" s="48" t="str">
        <f t="shared" si="60"/>
        <v/>
      </c>
      <c r="V633" s="16"/>
      <c r="W633" s="34"/>
      <c r="X633" s="35"/>
      <c r="Z633" s="74"/>
      <c r="AA633" s="130" t="str" cm="1">
        <f t="array" ref="AA633">HEX2ASCII(AB633)&amp;HEX2ASCII(AC633)&amp;HEX2ASCII(AD633)&amp;HEX2ASCII(AE633)&amp;HEX2ASCII(AF633)&amp;HEX2ASCII(AG633)&amp;HEX2ASCII(AH633)&amp;HEX2ASCII(AI633)</f>
        <v/>
      </c>
      <c r="AB633" s="147"/>
      <c r="AC633" s="148"/>
      <c r="AD633" s="148"/>
      <c r="AE633" s="148"/>
      <c r="AF633" s="148"/>
      <c r="AG633" s="148"/>
      <c r="AH633" s="148"/>
      <c r="AI633" s="149"/>
    </row>
    <row r="634" spans="11:35">
      <c r="K634" s="85"/>
      <c r="L634" s="54" t="str">
        <f t="shared" si="59"/>
        <v/>
      </c>
      <c r="M634" s="38" t="str">
        <f t="shared" si="62"/>
        <v>0372</v>
      </c>
      <c r="N634" s="69">
        <f t="shared" si="61"/>
        <v>882</v>
      </c>
      <c r="O634" s="96"/>
      <c r="P634" s="97"/>
      <c r="Q634" s="98"/>
      <c r="R634" s="135"/>
      <c r="U634" s="48" t="str">
        <f t="shared" si="60"/>
        <v/>
      </c>
      <c r="V634" s="16"/>
      <c r="W634" s="34"/>
      <c r="X634" s="35"/>
      <c r="Z634" s="74"/>
      <c r="AA634" s="130" t="str" cm="1">
        <f t="array" ref="AA634">HEX2ASCII(AB634)&amp;HEX2ASCII(AC634)&amp;HEX2ASCII(AD634)&amp;HEX2ASCII(AE634)&amp;HEX2ASCII(AF634)&amp;HEX2ASCII(AG634)&amp;HEX2ASCII(AH634)&amp;HEX2ASCII(AI634)</f>
        <v/>
      </c>
      <c r="AB634" s="147"/>
      <c r="AC634" s="148"/>
      <c r="AD634" s="148"/>
      <c r="AE634" s="148"/>
      <c r="AF634" s="148"/>
      <c r="AG634" s="148"/>
      <c r="AH634" s="148"/>
      <c r="AI634" s="149"/>
    </row>
    <row r="635" spans="11:35">
      <c r="K635" s="85"/>
      <c r="L635" s="54" t="str">
        <f t="shared" si="59"/>
        <v/>
      </c>
      <c r="M635" s="38" t="str">
        <f t="shared" si="62"/>
        <v>0373</v>
      </c>
      <c r="N635" s="69">
        <f t="shared" si="61"/>
        <v>883</v>
      </c>
      <c r="O635" s="96"/>
      <c r="P635" s="97"/>
      <c r="Q635" s="98"/>
      <c r="R635" s="135"/>
      <c r="U635" s="48" t="str">
        <f t="shared" si="60"/>
        <v/>
      </c>
      <c r="V635" s="16"/>
      <c r="W635" s="34"/>
      <c r="X635" s="35"/>
      <c r="Z635" s="74"/>
      <c r="AA635" s="130" t="str" cm="1">
        <f t="array" ref="AA635">HEX2ASCII(AB635)&amp;HEX2ASCII(AC635)&amp;HEX2ASCII(AD635)&amp;HEX2ASCII(AE635)&amp;HEX2ASCII(AF635)&amp;HEX2ASCII(AG635)&amp;HEX2ASCII(AH635)&amp;HEX2ASCII(AI635)</f>
        <v/>
      </c>
      <c r="AB635" s="147"/>
      <c r="AC635" s="148"/>
      <c r="AD635" s="148"/>
      <c r="AE635" s="148"/>
      <c r="AF635" s="148"/>
      <c r="AG635" s="148"/>
      <c r="AH635" s="148"/>
      <c r="AI635" s="149"/>
    </row>
    <row r="636" spans="11:35">
      <c r="K636" s="85"/>
      <c r="L636" s="54" t="str">
        <f t="shared" si="59"/>
        <v/>
      </c>
      <c r="M636" s="38" t="str">
        <f t="shared" si="62"/>
        <v>0374</v>
      </c>
      <c r="N636" s="69">
        <f t="shared" si="61"/>
        <v>884</v>
      </c>
      <c r="O636" s="96"/>
      <c r="P636" s="97"/>
      <c r="Q636" s="98"/>
      <c r="R636" s="135"/>
      <c r="U636" s="48" t="str">
        <f t="shared" si="60"/>
        <v/>
      </c>
      <c r="V636" s="16"/>
      <c r="W636" s="34"/>
      <c r="X636" s="35"/>
      <c r="Z636" s="74"/>
      <c r="AA636" s="130" t="str" cm="1">
        <f t="array" ref="AA636">HEX2ASCII(AB636)&amp;HEX2ASCII(AC636)&amp;HEX2ASCII(AD636)&amp;HEX2ASCII(AE636)&amp;HEX2ASCII(AF636)&amp;HEX2ASCII(AG636)&amp;HEX2ASCII(AH636)&amp;HEX2ASCII(AI636)</f>
        <v/>
      </c>
      <c r="AB636" s="147"/>
      <c r="AC636" s="148"/>
      <c r="AD636" s="148"/>
      <c r="AE636" s="148"/>
      <c r="AF636" s="148"/>
      <c r="AG636" s="148"/>
      <c r="AH636" s="148"/>
      <c r="AI636" s="149"/>
    </row>
    <row r="637" spans="11:35">
      <c r="K637" s="85"/>
      <c r="L637" s="54" t="str">
        <f t="shared" si="59"/>
        <v/>
      </c>
      <c r="M637" s="38" t="str">
        <f t="shared" si="62"/>
        <v>0375</v>
      </c>
      <c r="N637" s="69">
        <f t="shared" si="61"/>
        <v>885</v>
      </c>
      <c r="O637" s="96"/>
      <c r="P637" s="97"/>
      <c r="Q637" s="98"/>
      <c r="R637" s="135"/>
      <c r="U637" s="48" t="str">
        <f t="shared" si="60"/>
        <v/>
      </c>
      <c r="V637" s="16"/>
      <c r="W637" s="34"/>
      <c r="X637" s="35"/>
      <c r="Z637" s="74"/>
      <c r="AA637" s="130" t="str" cm="1">
        <f t="array" ref="AA637">HEX2ASCII(AB637)&amp;HEX2ASCII(AC637)&amp;HEX2ASCII(AD637)&amp;HEX2ASCII(AE637)&amp;HEX2ASCII(AF637)&amp;HEX2ASCII(AG637)&amp;HEX2ASCII(AH637)&amp;HEX2ASCII(AI637)</f>
        <v/>
      </c>
      <c r="AB637" s="147"/>
      <c r="AC637" s="148"/>
      <c r="AD637" s="148"/>
      <c r="AE637" s="148"/>
      <c r="AF637" s="148"/>
      <c r="AG637" s="148"/>
      <c r="AH637" s="148"/>
      <c r="AI637" s="149"/>
    </row>
    <row r="638" spans="11:35">
      <c r="K638" s="85"/>
      <c r="L638" s="54" t="str">
        <f t="shared" si="59"/>
        <v/>
      </c>
      <c r="M638" s="38" t="str">
        <f t="shared" si="62"/>
        <v>0376</v>
      </c>
      <c r="N638" s="69">
        <f t="shared" si="61"/>
        <v>886</v>
      </c>
      <c r="O638" s="96"/>
      <c r="P638" s="97"/>
      <c r="Q638" s="98"/>
      <c r="R638" s="135"/>
      <c r="U638" s="48" t="str">
        <f t="shared" si="60"/>
        <v/>
      </c>
      <c r="V638" s="16"/>
      <c r="W638" s="34"/>
      <c r="X638" s="35"/>
      <c r="Z638" s="74"/>
      <c r="AA638" s="130" t="str" cm="1">
        <f t="array" ref="AA638">HEX2ASCII(AB638)&amp;HEX2ASCII(AC638)&amp;HEX2ASCII(AD638)&amp;HEX2ASCII(AE638)&amp;HEX2ASCII(AF638)&amp;HEX2ASCII(AG638)&amp;HEX2ASCII(AH638)&amp;HEX2ASCII(AI638)</f>
        <v/>
      </c>
      <c r="AB638" s="147"/>
      <c r="AC638" s="148"/>
      <c r="AD638" s="148"/>
      <c r="AE638" s="148"/>
      <c r="AF638" s="148"/>
      <c r="AG638" s="148"/>
      <c r="AH638" s="148"/>
      <c r="AI638" s="149"/>
    </row>
    <row r="639" spans="11:35">
      <c r="K639" s="85"/>
      <c r="L639" s="54" t="str">
        <f t="shared" si="59"/>
        <v/>
      </c>
      <c r="M639" s="38" t="str">
        <f t="shared" si="62"/>
        <v>0377</v>
      </c>
      <c r="N639" s="69">
        <f t="shared" si="61"/>
        <v>887</v>
      </c>
      <c r="O639" s="96"/>
      <c r="P639" s="97"/>
      <c r="Q639" s="98"/>
      <c r="R639" s="135"/>
      <c r="U639" s="48" t="str">
        <f t="shared" si="60"/>
        <v/>
      </c>
      <c r="V639" s="16"/>
      <c r="W639" s="34"/>
      <c r="X639" s="35"/>
      <c r="Z639" s="74"/>
      <c r="AA639" s="130" t="str" cm="1">
        <f t="array" ref="AA639">HEX2ASCII(AB639)&amp;HEX2ASCII(AC639)&amp;HEX2ASCII(AD639)&amp;HEX2ASCII(AE639)&amp;HEX2ASCII(AF639)&amp;HEX2ASCII(AG639)&amp;HEX2ASCII(AH639)&amp;HEX2ASCII(AI639)</f>
        <v/>
      </c>
      <c r="AB639" s="147"/>
      <c r="AC639" s="148"/>
      <c r="AD639" s="148"/>
      <c r="AE639" s="148"/>
      <c r="AF639" s="148"/>
      <c r="AG639" s="148"/>
      <c r="AH639" s="148"/>
      <c r="AI639" s="149"/>
    </row>
    <row r="640" spans="11:35">
      <c r="K640" s="85"/>
      <c r="L640" s="54" t="str">
        <f t="shared" si="59"/>
        <v/>
      </c>
      <c r="M640" s="38" t="str">
        <f t="shared" si="62"/>
        <v>0378</v>
      </c>
      <c r="N640" s="69">
        <f t="shared" si="61"/>
        <v>888</v>
      </c>
      <c r="O640" s="96"/>
      <c r="P640" s="97"/>
      <c r="Q640" s="98"/>
      <c r="R640" s="135"/>
      <c r="U640" s="48" t="str">
        <f t="shared" si="60"/>
        <v/>
      </c>
      <c r="V640" s="16"/>
      <c r="W640" s="34"/>
      <c r="X640" s="35"/>
      <c r="Z640" s="74"/>
      <c r="AA640" s="130" t="str" cm="1">
        <f t="array" ref="AA640">HEX2ASCII(AB640)&amp;HEX2ASCII(AC640)&amp;HEX2ASCII(AD640)&amp;HEX2ASCII(AE640)&amp;HEX2ASCII(AF640)&amp;HEX2ASCII(AG640)&amp;HEX2ASCII(AH640)&amp;HEX2ASCII(AI640)</f>
        <v/>
      </c>
      <c r="AB640" s="147"/>
      <c r="AC640" s="148"/>
      <c r="AD640" s="148"/>
      <c r="AE640" s="148"/>
      <c r="AF640" s="148"/>
      <c r="AG640" s="148"/>
      <c r="AH640" s="148"/>
      <c r="AI640" s="149"/>
    </row>
    <row r="641" spans="11:35">
      <c r="K641" s="85"/>
      <c r="L641" s="54" t="str">
        <f t="shared" si="59"/>
        <v/>
      </c>
      <c r="M641" s="38" t="str">
        <f t="shared" si="62"/>
        <v>0379</v>
      </c>
      <c r="N641" s="69">
        <f t="shared" si="61"/>
        <v>889</v>
      </c>
      <c r="O641" s="96"/>
      <c r="P641" s="97"/>
      <c r="Q641" s="98"/>
      <c r="R641" s="135"/>
      <c r="U641" s="48" t="str">
        <f t="shared" si="60"/>
        <v/>
      </c>
      <c r="V641" s="16"/>
      <c r="W641" s="34"/>
      <c r="X641" s="35"/>
      <c r="Z641" s="74"/>
      <c r="AA641" s="130" t="str" cm="1">
        <f t="array" ref="AA641">HEX2ASCII(AB641)&amp;HEX2ASCII(AC641)&amp;HEX2ASCII(AD641)&amp;HEX2ASCII(AE641)&amp;HEX2ASCII(AF641)&amp;HEX2ASCII(AG641)&amp;HEX2ASCII(AH641)&amp;HEX2ASCII(AI641)</f>
        <v/>
      </c>
      <c r="AB641" s="147"/>
      <c r="AC641" s="148"/>
      <c r="AD641" s="148"/>
      <c r="AE641" s="148"/>
      <c r="AF641" s="148"/>
      <c r="AG641" s="148"/>
      <c r="AH641" s="148"/>
      <c r="AI641" s="149"/>
    </row>
    <row r="642" spans="11:35">
      <c r="K642" s="85"/>
      <c r="L642" s="54" t="str">
        <f t="shared" si="59"/>
        <v/>
      </c>
      <c r="M642" s="38" t="str">
        <f t="shared" si="62"/>
        <v>037A</v>
      </c>
      <c r="N642" s="69">
        <f t="shared" si="61"/>
        <v>890</v>
      </c>
      <c r="O642" s="96"/>
      <c r="P642" s="97"/>
      <c r="Q642" s="98"/>
      <c r="R642" s="135"/>
      <c r="U642" s="48" t="str">
        <f t="shared" si="60"/>
        <v/>
      </c>
      <c r="V642" s="16"/>
      <c r="W642" s="34"/>
      <c r="X642" s="35"/>
      <c r="Z642" s="74"/>
      <c r="AA642" s="130" t="str" cm="1">
        <f t="array" ref="AA642">HEX2ASCII(AB642)&amp;HEX2ASCII(AC642)&amp;HEX2ASCII(AD642)&amp;HEX2ASCII(AE642)&amp;HEX2ASCII(AF642)&amp;HEX2ASCII(AG642)&amp;HEX2ASCII(AH642)&amp;HEX2ASCII(AI642)</f>
        <v/>
      </c>
      <c r="AB642" s="147"/>
      <c r="AC642" s="148"/>
      <c r="AD642" s="148"/>
      <c r="AE642" s="148"/>
      <c r="AF642" s="148"/>
      <c r="AG642" s="148"/>
      <c r="AH642" s="148"/>
      <c r="AI642" s="149"/>
    </row>
    <row r="643" spans="11:35">
      <c r="K643" s="85"/>
      <c r="L643" s="54" t="str">
        <f t="shared" si="59"/>
        <v/>
      </c>
      <c r="M643" s="38" t="str">
        <f t="shared" si="62"/>
        <v>037B</v>
      </c>
      <c r="N643" s="69">
        <f t="shared" si="61"/>
        <v>891</v>
      </c>
      <c r="O643" s="96"/>
      <c r="P643" s="97"/>
      <c r="Q643" s="98"/>
      <c r="R643" s="135"/>
      <c r="U643" s="48" t="str">
        <f t="shared" si="60"/>
        <v/>
      </c>
      <c r="V643" s="16"/>
      <c r="W643" s="34"/>
      <c r="X643" s="35"/>
      <c r="Z643" s="74"/>
      <c r="AA643" s="130" t="str" cm="1">
        <f t="array" ref="AA643">HEX2ASCII(AB643)&amp;HEX2ASCII(AC643)&amp;HEX2ASCII(AD643)&amp;HEX2ASCII(AE643)&amp;HEX2ASCII(AF643)&amp;HEX2ASCII(AG643)&amp;HEX2ASCII(AH643)&amp;HEX2ASCII(AI643)</f>
        <v/>
      </c>
      <c r="AB643" s="147"/>
      <c r="AC643" s="148"/>
      <c r="AD643" s="148"/>
      <c r="AE643" s="148"/>
      <c r="AF643" s="148"/>
      <c r="AG643" s="148"/>
      <c r="AH643" s="148"/>
      <c r="AI643" s="149"/>
    </row>
    <row r="644" spans="11:35">
      <c r="K644" s="85"/>
      <c r="L644" s="54" t="str">
        <f t="shared" si="59"/>
        <v/>
      </c>
      <c r="M644" s="38" t="str">
        <f t="shared" si="62"/>
        <v>037C</v>
      </c>
      <c r="N644" s="69">
        <f t="shared" si="61"/>
        <v>892</v>
      </c>
      <c r="O644" s="96"/>
      <c r="P644" s="97"/>
      <c r="Q644" s="98"/>
      <c r="R644" s="135"/>
      <c r="U644" s="48" t="str">
        <f t="shared" si="60"/>
        <v/>
      </c>
      <c r="V644" s="16"/>
      <c r="W644" s="34"/>
      <c r="X644" s="35"/>
      <c r="Z644" s="74"/>
      <c r="AA644" s="130" t="str" cm="1">
        <f t="array" ref="AA644">HEX2ASCII(AB644)&amp;HEX2ASCII(AC644)&amp;HEX2ASCII(AD644)&amp;HEX2ASCII(AE644)&amp;HEX2ASCII(AF644)&amp;HEX2ASCII(AG644)&amp;HEX2ASCII(AH644)&amp;HEX2ASCII(AI644)</f>
        <v/>
      </c>
      <c r="AB644" s="147"/>
      <c r="AC644" s="148"/>
      <c r="AD644" s="148"/>
      <c r="AE644" s="148"/>
      <c r="AF644" s="148"/>
      <c r="AG644" s="148"/>
      <c r="AH644" s="148"/>
      <c r="AI644" s="149"/>
    </row>
    <row r="645" spans="11:35">
      <c r="K645" s="85"/>
      <c r="L645" s="54" t="str">
        <f t="shared" si="59"/>
        <v/>
      </c>
      <c r="M645" s="38" t="str">
        <f t="shared" si="62"/>
        <v>037D</v>
      </c>
      <c r="N645" s="69">
        <f t="shared" si="61"/>
        <v>893</v>
      </c>
      <c r="O645" s="96"/>
      <c r="P645" s="97"/>
      <c r="Q645" s="98"/>
      <c r="R645" s="135"/>
      <c r="U645" s="48" t="str">
        <f t="shared" si="60"/>
        <v/>
      </c>
      <c r="V645" s="16"/>
      <c r="W645" s="34"/>
      <c r="X645" s="35"/>
      <c r="Z645" s="74"/>
      <c r="AA645" s="130" t="str" cm="1">
        <f t="array" ref="AA645">HEX2ASCII(AB645)&amp;HEX2ASCII(AC645)&amp;HEX2ASCII(AD645)&amp;HEX2ASCII(AE645)&amp;HEX2ASCII(AF645)&amp;HEX2ASCII(AG645)&amp;HEX2ASCII(AH645)&amp;HEX2ASCII(AI645)</f>
        <v/>
      </c>
      <c r="AB645" s="147"/>
      <c r="AC645" s="148"/>
      <c r="AD645" s="148"/>
      <c r="AE645" s="148"/>
      <c r="AF645" s="148"/>
      <c r="AG645" s="148"/>
      <c r="AH645" s="148"/>
      <c r="AI645" s="149"/>
    </row>
    <row r="646" spans="11:35">
      <c r="K646" s="85"/>
      <c r="L646" s="54" t="str">
        <f t="shared" si="59"/>
        <v/>
      </c>
      <c r="M646" s="38" t="str">
        <f t="shared" si="62"/>
        <v>037E</v>
      </c>
      <c r="N646" s="69">
        <f t="shared" si="61"/>
        <v>894</v>
      </c>
      <c r="O646" s="96"/>
      <c r="P646" s="97"/>
      <c r="Q646" s="98"/>
      <c r="R646" s="135"/>
      <c r="U646" s="48" t="str">
        <f t="shared" si="60"/>
        <v/>
      </c>
      <c r="V646" s="16"/>
      <c r="W646" s="34"/>
      <c r="X646" s="35"/>
      <c r="Z646" s="74"/>
      <c r="AA646" s="130" t="str" cm="1">
        <f t="array" ref="AA646">HEX2ASCII(AB646)&amp;HEX2ASCII(AC646)&amp;HEX2ASCII(AD646)&amp;HEX2ASCII(AE646)&amp;HEX2ASCII(AF646)&amp;HEX2ASCII(AG646)&amp;HEX2ASCII(AH646)&amp;HEX2ASCII(AI646)</f>
        <v/>
      </c>
      <c r="AB646" s="147"/>
      <c r="AC646" s="148"/>
      <c r="AD646" s="148"/>
      <c r="AE646" s="148"/>
      <c r="AF646" s="148"/>
      <c r="AG646" s="148"/>
      <c r="AH646" s="148"/>
      <c r="AI646" s="149"/>
    </row>
    <row r="647" spans="11:35">
      <c r="K647" s="85"/>
      <c r="L647" s="54" t="str">
        <f t="shared" si="59"/>
        <v/>
      </c>
      <c r="M647" s="38" t="str">
        <f t="shared" si="62"/>
        <v>037F</v>
      </c>
      <c r="N647" s="69">
        <f t="shared" si="61"/>
        <v>895</v>
      </c>
      <c r="O647" s="96"/>
      <c r="P647" s="97"/>
      <c r="Q647" s="98"/>
      <c r="R647" s="135"/>
      <c r="U647" s="48" t="str">
        <f t="shared" si="60"/>
        <v/>
      </c>
      <c r="V647" s="16"/>
      <c r="W647" s="34"/>
      <c r="X647" s="35"/>
      <c r="Z647" s="74"/>
      <c r="AA647" s="130" t="str" cm="1">
        <f t="array" ref="AA647">HEX2ASCII(AB647)&amp;HEX2ASCII(AC647)&amp;HEX2ASCII(AD647)&amp;HEX2ASCII(AE647)&amp;HEX2ASCII(AF647)&amp;HEX2ASCII(AG647)&amp;HEX2ASCII(AH647)&amp;HEX2ASCII(AI647)</f>
        <v/>
      </c>
      <c r="AB647" s="147"/>
      <c r="AC647" s="148"/>
      <c r="AD647" s="148"/>
      <c r="AE647" s="148"/>
      <c r="AF647" s="148"/>
      <c r="AG647" s="148"/>
      <c r="AH647" s="148"/>
      <c r="AI647" s="149"/>
    </row>
    <row r="648" spans="11:35">
      <c r="K648" s="85"/>
      <c r="L648" s="54" t="str">
        <f t="shared" si="59"/>
        <v/>
      </c>
      <c r="M648" s="38" t="str">
        <f t="shared" si="62"/>
        <v>0380</v>
      </c>
      <c r="N648" s="69">
        <f t="shared" si="61"/>
        <v>896</v>
      </c>
      <c r="O648" s="96"/>
      <c r="P648" s="97"/>
      <c r="Q648" s="98"/>
      <c r="R648" s="135"/>
      <c r="U648" s="48" t="str">
        <f t="shared" si="60"/>
        <v/>
      </c>
      <c r="V648" s="16"/>
      <c r="W648" s="34"/>
      <c r="X648" s="35"/>
      <c r="Z648" s="74"/>
      <c r="AA648" s="130" t="str" cm="1">
        <f t="array" ref="AA648">HEX2ASCII(AB648)&amp;HEX2ASCII(AC648)&amp;HEX2ASCII(AD648)&amp;HEX2ASCII(AE648)&amp;HEX2ASCII(AF648)&amp;HEX2ASCII(AG648)&amp;HEX2ASCII(AH648)&amp;HEX2ASCII(AI648)</f>
        <v/>
      </c>
      <c r="AB648" s="147"/>
      <c r="AC648" s="148"/>
      <c r="AD648" s="148"/>
      <c r="AE648" s="148"/>
      <c r="AF648" s="148"/>
      <c r="AG648" s="148"/>
      <c r="AH648" s="148"/>
      <c r="AI648" s="149"/>
    </row>
    <row r="649" spans="11:35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0381</v>
      </c>
      <c r="N649" s="69">
        <f t="shared" si="61"/>
        <v>897</v>
      </c>
      <c r="O649" s="96"/>
      <c r="P649" s="97"/>
      <c r="Q649" s="98"/>
      <c r="R649" s="135"/>
      <c r="U649" s="48" t="str">
        <f t="shared" ref="U649:U712" si="64">IF(V649&gt;0,RIGHT("0000"&amp;DEC2HEX(V649),4),"")</f>
        <v/>
      </c>
      <c r="V649" s="16"/>
      <c r="W649" s="34"/>
      <c r="X649" s="35"/>
      <c r="Z649" s="74"/>
      <c r="AA649" s="130" t="str" cm="1">
        <f t="array" ref="AA649">HEX2ASCII(AB649)&amp;HEX2ASCII(AC649)&amp;HEX2ASCII(AD649)&amp;HEX2ASCII(AE649)&amp;HEX2ASCII(AF649)&amp;HEX2ASCII(AG649)&amp;HEX2ASCII(AH649)&amp;HEX2ASCII(AI649)</f>
        <v/>
      </c>
      <c r="AB649" s="147"/>
      <c r="AC649" s="148"/>
      <c r="AD649" s="148"/>
      <c r="AE649" s="148"/>
      <c r="AF649" s="148"/>
      <c r="AG649" s="148"/>
      <c r="AH649" s="148"/>
      <c r="AI649" s="149"/>
    </row>
    <row r="650" spans="11:35">
      <c r="K650" s="85"/>
      <c r="L650" s="54" t="str">
        <f t="shared" si="63"/>
        <v/>
      </c>
      <c r="M650" s="38" t="str">
        <f t="shared" si="62"/>
        <v>0382</v>
      </c>
      <c r="N650" s="69">
        <f t="shared" ref="N650:N713" si="65">N649+0*COUNTA(P649:R649)+1</f>
        <v>898</v>
      </c>
      <c r="O650" s="96"/>
      <c r="P650" s="97"/>
      <c r="Q650" s="98"/>
      <c r="R650" s="135"/>
      <c r="U650" s="48" t="str">
        <f t="shared" si="64"/>
        <v/>
      </c>
      <c r="V650" s="16"/>
      <c r="W650" s="34"/>
      <c r="X650" s="35"/>
      <c r="Z650" s="74"/>
      <c r="AA650" s="130" t="str" cm="1">
        <f t="array" ref="AA650">HEX2ASCII(AB650)&amp;HEX2ASCII(AC650)&amp;HEX2ASCII(AD650)&amp;HEX2ASCII(AE650)&amp;HEX2ASCII(AF650)&amp;HEX2ASCII(AG650)&amp;HEX2ASCII(AH650)&amp;HEX2ASCII(AI650)</f>
        <v/>
      </c>
      <c r="AB650" s="147"/>
      <c r="AC650" s="148"/>
      <c r="AD650" s="148"/>
      <c r="AE650" s="148"/>
      <c r="AF650" s="148"/>
      <c r="AG650" s="148"/>
      <c r="AH650" s="148"/>
      <c r="AI650" s="149"/>
    </row>
    <row r="651" spans="11:35">
      <c r="K651" s="85"/>
      <c r="L651" s="54" t="str">
        <f t="shared" si="63"/>
        <v/>
      </c>
      <c r="M651" s="38" t="str">
        <f t="shared" si="62"/>
        <v>0383</v>
      </c>
      <c r="N651" s="69">
        <f t="shared" si="65"/>
        <v>899</v>
      </c>
      <c r="O651" s="96"/>
      <c r="P651" s="97"/>
      <c r="Q651" s="98"/>
      <c r="R651" s="135"/>
      <c r="U651" s="48" t="str">
        <f t="shared" si="64"/>
        <v/>
      </c>
      <c r="V651" s="16"/>
      <c r="W651" s="34"/>
      <c r="X651" s="35"/>
      <c r="Z651" s="74"/>
      <c r="AA651" s="130" t="str" cm="1">
        <f t="array" ref="AA651">HEX2ASCII(AB651)&amp;HEX2ASCII(AC651)&amp;HEX2ASCII(AD651)&amp;HEX2ASCII(AE651)&amp;HEX2ASCII(AF651)&amp;HEX2ASCII(AG651)&amp;HEX2ASCII(AH651)&amp;HEX2ASCII(AI651)</f>
        <v/>
      </c>
      <c r="AB651" s="147"/>
      <c r="AC651" s="148"/>
      <c r="AD651" s="148"/>
      <c r="AE651" s="148"/>
      <c r="AF651" s="148"/>
      <c r="AG651" s="148"/>
      <c r="AH651" s="148"/>
      <c r="AI651" s="149"/>
    </row>
    <row r="652" spans="11:35">
      <c r="K652" s="85"/>
      <c r="L652" s="54" t="str">
        <f t="shared" si="63"/>
        <v/>
      </c>
      <c r="M652" s="38" t="str">
        <f t="shared" si="62"/>
        <v>0384</v>
      </c>
      <c r="N652" s="69">
        <f t="shared" si="65"/>
        <v>900</v>
      </c>
      <c r="O652" s="96"/>
      <c r="P652" s="97"/>
      <c r="Q652" s="98"/>
      <c r="R652" s="135"/>
      <c r="U652" s="48" t="str">
        <f t="shared" si="64"/>
        <v/>
      </c>
      <c r="V652" s="16"/>
      <c r="W652" s="34"/>
      <c r="X652" s="35"/>
      <c r="Z652" s="74"/>
      <c r="AA652" s="130" t="str" cm="1">
        <f t="array" ref="AA652">HEX2ASCII(AB652)&amp;HEX2ASCII(AC652)&amp;HEX2ASCII(AD652)&amp;HEX2ASCII(AE652)&amp;HEX2ASCII(AF652)&amp;HEX2ASCII(AG652)&amp;HEX2ASCII(AH652)&amp;HEX2ASCII(AI652)</f>
        <v/>
      </c>
      <c r="AB652" s="147"/>
      <c r="AC652" s="148"/>
      <c r="AD652" s="148"/>
      <c r="AE652" s="148"/>
      <c r="AF652" s="148"/>
      <c r="AG652" s="148"/>
      <c r="AH652" s="148"/>
      <c r="AI652" s="149"/>
    </row>
    <row r="653" spans="11:35">
      <c r="K653" s="85"/>
      <c r="L653" s="54" t="str">
        <f t="shared" si="63"/>
        <v/>
      </c>
      <c r="M653" s="38" t="str">
        <f t="shared" si="62"/>
        <v>0385</v>
      </c>
      <c r="N653" s="69">
        <f t="shared" si="65"/>
        <v>901</v>
      </c>
      <c r="O653" s="96"/>
      <c r="P653" s="97"/>
      <c r="Q653" s="98"/>
      <c r="R653" s="135"/>
      <c r="U653" s="48" t="str">
        <f t="shared" si="64"/>
        <v/>
      </c>
      <c r="V653" s="16"/>
      <c r="W653" s="34"/>
      <c r="X653" s="35"/>
      <c r="Z653" s="74"/>
      <c r="AA653" s="130" t="str" cm="1">
        <f t="array" ref="AA653">HEX2ASCII(AB653)&amp;HEX2ASCII(AC653)&amp;HEX2ASCII(AD653)&amp;HEX2ASCII(AE653)&amp;HEX2ASCII(AF653)&amp;HEX2ASCII(AG653)&amp;HEX2ASCII(AH653)&amp;HEX2ASCII(AI653)</f>
        <v/>
      </c>
      <c r="AB653" s="147"/>
      <c r="AC653" s="148"/>
      <c r="AD653" s="148"/>
      <c r="AE653" s="148"/>
      <c r="AF653" s="148"/>
      <c r="AG653" s="148"/>
      <c r="AH653" s="148"/>
      <c r="AI653" s="149"/>
    </row>
    <row r="654" spans="11:35">
      <c r="K654" s="85"/>
      <c r="L654" s="54" t="str">
        <f t="shared" si="63"/>
        <v/>
      </c>
      <c r="M654" s="38" t="str">
        <f t="shared" si="62"/>
        <v>0386</v>
      </c>
      <c r="N654" s="69">
        <f t="shared" si="65"/>
        <v>902</v>
      </c>
      <c r="O654" s="96"/>
      <c r="P654" s="97"/>
      <c r="Q654" s="98"/>
      <c r="R654" s="135"/>
      <c r="U654" s="48" t="str">
        <f t="shared" si="64"/>
        <v/>
      </c>
      <c r="V654" s="16"/>
      <c r="W654" s="34"/>
      <c r="X654" s="35"/>
      <c r="Z654" s="74"/>
      <c r="AA654" s="130" t="str" cm="1">
        <f t="array" ref="AA654">HEX2ASCII(AB654)&amp;HEX2ASCII(AC654)&amp;HEX2ASCII(AD654)&amp;HEX2ASCII(AE654)&amp;HEX2ASCII(AF654)&amp;HEX2ASCII(AG654)&amp;HEX2ASCII(AH654)&amp;HEX2ASCII(AI654)</f>
        <v/>
      </c>
      <c r="AB654" s="147"/>
      <c r="AC654" s="148"/>
      <c r="AD654" s="148"/>
      <c r="AE654" s="148"/>
      <c r="AF654" s="148"/>
      <c r="AG654" s="148"/>
      <c r="AH654" s="148"/>
      <c r="AI654" s="149"/>
    </row>
    <row r="655" spans="11:35">
      <c r="K655" s="85"/>
      <c r="L655" s="54" t="str">
        <f t="shared" si="63"/>
        <v/>
      </c>
      <c r="M655" s="38" t="str">
        <f t="shared" si="62"/>
        <v>0387</v>
      </c>
      <c r="N655" s="69">
        <f t="shared" si="65"/>
        <v>903</v>
      </c>
      <c r="O655" s="96"/>
      <c r="P655" s="97"/>
      <c r="Q655" s="98"/>
      <c r="R655" s="135"/>
      <c r="U655" s="48" t="str">
        <f t="shared" si="64"/>
        <v/>
      </c>
      <c r="V655" s="16"/>
      <c r="W655" s="34"/>
      <c r="X655" s="35"/>
      <c r="Z655" s="74"/>
      <c r="AA655" s="130" t="str" cm="1">
        <f t="array" ref="AA655">HEX2ASCII(AB655)&amp;HEX2ASCII(AC655)&amp;HEX2ASCII(AD655)&amp;HEX2ASCII(AE655)&amp;HEX2ASCII(AF655)&amp;HEX2ASCII(AG655)&amp;HEX2ASCII(AH655)&amp;HEX2ASCII(AI655)</f>
        <v/>
      </c>
      <c r="AB655" s="147"/>
      <c r="AC655" s="148"/>
      <c r="AD655" s="148"/>
      <c r="AE655" s="148"/>
      <c r="AF655" s="148"/>
      <c r="AG655" s="148"/>
      <c r="AH655" s="148"/>
      <c r="AI655" s="149"/>
    </row>
    <row r="656" spans="11:35">
      <c r="K656" s="85"/>
      <c r="L656" s="54" t="str">
        <f t="shared" si="63"/>
        <v/>
      </c>
      <c r="M656" s="38" t="str">
        <f t="shared" si="62"/>
        <v>0388</v>
      </c>
      <c r="N656" s="69">
        <f t="shared" si="65"/>
        <v>904</v>
      </c>
      <c r="O656" s="96"/>
      <c r="P656" s="97"/>
      <c r="Q656" s="98"/>
      <c r="R656" s="135"/>
      <c r="U656" s="48" t="str">
        <f t="shared" si="64"/>
        <v/>
      </c>
      <c r="V656" s="16"/>
      <c r="W656" s="34"/>
      <c r="X656" s="35"/>
      <c r="Z656" s="74"/>
      <c r="AA656" s="130" t="str" cm="1">
        <f t="array" ref="AA656">HEX2ASCII(AB656)&amp;HEX2ASCII(AC656)&amp;HEX2ASCII(AD656)&amp;HEX2ASCII(AE656)&amp;HEX2ASCII(AF656)&amp;HEX2ASCII(AG656)&amp;HEX2ASCII(AH656)&amp;HEX2ASCII(AI656)</f>
        <v/>
      </c>
      <c r="AB656" s="147"/>
      <c r="AC656" s="148"/>
      <c r="AD656" s="148"/>
      <c r="AE656" s="148"/>
      <c r="AF656" s="148"/>
      <c r="AG656" s="148"/>
      <c r="AH656" s="148"/>
      <c r="AI656" s="149"/>
    </row>
    <row r="657" spans="11:35">
      <c r="K657" s="85"/>
      <c r="L657" s="54" t="str">
        <f t="shared" si="63"/>
        <v/>
      </c>
      <c r="M657" s="38" t="str">
        <f t="shared" si="62"/>
        <v>0389</v>
      </c>
      <c r="N657" s="69">
        <f t="shared" si="65"/>
        <v>905</v>
      </c>
      <c r="O657" s="96"/>
      <c r="P657" s="97"/>
      <c r="Q657" s="98"/>
      <c r="R657" s="135"/>
      <c r="U657" s="48" t="str">
        <f t="shared" si="64"/>
        <v/>
      </c>
      <c r="V657" s="16"/>
      <c r="W657" s="34"/>
      <c r="X657" s="35"/>
      <c r="Z657" s="74"/>
      <c r="AA657" s="130" t="str" cm="1">
        <f t="array" ref="AA657">HEX2ASCII(AB657)&amp;HEX2ASCII(AC657)&amp;HEX2ASCII(AD657)&amp;HEX2ASCII(AE657)&amp;HEX2ASCII(AF657)&amp;HEX2ASCII(AG657)&amp;HEX2ASCII(AH657)&amp;HEX2ASCII(AI657)</f>
        <v/>
      </c>
      <c r="AB657" s="147"/>
      <c r="AC657" s="148"/>
      <c r="AD657" s="148"/>
      <c r="AE657" s="148"/>
      <c r="AF657" s="148"/>
      <c r="AG657" s="148"/>
      <c r="AH657" s="148"/>
      <c r="AI657" s="149"/>
    </row>
    <row r="658" spans="11:35">
      <c r="K658" s="85"/>
      <c r="L658" s="54" t="str">
        <f t="shared" si="63"/>
        <v/>
      </c>
      <c r="M658" s="38" t="str">
        <f t="shared" si="62"/>
        <v>038A</v>
      </c>
      <c r="N658" s="69">
        <f t="shared" si="65"/>
        <v>906</v>
      </c>
      <c r="O658" s="96"/>
      <c r="P658" s="97"/>
      <c r="Q658" s="98"/>
      <c r="R658" s="135"/>
      <c r="U658" s="48" t="str">
        <f t="shared" si="64"/>
        <v/>
      </c>
      <c r="V658" s="16"/>
      <c r="W658" s="34"/>
      <c r="X658" s="35"/>
      <c r="Z658" s="74"/>
      <c r="AA658" s="130" t="str" cm="1">
        <f t="array" ref="AA658">HEX2ASCII(AB658)&amp;HEX2ASCII(AC658)&amp;HEX2ASCII(AD658)&amp;HEX2ASCII(AE658)&amp;HEX2ASCII(AF658)&amp;HEX2ASCII(AG658)&amp;HEX2ASCII(AH658)&amp;HEX2ASCII(AI658)</f>
        <v/>
      </c>
      <c r="AB658" s="147"/>
      <c r="AC658" s="148"/>
      <c r="AD658" s="148"/>
      <c r="AE658" s="148"/>
      <c r="AF658" s="148"/>
      <c r="AG658" s="148"/>
      <c r="AH658" s="148"/>
      <c r="AI658" s="149"/>
    </row>
    <row r="659" spans="11:35">
      <c r="K659" s="85"/>
      <c r="L659" s="54" t="str">
        <f t="shared" si="63"/>
        <v/>
      </c>
      <c r="M659" s="38" t="str">
        <f t="shared" si="62"/>
        <v>038B</v>
      </c>
      <c r="N659" s="69">
        <f t="shared" si="65"/>
        <v>907</v>
      </c>
      <c r="O659" s="96"/>
      <c r="P659" s="97"/>
      <c r="Q659" s="98"/>
      <c r="R659" s="135"/>
      <c r="U659" s="48" t="str">
        <f t="shared" si="64"/>
        <v/>
      </c>
      <c r="V659" s="16"/>
      <c r="W659" s="34"/>
      <c r="X659" s="35"/>
      <c r="Z659" s="74"/>
      <c r="AA659" s="130" t="str" cm="1">
        <f t="array" ref="AA659">HEX2ASCII(AB659)&amp;HEX2ASCII(AC659)&amp;HEX2ASCII(AD659)&amp;HEX2ASCII(AE659)&amp;HEX2ASCII(AF659)&amp;HEX2ASCII(AG659)&amp;HEX2ASCII(AH659)&amp;HEX2ASCII(AI659)</f>
        <v/>
      </c>
      <c r="AB659" s="147"/>
      <c r="AC659" s="148"/>
      <c r="AD659" s="148"/>
      <c r="AE659" s="148"/>
      <c r="AF659" s="148"/>
      <c r="AG659" s="148"/>
      <c r="AH659" s="148"/>
      <c r="AI659" s="149"/>
    </row>
    <row r="660" spans="11:35">
      <c r="K660" s="85"/>
      <c r="L660" s="54" t="str">
        <f t="shared" si="63"/>
        <v/>
      </c>
      <c r="M660" s="38" t="str">
        <f t="shared" si="62"/>
        <v>038C</v>
      </c>
      <c r="N660" s="69">
        <f t="shared" si="65"/>
        <v>908</v>
      </c>
      <c r="O660" s="96"/>
      <c r="P660" s="97"/>
      <c r="Q660" s="98"/>
      <c r="R660" s="135"/>
      <c r="U660" s="48" t="str">
        <f t="shared" si="64"/>
        <v/>
      </c>
      <c r="V660" s="16"/>
      <c r="W660" s="34"/>
      <c r="X660" s="35"/>
      <c r="Z660" s="74"/>
      <c r="AA660" s="130" t="str" cm="1">
        <f t="array" ref="AA660">HEX2ASCII(AB660)&amp;HEX2ASCII(AC660)&amp;HEX2ASCII(AD660)&amp;HEX2ASCII(AE660)&amp;HEX2ASCII(AF660)&amp;HEX2ASCII(AG660)&amp;HEX2ASCII(AH660)&amp;HEX2ASCII(AI660)</f>
        <v/>
      </c>
      <c r="AB660" s="147"/>
      <c r="AC660" s="148"/>
      <c r="AD660" s="148"/>
      <c r="AE660" s="148"/>
      <c r="AF660" s="148"/>
      <c r="AG660" s="148"/>
      <c r="AH660" s="148"/>
      <c r="AI660" s="149"/>
    </row>
    <row r="661" spans="11:35">
      <c r="K661" s="85"/>
      <c r="L661" s="54" t="str">
        <f t="shared" si="63"/>
        <v/>
      </c>
      <c r="M661" s="38" t="str">
        <f t="shared" si="62"/>
        <v>038D</v>
      </c>
      <c r="N661" s="69">
        <f t="shared" si="65"/>
        <v>909</v>
      </c>
      <c r="O661" s="96"/>
      <c r="P661" s="97"/>
      <c r="Q661" s="98"/>
      <c r="R661" s="135"/>
      <c r="U661" s="48" t="str">
        <f t="shared" si="64"/>
        <v/>
      </c>
      <c r="V661" s="16"/>
      <c r="W661" s="34"/>
      <c r="X661" s="35"/>
      <c r="Z661" s="74"/>
      <c r="AA661" s="130" t="str" cm="1">
        <f t="array" ref="AA661">HEX2ASCII(AB661)&amp;HEX2ASCII(AC661)&amp;HEX2ASCII(AD661)&amp;HEX2ASCII(AE661)&amp;HEX2ASCII(AF661)&amp;HEX2ASCII(AG661)&amp;HEX2ASCII(AH661)&amp;HEX2ASCII(AI661)</f>
        <v/>
      </c>
      <c r="AB661" s="147"/>
      <c r="AC661" s="148"/>
      <c r="AD661" s="148"/>
      <c r="AE661" s="148"/>
      <c r="AF661" s="148"/>
      <c r="AG661" s="148"/>
      <c r="AH661" s="148"/>
      <c r="AI661" s="149"/>
    </row>
    <row r="662" spans="11:35">
      <c r="K662" s="85"/>
      <c r="L662" s="54" t="str">
        <f t="shared" si="63"/>
        <v/>
      </c>
      <c r="M662" s="38" t="str">
        <f t="shared" si="62"/>
        <v>038E</v>
      </c>
      <c r="N662" s="69">
        <f t="shared" si="65"/>
        <v>910</v>
      </c>
      <c r="O662" s="96"/>
      <c r="P662" s="97"/>
      <c r="Q662" s="98"/>
      <c r="R662" s="135"/>
      <c r="U662" s="48" t="str">
        <f t="shared" si="64"/>
        <v/>
      </c>
      <c r="V662" s="16"/>
      <c r="W662" s="34"/>
      <c r="X662" s="35"/>
      <c r="Z662" s="74"/>
      <c r="AA662" s="130" t="str" cm="1">
        <f t="array" ref="AA662">HEX2ASCII(AB662)&amp;HEX2ASCII(AC662)&amp;HEX2ASCII(AD662)&amp;HEX2ASCII(AE662)&amp;HEX2ASCII(AF662)&amp;HEX2ASCII(AG662)&amp;HEX2ASCII(AH662)&amp;HEX2ASCII(AI662)</f>
        <v/>
      </c>
      <c r="AB662" s="147"/>
      <c r="AC662" s="148"/>
      <c r="AD662" s="148"/>
      <c r="AE662" s="148"/>
      <c r="AF662" s="148"/>
      <c r="AG662" s="148"/>
      <c r="AH662" s="148"/>
      <c r="AI662" s="149"/>
    </row>
    <row r="663" spans="11:35">
      <c r="K663" s="85"/>
      <c r="L663" s="54" t="str">
        <f t="shared" si="63"/>
        <v/>
      </c>
      <c r="M663" s="38" t="str">
        <f t="shared" si="62"/>
        <v>038F</v>
      </c>
      <c r="N663" s="69">
        <f t="shared" si="65"/>
        <v>911</v>
      </c>
      <c r="O663" s="96"/>
      <c r="P663" s="97"/>
      <c r="Q663" s="98"/>
      <c r="R663" s="135"/>
      <c r="U663" s="48" t="str">
        <f t="shared" si="64"/>
        <v/>
      </c>
      <c r="V663" s="16"/>
      <c r="W663" s="34"/>
      <c r="X663" s="35"/>
      <c r="Z663" s="74"/>
      <c r="AA663" s="130" t="str" cm="1">
        <f t="array" ref="AA663">HEX2ASCII(AB663)&amp;HEX2ASCII(AC663)&amp;HEX2ASCII(AD663)&amp;HEX2ASCII(AE663)&amp;HEX2ASCII(AF663)&amp;HEX2ASCII(AG663)&amp;HEX2ASCII(AH663)&amp;HEX2ASCII(AI663)</f>
        <v/>
      </c>
      <c r="AB663" s="147"/>
      <c r="AC663" s="148"/>
      <c r="AD663" s="148"/>
      <c r="AE663" s="148"/>
      <c r="AF663" s="148"/>
      <c r="AG663" s="148"/>
      <c r="AH663" s="148"/>
      <c r="AI663" s="149"/>
    </row>
    <row r="664" spans="11:35">
      <c r="K664" s="85"/>
      <c r="L664" s="54" t="str">
        <f t="shared" si="63"/>
        <v/>
      </c>
      <c r="M664" s="38" t="str">
        <f t="shared" si="62"/>
        <v>0390</v>
      </c>
      <c r="N664" s="69">
        <f t="shared" si="65"/>
        <v>912</v>
      </c>
      <c r="O664" s="96"/>
      <c r="P664" s="97"/>
      <c r="Q664" s="98"/>
      <c r="R664" s="135"/>
      <c r="U664" s="48" t="str">
        <f t="shared" si="64"/>
        <v/>
      </c>
      <c r="V664" s="16"/>
      <c r="W664" s="34"/>
      <c r="X664" s="35"/>
      <c r="Z664" s="74"/>
      <c r="AA664" s="130" t="str" cm="1">
        <f t="array" ref="AA664">HEX2ASCII(AB664)&amp;HEX2ASCII(AC664)&amp;HEX2ASCII(AD664)&amp;HEX2ASCII(AE664)&amp;HEX2ASCII(AF664)&amp;HEX2ASCII(AG664)&amp;HEX2ASCII(AH664)&amp;HEX2ASCII(AI664)</f>
        <v/>
      </c>
      <c r="AB664" s="147"/>
      <c r="AC664" s="148"/>
      <c r="AD664" s="148"/>
      <c r="AE664" s="148"/>
      <c r="AF664" s="148"/>
      <c r="AG664" s="148"/>
      <c r="AH664" s="148"/>
      <c r="AI664" s="149"/>
    </row>
    <row r="665" spans="11:35">
      <c r="K665" s="85"/>
      <c r="L665" s="54" t="str">
        <f t="shared" si="63"/>
        <v/>
      </c>
      <c r="M665" s="38" t="str">
        <f t="shared" si="62"/>
        <v>0391</v>
      </c>
      <c r="N665" s="69">
        <f t="shared" si="65"/>
        <v>913</v>
      </c>
      <c r="O665" s="96"/>
      <c r="P665" s="97"/>
      <c r="Q665" s="98"/>
      <c r="R665" s="135"/>
      <c r="U665" s="48" t="str">
        <f t="shared" si="64"/>
        <v/>
      </c>
      <c r="V665" s="16"/>
      <c r="W665" s="34"/>
      <c r="X665" s="35"/>
      <c r="Z665" s="74"/>
      <c r="AA665" s="130" t="str" cm="1">
        <f t="array" ref="AA665">HEX2ASCII(AB665)&amp;HEX2ASCII(AC665)&amp;HEX2ASCII(AD665)&amp;HEX2ASCII(AE665)&amp;HEX2ASCII(AF665)&amp;HEX2ASCII(AG665)&amp;HEX2ASCII(AH665)&amp;HEX2ASCII(AI665)</f>
        <v/>
      </c>
      <c r="AB665" s="147"/>
      <c r="AC665" s="148"/>
      <c r="AD665" s="148"/>
      <c r="AE665" s="148"/>
      <c r="AF665" s="148"/>
      <c r="AG665" s="148"/>
      <c r="AH665" s="148"/>
      <c r="AI665" s="149"/>
    </row>
    <row r="666" spans="11:35">
      <c r="K666" s="85"/>
      <c r="L666" s="54" t="str">
        <f t="shared" si="63"/>
        <v/>
      </c>
      <c r="M666" s="38" t="str">
        <f t="shared" si="62"/>
        <v>0392</v>
      </c>
      <c r="N666" s="69">
        <f t="shared" si="65"/>
        <v>914</v>
      </c>
      <c r="O666" s="96"/>
      <c r="P666" s="97"/>
      <c r="Q666" s="98"/>
      <c r="R666" s="135"/>
      <c r="U666" s="48" t="str">
        <f t="shared" si="64"/>
        <v/>
      </c>
      <c r="V666" s="16"/>
      <c r="W666" s="34"/>
      <c r="X666" s="35"/>
      <c r="Z666" s="74"/>
      <c r="AA666" s="130" t="str" cm="1">
        <f t="array" ref="AA666">HEX2ASCII(AB666)&amp;HEX2ASCII(AC666)&amp;HEX2ASCII(AD666)&amp;HEX2ASCII(AE666)&amp;HEX2ASCII(AF666)&amp;HEX2ASCII(AG666)&amp;HEX2ASCII(AH666)&amp;HEX2ASCII(AI666)</f>
        <v/>
      </c>
      <c r="AB666" s="147"/>
      <c r="AC666" s="148"/>
      <c r="AD666" s="148"/>
      <c r="AE666" s="148"/>
      <c r="AF666" s="148"/>
      <c r="AG666" s="148"/>
      <c r="AH666" s="148"/>
      <c r="AI666" s="149"/>
    </row>
    <row r="667" spans="11:35">
      <c r="K667" s="85"/>
      <c r="L667" s="54" t="str">
        <f t="shared" si="63"/>
        <v/>
      </c>
      <c r="M667" s="38" t="str">
        <f t="shared" si="62"/>
        <v>0393</v>
      </c>
      <c r="N667" s="69">
        <f t="shared" si="65"/>
        <v>915</v>
      </c>
      <c r="O667" s="96"/>
      <c r="P667" s="97"/>
      <c r="Q667" s="98"/>
      <c r="R667" s="135"/>
      <c r="U667" s="48" t="str">
        <f t="shared" si="64"/>
        <v/>
      </c>
      <c r="V667" s="16"/>
      <c r="W667" s="34"/>
      <c r="X667" s="35"/>
      <c r="Z667" s="74"/>
      <c r="AA667" s="130" t="str" cm="1">
        <f t="array" ref="AA667">HEX2ASCII(AB667)&amp;HEX2ASCII(AC667)&amp;HEX2ASCII(AD667)&amp;HEX2ASCII(AE667)&amp;HEX2ASCII(AF667)&amp;HEX2ASCII(AG667)&amp;HEX2ASCII(AH667)&amp;HEX2ASCII(AI667)</f>
        <v/>
      </c>
      <c r="AB667" s="147"/>
      <c r="AC667" s="148"/>
      <c r="AD667" s="148"/>
      <c r="AE667" s="148"/>
      <c r="AF667" s="148"/>
      <c r="AG667" s="148"/>
      <c r="AH667" s="148"/>
      <c r="AI667" s="149"/>
    </row>
    <row r="668" spans="11:35">
      <c r="K668" s="85"/>
      <c r="L668" s="54" t="str">
        <f t="shared" si="63"/>
        <v/>
      </c>
      <c r="M668" s="38" t="str">
        <f t="shared" si="62"/>
        <v>0394</v>
      </c>
      <c r="N668" s="69">
        <f t="shared" si="65"/>
        <v>916</v>
      </c>
      <c r="O668" s="96"/>
      <c r="P668" s="97"/>
      <c r="Q668" s="98"/>
      <c r="R668" s="135"/>
      <c r="U668" s="48" t="str">
        <f t="shared" si="64"/>
        <v/>
      </c>
      <c r="V668" s="16"/>
      <c r="W668" s="34"/>
      <c r="X668" s="35"/>
      <c r="Z668" s="74"/>
      <c r="AA668" s="130" t="str" cm="1">
        <f t="array" ref="AA668">HEX2ASCII(AB668)&amp;HEX2ASCII(AC668)&amp;HEX2ASCII(AD668)&amp;HEX2ASCII(AE668)&amp;HEX2ASCII(AF668)&amp;HEX2ASCII(AG668)&amp;HEX2ASCII(AH668)&amp;HEX2ASCII(AI668)</f>
        <v/>
      </c>
      <c r="AB668" s="147"/>
      <c r="AC668" s="148"/>
      <c r="AD668" s="148"/>
      <c r="AE668" s="148"/>
      <c r="AF668" s="148"/>
      <c r="AG668" s="148"/>
      <c r="AH668" s="148"/>
      <c r="AI668" s="149"/>
    </row>
    <row r="669" spans="11:35">
      <c r="K669" s="85"/>
      <c r="L669" s="54" t="str">
        <f t="shared" si="63"/>
        <v/>
      </c>
      <c r="M669" s="38" t="str">
        <f t="shared" ref="M669:M732" si="66">IFERROR(RIGHT("0000"&amp;DEC2HEX(N669),4),"")</f>
        <v>0395</v>
      </c>
      <c r="N669" s="69">
        <f t="shared" si="65"/>
        <v>917</v>
      </c>
      <c r="O669" s="96"/>
      <c r="P669" s="97"/>
      <c r="Q669" s="98"/>
      <c r="R669" s="135"/>
      <c r="U669" s="48" t="str">
        <f t="shared" si="64"/>
        <v/>
      </c>
      <c r="V669" s="16"/>
      <c r="W669" s="34"/>
      <c r="X669" s="35"/>
      <c r="Z669" s="74"/>
      <c r="AA669" s="130" t="str" cm="1">
        <f t="array" ref="AA669">HEX2ASCII(AB669)&amp;HEX2ASCII(AC669)&amp;HEX2ASCII(AD669)&amp;HEX2ASCII(AE669)&amp;HEX2ASCII(AF669)&amp;HEX2ASCII(AG669)&amp;HEX2ASCII(AH669)&amp;HEX2ASCII(AI669)</f>
        <v/>
      </c>
      <c r="AB669" s="147"/>
      <c r="AC669" s="148"/>
      <c r="AD669" s="148"/>
      <c r="AE669" s="148"/>
      <c r="AF669" s="148"/>
      <c r="AG669" s="148"/>
      <c r="AH669" s="148"/>
      <c r="AI669" s="149"/>
    </row>
    <row r="670" spans="11:35">
      <c r="K670" s="85"/>
      <c r="L670" s="54" t="str">
        <f t="shared" si="63"/>
        <v/>
      </c>
      <c r="M670" s="38" t="str">
        <f t="shared" si="66"/>
        <v>0396</v>
      </c>
      <c r="N670" s="69">
        <f t="shared" si="65"/>
        <v>918</v>
      </c>
      <c r="O670" s="96"/>
      <c r="P670" s="97"/>
      <c r="Q670" s="98"/>
      <c r="R670" s="135"/>
      <c r="U670" s="48" t="str">
        <f t="shared" si="64"/>
        <v/>
      </c>
      <c r="V670" s="16"/>
      <c r="W670" s="34"/>
      <c r="X670" s="35"/>
      <c r="Z670" s="74"/>
      <c r="AA670" s="130" t="str" cm="1">
        <f t="array" ref="AA670">HEX2ASCII(AB670)&amp;HEX2ASCII(AC670)&amp;HEX2ASCII(AD670)&amp;HEX2ASCII(AE670)&amp;HEX2ASCII(AF670)&amp;HEX2ASCII(AG670)&amp;HEX2ASCII(AH670)&amp;HEX2ASCII(AI670)</f>
        <v/>
      </c>
      <c r="AB670" s="147"/>
      <c r="AC670" s="148"/>
      <c r="AD670" s="148"/>
      <c r="AE670" s="148"/>
      <c r="AF670" s="148"/>
      <c r="AG670" s="148"/>
      <c r="AH670" s="148"/>
      <c r="AI670" s="149"/>
    </row>
    <row r="671" spans="11:35">
      <c r="K671" s="85"/>
      <c r="L671" s="54" t="str">
        <f t="shared" si="63"/>
        <v/>
      </c>
      <c r="M671" s="38" t="str">
        <f t="shared" si="66"/>
        <v>0397</v>
      </c>
      <c r="N671" s="69">
        <f t="shared" si="65"/>
        <v>919</v>
      </c>
      <c r="O671" s="96"/>
      <c r="P671" s="97"/>
      <c r="Q671" s="98"/>
      <c r="R671" s="135"/>
      <c r="U671" s="48" t="str">
        <f t="shared" si="64"/>
        <v/>
      </c>
      <c r="V671" s="16"/>
      <c r="W671" s="34"/>
      <c r="X671" s="35"/>
      <c r="Z671" s="74"/>
      <c r="AA671" s="130" t="str" cm="1">
        <f t="array" ref="AA671">HEX2ASCII(AB671)&amp;HEX2ASCII(AC671)&amp;HEX2ASCII(AD671)&amp;HEX2ASCII(AE671)&amp;HEX2ASCII(AF671)&amp;HEX2ASCII(AG671)&amp;HEX2ASCII(AH671)&amp;HEX2ASCII(AI671)</f>
        <v/>
      </c>
      <c r="AB671" s="147"/>
      <c r="AC671" s="148"/>
      <c r="AD671" s="148"/>
      <c r="AE671" s="148"/>
      <c r="AF671" s="148"/>
      <c r="AG671" s="148"/>
      <c r="AH671" s="148"/>
      <c r="AI671" s="149"/>
    </row>
    <row r="672" spans="11:35">
      <c r="K672" s="85"/>
      <c r="L672" s="54" t="str">
        <f t="shared" si="63"/>
        <v/>
      </c>
      <c r="M672" s="38" t="str">
        <f t="shared" si="66"/>
        <v>0398</v>
      </c>
      <c r="N672" s="69">
        <f t="shared" si="65"/>
        <v>920</v>
      </c>
      <c r="O672" s="96"/>
      <c r="P672" s="97"/>
      <c r="Q672" s="98"/>
      <c r="R672" s="135"/>
      <c r="U672" s="48" t="str">
        <f t="shared" si="64"/>
        <v/>
      </c>
      <c r="V672" s="16"/>
      <c r="W672" s="34"/>
      <c r="X672" s="35"/>
      <c r="Z672" s="74"/>
      <c r="AA672" s="130" t="str" cm="1">
        <f t="array" ref="AA672">HEX2ASCII(AB672)&amp;HEX2ASCII(AC672)&amp;HEX2ASCII(AD672)&amp;HEX2ASCII(AE672)&amp;HEX2ASCII(AF672)&amp;HEX2ASCII(AG672)&amp;HEX2ASCII(AH672)&amp;HEX2ASCII(AI672)</f>
        <v/>
      </c>
      <c r="AB672" s="147"/>
      <c r="AC672" s="148"/>
      <c r="AD672" s="148"/>
      <c r="AE672" s="148"/>
      <c r="AF672" s="148"/>
      <c r="AG672" s="148"/>
      <c r="AH672" s="148"/>
      <c r="AI672" s="149"/>
    </row>
    <row r="673" spans="11:35">
      <c r="K673" s="85"/>
      <c r="L673" s="54" t="str">
        <f t="shared" si="63"/>
        <v/>
      </c>
      <c r="M673" s="38" t="str">
        <f t="shared" si="66"/>
        <v>0399</v>
      </c>
      <c r="N673" s="69">
        <f t="shared" si="65"/>
        <v>921</v>
      </c>
      <c r="O673" s="96"/>
      <c r="P673" s="97"/>
      <c r="Q673" s="98"/>
      <c r="R673" s="135"/>
      <c r="U673" s="48" t="str">
        <f t="shared" si="64"/>
        <v/>
      </c>
      <c r="V673" s="16"/>
      <c r="W673" s="34"/>
      <c r="X673" s="35"/>
      <c r="Z673" s="74"/>
      <c r="AA673" s="130" t="str" cm="1">
        <f t="array" ref="AA673">HEX2ASCII(AB673)&amp;HEX2ASCII(AC673)&amp;HEX2ASCII(AD673)&amp;HEX2ASCII(AE673)&amp;HEX2ASCII(AF673)&amp;HEX2ASCII(AG673)&amp;HEX2ASCII(AH673)&amp;HEX2ASCII(AI673)</f>
        <v/>
      </c>
      <c r="AB673" s="147"/>
      <c r="AC673" s="148"/>
      <c r="AD673" s="148"/>
      <c r="AE673" s="148"/>
      <c r="AF673" s="148"/>
      <c r="AG673" s="148"/>
      <c r="AH673" s="148"/>
      <c r="AI673" s="149"/>
    </row>
    <row r="674" spans="11:35">
      <c r="K674" s="85"/>
      <c r="L674" s="54" t="str">
        <f t="shared" si="63"/>
        <v/>
      </c>
      <c r="M674" s="38" t="str">
        <f t="shared" si="66"/>
        <v>039A</v>
      </c>
      <c r="N674" s="69">
        <f t="shared" si="65"/>
        <v>922</v>
      </c>
      <c r="O674" s="96"/>
      <c r="P674" s="97"/>
      <c r="Q674" s="98"/>
      <c r="R674" s="135"/>
      <c r="U674" s="48" t="str">
        <f t="shared" si="64"/>
        <v/>
      </c>
      <c r="V674" s="16"/>
      <c r="W674" s="34"/>
      <c r="X674" s="35"/>
      <c r="Z674" s="74"/>
      <c r="AA674" s="130" t="str" cm="1">
        <f t="array" ref="AA674">HEX2ASCII(AB674)&amp;HEX2ASCII(AC674)&amp;HEX2ASCII(AD674)&amp;HEX2ASCII(AE674)&amp;HEX2ASCII(AF674)&amp;HEX2ASCII(AG674)&amp;HEX2ASCII(AH674)&amp;HEX2ASCII(AI674)</f>
        <v/>
      </c>
      <c r="AB674" s="147"/>
      <c r="AC674" s="148"/>
      <c r="AD674" s="148"/>
      <c r="AE674" s="148"/>
      <c r="AF674" s="148"/>
      <c r="AG674" s="148"/>
      <c r="AH674" s="148"/>
      <c r="AI674" s="149"/>
    </row>
    <row r="675" spans="11:35">
      <c r="K675" s="85"/>
      <c r="L675" s="54" t="str">
        <f t="shared" si="63"/>
        <v/>
      </c>
      <c r="M675" s="38" t="str">
        <f t="shared" si="66"/>
        <v>039B</v>
      </c>
      <c r="N675" s="69">
        <f t="shared" si="65"/>
        <v>923</v>
      </c>
      <c r="O675" s="96"/>
      <c r="P675" s="97"/>
      <c r="Q675" s="98"/>
      <c r="R675" s="135"/>
      <c r="U675" s="48" t="str">
        <f t="shared" si="64"/>
        <v/>
      </c>
      <c r="V675" s="16"/>
      <c r="W675" s="34"/>
      <c r="X675" s="35"/>
      <c r="Z675" s="74"/>
      <c r="AA675" s="130" t="str" cm="1">
        <f t="array" ref="AA675">HEX2ASCII(AB675)&amp;HEX2ASCII(AC675)&amp;HEX2ASCII(AD675)&amp;HEX2ASCII(AE675)&amp;HEX2ASCII(AF675)&amp;HEX2ASCII(AG675)&amp;HEX2ASCII(AH675)&amp;HEX2ASCII(AI675)</f>
        <v/>
      </c>
      <c r="AB675" s="147"/>
      <c r="AC675" s="148"/>
      <c r="AD675" s="148"/>
      <c r="AE675" s="148"/>
      <c r="AF675" s="148"/>
      <c r="AG675" s="148"/>
      <c r="AH675" s="148"/>
      <c r="AI675" s="149"/>
    </row>
    <row r="676" spans="11:35">
      <c r="K676" s="85"/>
      <c r="L676" s="54" t="str">
        <f t="shared" si="63"/>
        <v/>
      </c>
      <c r="M676" s="38" t="str">
        <f t="shared" si="66"/>
        <v>039C</v>
      </c>
      <c r="N676" s="69">
        <f t="shared" si="65"/>
        <v>924</v>
      </c>
      <c r="O676" s="96"/>
      <c r="P676" s="97"/>
      <c r="Q676" s="98"/>
      <c r="R676" s="135"/>
      <c r="U676" s="48" t="str">
        <f t="shared" si="64"/>
        <v/>
      </c>
      <c r="V676" s="16"/>
      <c r="W676" s="34"/>
      <c r="X676" s="35"/>
      <c r="Z676" s="74"/>
      <c r="AA676" s="130" t="str" cm="1">
        <f t="array" ref="AA676">HEX2ASCII(AB676)&amp;HEX2ASCII(AC676)&amp;HEX2ASCII(AD676)&amp;HEX2ASCII(AE676)&amp;HEX2ASCII(AF676)&amp;HEX2ASCII(AG676)&amp;HEX2ASCII(AH676)&amp;HEX2ASCII(AI676)</f>
        <v/>
      </c>
      <c r="AB676" s="147"/>
      <c r="AC676" s="148"/>
      <c r="AD676" s="148"/>
      <c r="AE676" s="148"/>
      <c r="AF676" s="148"/>
      <c r="AG676" s="148"/>
      <c r="AH676" s="148"/>
      <c r="AI676" s="149"/>
    </row>
    <row r="677" spans="11:35">
      <c r="K677" s="85"/>
      <c r="L677" s="54" t="str">
        <f t="shared" si="63"/>
        <v/>
      </c>
      <c r="M677" s="38" t="str">
        <f t="shared" si="66"/>
        <v>039D</v>
      </c>
      <c r="N677" s="69">
        <f t="shared" si="65"/>
        <v>925</v>
      </c>
      <c r="O677" s="96"/>
      <c r="P677" s="97"/>
      <c r="Q677" s="98"/>
      <c r="R677" s="135"/>
      <c r="U677" s="48" t="str">
        <f t="shared" si="64"/>
        <v/>
      </c>
      <c r="V677" s="16"/>
      <c r="W677" s="34"/>
      <c r="X677" s="35"/>
      <c r="Z677" s="74"/>
      <c r="AA677" s="130" t="str" cm="1">
        <f t="array" ref="AA677">HEX2ASCII(AB677)&amp;HEX2ASCII(AC677)&amp;HEX2ASCII(AD677)&amp;HEX2ASCII(AE677)&amp;HEX2ASCII(AF677)&amp;HEX2ASCII(AG677)&amp;HEX2ASCII(AH677)&amp;HEX2ASCII(AI677)</f>
        <v/>
      </c>
      <c r="AB677" s="147"/>
      <c r="AC677" s="148"/>
      <c r="AD677" s="148"/>
      <c r="AE677" s="148"/>
      <c r="AF677" s="148"/>
      <c r="AG677" s="148"/>
      <c r="AH677" s="148"/>
      <c r="AI677" s="149"/>
    </row>
    <row r="678" spans="11:35">
      <c r="K678" s="85"/>
      <c r="L678" s="54" t="str">
        <f t="shared" si="63"/>
        <v/>
      </c>
      <c r="M678" s="38" t="str">
        <f t="shared" si="66"/>
        <v>039E</v>
      </c>
      <c r="N678" s="69">
        <f t="shared" si="65"/>
        <v>926</v>
      </c>
      <c r="O678" s="96"/>
      <c r="P678" s="97"/>
      <c r="Q678" s="98"/>
      <c r="R678" s="135"/>
      <c r="U678" s="48" t="str">
        <f t="shared" si="64"/>
        <v/>
      </c>
      <c r="V678" s="16"/>
      <c r="W678" s="34"/>
      <c r="X678" s="35"/>
      <c r="Z678" s="74"/>
      <c r="AA678" s="130" t="str" cm="1">
        <f t="array" ref="AA678">HEX2ASCII(AB678)&amp;HEX2ASCII(AC678)&amp;HEX2ASCII(AD678)&amp;HEX2ASCII(AE678)&amp;HEX2ASCII(AF678)&amp;HEX2ASCII(AG678)&amp;HEX2ASCII(AH678)&amp;HEX2ASCII(AI678)</f>
        <v/>
      </c>
      <c r="AB678" s="147"/>
      <c r="AC678" s="148"/>
      <c r="AD678" s="148"/>
      <c r="AE678" s="148"/>
      <c r="AF678" s="148"/>
      <c r="AG678" s="148"/>
      <c r="AH678" s="148"/>
      <c r="AI678" s="149"/>
    </row>
    <row r="679" spans="11:35">
      <c r="K679" s="85"/>
      <c r="L679" s="54" t="str">
        <f t="shared" si="63"/>
        <v/>
      </c>
      <c r="M679" s="38" t="str">
        <f t="shared" si="66"/>
        <v>039F</v>
      </c>
      <c r="N679" s="69">
        <f t="shared" si="65"/>
        <v>927</v>
      </c>
      <c r="O679" s="96"/>
      <c r="P679" s="97"/>
      <c r="Q679" s="98"/>
      <c r="R679" s="135"/>
      <c r="U679" s="48" t="str">
        <f t="shared" si="64"/>
        <v/>
      </c>
      <c r="V679" s="16"/>
      <c r="W679" s="34"/>
      <c r="X679" s="35"/>
      <c r="Z679" s="74"/>
      <c r="AA679" s="130" t="str" cm="1">
        <f t="array" ref="AA679">HEX2ASCII(AB679)&amp;HEX2ASCII(AC679)&amp;HEX2ASCII(AD679)&amp;HEX2ASCII(AE679)&amp;HEX2ASCII(AF679)&amp;HEX2ASCII(AG679)&amp;HEX2ASCII(AH679)&amp;HEX2ASCII(AI679)</f>
        <v/>
      </c>
      <c r="AB679" s="147"/>
      <c r="AC679" s="148"/>
      <c r="AD679" s="148"/>
      <c r="AE679" s="148"/>
      <c r="AF679" s="148"/>
      <c r="AG679" s="148"/>
      <c r="AH679" s="148"/>
      <c r="AI679" s="149"/>
    </row>
    <row r="680" spans="11:35">
      <c r="K680" s="85"/>
      <c r="L680" s="54" t="str">
        <f t="shared" si="63"/>
        <v/>
      </c>
      <c r="M680" s="38" t="str">
        <f t="shared" si="66"/>
        <v>03A0</v>
      </c>
      <c r="N680" s="69">
        <f t="shared" si="65"/>
        <v>928</v>
      </c>
      <c r="O680" s="96"/>
      <c r="P680" s="97"/>
      <c r="Q680" s="98"/>
      <c r="R680" s="135"/>
      <c r="U680" s="48" t="str">
        <f t="shared" si="64"/>
        <v/>
      </c>
      <c r="V680" s="16"/>
      <c r="W680" s="34"/>
      <c r="X680" s="35"/>
      <c r="Z680" s="74"/>
      <c r="AA680" s="130" t="str" cm="1">
        <f t="array" ref="AA680">HEX2ASCII(AB680)&amp;HEX2ASCII(AC680)&amp;HEX2ASCII(AD680)&amp;HEX2ASCII(AE680)&amp;HEX2ASCII(AF680)&amp;HEX2ASCII(AG680)&amp;HEX2ASCII(AH680)&amp;HEX2ASCII(AI680)</f>
        <v/>
      </c>
      <c r="AB680" s="147"/>
      <c r="AC680" s="148"/>
      <c r="AD680" s="148"/>
      <c r="AE680" s="148"/>
      <c r="AF680" s="148"/>
      <c r="AG680" s="148"/>
      <c r="AH680" s="148"/>
      <c r="AI680" s="149"/>
    </row>
    <row r="681" spans="11:35">
      <c r="K681" s="85"/>
      <c r="L681" s="54" t="str">
        <f t="shared" si="63"/>
        <v/>
      </c>
      <c r="M681" s="38" t="str">
        <f t="shared" si="66"/>
        <v>03A1</v>
      </c>
      <c r="N681" s="69">
        <f t="shared" si="65"/>
        <v>929</v>
      </c>
      <c r="O681" s="96"/>
      <c r="P681" s="97"/>
      <c r="Q681" s="98"/>
      <c r="R681" s="135"/>
      <c r="U681" s="48" t="str">
        <f t="shared" si="64"/>
        <v/>
      </c>
      <c r="V681" s="16"/>
      <c r="W681" s="34"/>
      <c r="X681" s="35"/>
      <c r="Z681" s="74"/>
      <c r="AA681" s="130" t="str" cm="1">
        <f t="array" ref="AA681">HEX2ASCII(AB681)&amp;HEX2ASCII(AC681)&amp;HEX2ASCII(AD681)&amp;HEX2ASCII(AE681)&amp;HEX2ASCII(AF681)&amp;HEX2ASCII(AG681)&amp;HEX2ASCII(AH681)&amp;HEX2ASCII(AI681)</f>
        <v/>
      </c>
      <c r="AB681" s="147"/>
      <c r="AC681" s="148"/>
      <c r="AD681" s="148"/>
      <c r="AE681" s="148"/>
      <c r="AF681" s="148"/>
      <c r="AG681" s="148"/>
      <c r="AH681" s="148"/>
      <c r="AI681" s="149"/>
    </row>
    <row r="682" spans="11:35">
      <c r="K682" s="85"/>
      <c r="L682" s="54" t="str">
        <f t="shared" si="63"/>
        <v/>
      </c>
      <c r="M682" s="38" t="str">
        <f t="shared" si="66"/>
        <v>03A2</v>
      </c>
      <c r="N682" s="69">
        <f t="shared" si="65"/>
        <v>930</v>
      </c>
      <c r="O682" s="96"/>
      <c r="P682" s="97"/>
      <c r="Q682" s="98"/>
      <c r="R682" s="135"/>
      <c r="U682" s="48" t="str">
        <f t="shared" si="64"/>
        <v/>
      </c>
      <c r="V682" s="16"/>
      <c r="W682" s="34"/>
      <c r="X682" s="35"/>
      <c r="Z682" s="74"/>
      <c r="AA682" s="130" t="str" cm="1">
        <f t="array" ref="AA682">HEX2ASCII(AB682)&amp;HEX2ASCII(AC682)&amp;HEX2ASCII(AD682)&amp;HEX2ASCII(AE682)&amp;HEX2ASCII(AF682)&amp;HEX2ASCII(AG682)&amp;HEX2ASCII(AH682)&amp;HEX2ASCII(AI682)</f>
        <v/>
      </c>
      <c r="AB682" s="147"/>
      <c r="AC682" s="148"/>
      <c r="AD682" s="148"/>
      <c r="AE682" s="148"/>
      <c r="AF682" s="148"/>
      <c r="AG682" s="148"/>
      <c r="AH682" s="148"/>
      <c r="AI682" s="149"/>
    </row>
    <row r="683" spans="11:35">
      <c r="K683" s="85"/>
      <c r="L683" s="54" t="str">
        <f t="shared" si="63"/>
        <v/>
      </c>
      <c r="M683" s="38" t="str">
        <f t="shared" si="66"/>
        <v>03A3</v>
      </c>
      <c r="N683" s="69">
        <f t="shared" si="65"/>
        <v>931</v>
      </c>
      <c r="O683" s="96"/>
      <c r="P683" s="97"/>
      <c r="Q683" s="98"/>
      <c r="R683" s="135"/>
      <c r="U683" s="48" t="str">
        <f t="shared" si="64"/>
        <v/>
      </c>
      <c r="V683" s="16"/>
      <c r="W683" s="34"/>
      <c r="X683" s="35"/>
      <c r="Z683" s="74"/>
      <c r="AA683" s="130" t="str" cm="1">
        <f t="array" ref="AA683">HEX2ASCII(AB683)&amp;HEX2ASCII(AC683)&amp;HEX2ASCII(AD683)&amp;HEX2ASCII(AE683)&amp;HEX2ASCII(AF683)&amp;HEX2ASCII(AG683)&amp;HEX2ASCII(AH683)&amp;HEX2ASCII(AI683)</f>
        <v/>
      </c>
      <c r="AB683" s="147"/>
      <c r="AC683" s="148"/>
      <c r="AD683" s="148"/>
      <c r="AE683" s="148"/>
      <c r="AF683" s="148"/>
      <c r="AG683" s="148"/>
      <c r="AH683" s="148"/>
      <c r="AI683" s="149"/>
    </row>
    <row r="684" spans="11:35">
      <c r="K684" s="85"/>
      <c r="L684" s="54" t="str">
        <f t="shared" si="63"/>
        <v/>
      </c>
      <c r="M684" s="38" t="str">
        <f t="shared" si="66"/>
        <v>03A4</v>
      </c>
      <c r="N684" s="69">
        <f t="shared" si="65"/>
        <v>932</v>
      </c>
      <c r="O684" s="96"/>
      <c r="P684" s="97"/>
      <c r="Q684" s="98"/>
      <c r="R684" s="135"/>
      <c r="U684" s="48" t="str">
        <f t="shared" si="64"/>
        <v/>
      </c>
      <c r="V684" s="16"/>
      <c r="W684" s="34"/>
      <c r="X684" s="35"/>
      <c r="Z684" s="74"/>
      <c r="AA684" s="130" t="str" cm="1">
        <f t="array" ref="AA684">HEX2ASCII(AB684)&amp;HEX2ASCII(AC684)&amp;HEX2ASCII(AD684)&amp;HEX2ASCII(AE684)&amp;HEX2ASCII(AF684)&amp;HEX2ASCII(AG684)&amp;HEX2ASCII(AH684)&amp;HEX2ASCII(AI684)</f>
        <v/>
      </c>
      <c r="AB684" s="147"/>
      <c r="AC684" s="148"/>
      <c r="AD684" s="148"/>
      <c r="AE684" s="148"/>
      <c r="AF684" s="148"/>
      <c r="AG684" s="148"/>
      <c r="AH684" s="148"/>
      <c r="AI684" s="149"/>
    </row>
    <row r="685" spans="11:35">
      <c r="K685" s="85"/>
      <c r="L685" s="54" t="str">
        <f t="shared" si="63"/>
        <v/>
      </c>
      <c r="M685" s="38" t="str">
        <f t="shared" si="66"/>
        <v>03A5</v>
      </c>
      <c r="N685" s="69">
        <f t="shared" si="65"/>
        <v>933</v>
      </c>
      <c r="O685" s="96"/>
      <c r="P685" s="97"/>
      <c r="Q685" s="98"/>
      <c r="R685" s="135"/>
      <c r="U685" s="48" t="str">
        <f t="shared" si="64"/>
        <v/>
      </c>
      <c r="V685" s="16"/>
      <c r="W685" s="34"/>
      <c r="X685" s="35"/>
      <c r="Z685" s="74"/>
      <c r="AA685" s="130" t="str" cm="1">
        <f t="array" ref="AA685">HEX2ASCII(AB685)&amp;HEX2ASCII(AC685)&amp;HEX2ASCII(AD685)&amp;HEX2ASCII(AE685)&amp;HEX2ASCII(AF685)&amp;HEX2ASCII(AG685)&amp;HEX2ASCII(AH685)&amp;HEX2ASCII(AI685)</f>
        <v/>
      </c>
      <c r="AB685" s="147"/>
      <c r="AC685" s="148"/>
      <c r="AD685" s="148"/>
      <c r="AE685" s="148"/>
      <c r="AF685" s="148"/>
      <c r="AG685" s="148"/>
      <c r="AH685" s="148"/>
      <c r="AI685" s="149"/>
    </row>
    <row r="686" spans="11:35">
      <c r="K686" s="85"/>
      <c r="L686" s="54" t="str">
        <f t="shared" si="63"/>
        <v/>
      </c>
      <c r="M686" s="38" t="str">
        <f t="shared" si="66"/>
        <v>03A6</v>
      </c>
      <c r="N686" s="69">
        <f t="shared" si="65"/>
        <v>934</v>
      </c>
      <c r="O686" s="96"/>
      <c r="P686" s="97"/>
      <c r="Q686" s="98"/>
      <c r="R686" s="135"/>
      <c r="U686" s="48" t="str">
        <f t="shared" si="64"/>
        <v/>
      </c>
      <c r="V686" s="16"/>
      <c r="W686" s="34"/>
      <c r="X686" s="35"/>
      <c r="Z686" s="74"/>
      <c r="AA686" s="130" t="str" cm="1">
        <f t="array" ref="AA686">HEX2ASCII(AB686)&amp;HEX2ASCII(AC686)&amp;HEX2ASCII(AD686)&amp;HEX2ASCII(AE686)&amp;HEX2ASCII(AF686)&amp;HEX2ASCII(AG686)&amp;HEX2ASCII(AH686)&amp;HEX2ASCII(AI686)</f>
        <v/>
      </c>
      <c r="AB686" s="147"/>
      <c r="AC686" s="148"/>
      <c r="AD686" s="148"/>
      <c r="AE686" s="148"/>
      <c r="AF686" s="148"/>
      <c r="AG686" s="148"/>
      <c r="AH686" s="148"/>
      <c r="AI686" s="149"/>
    </row>
    <row r="687" spans="11:35">
      <c r="K687" s="85"/>
      <c r="L687" s="54" t="str">
        <f t="shared" si="63"/>
        <v/>
      </c>
      <c r="M687" s="38" t="str">
        <f t="shared" si="66"/>
        <v>03A7</v>
      </c>
      <c r="N687" s="69">
        <f t="shared" si="65"/>
        <v>935</v>
      </c>
      <c r="O687" s="96"/>
      <c r="P687" s="97"/>
      <c r="Q687" s="98"/>
      <c r="R687" s="135"/>
      <c r="U687" s="48" t="str">
        <f t="shared" si="64"/>
        <v/>
      </c>
      <c r="V687" s="16"/>
      <c r="W687" s="34"/>
      <c r="X687" s="35"/>
      <c r="Z687" s="74"/>
      <c r="AA687" s="130" t="str" cm="1">
        <f t="array" ref="AA687">HEX2ASCII(AB687)&amp;HEX2ASCII(AC687)&amp;HEX2ASCII(AD687)&amp;HEX2ASCII(AE687)&amp;HEX2ASCII(AF687)&amp;HEX2ASCII(AG687)&amp;HEX2ASCII(AH687)&amp;HEX2ASCII(AI687)</f>
        <v/>
      </c>
      <c r="AB687" s="147"/>
      <c r="AC687" s="148"/>
      <c r="AD687" s="148"/>
      <c r="AE687" s="148"/>
      <c r="AF687" s="148"/>
      <c r="AG687" s="148"/>
      <c r="AH687" s="148"/>
      <c r="AI687" s="149"/>
    </row>
    <row r="688" spans="11:35">
      <c r="K688" s="85"/>
      <c r="L688" s="54" t="str">
        <f t="shared" si="63"/>
        <v/>
      </c>
      <c r="M688" s="38" t="str">
        <f t="shared" si="66"/>
        <v>03A8</v>
      </c>
      <c r="N688" s="69">
        <f t="shared" si="65"/>
        <v>936</v>
      </c>
      <c r="O688" s="96"/>
      <c r="P688" s="97"/>
      <c r="Q688" s="98"/>
      <c r="R688" s="135"/>
      <c r="U688" s="48" t="str">
        <f t="shared" si="64"/>
        <v/>
      </c>
      <c r="V688" s="16"/>
      <c r="W688" s="34"/>
      <c r="X688" s="35"/>
      <c r="Z688" s="74"/>
      <c r="AA688" s="130" t="str" cm="1">
        <f t="array" ref="AA688">HEX2ASCII(AB688)&amp;HEX2ASCII(AC688)&amp;HEX2ASCII(AD688)&amp;HEX2ASCII(AE688)&amp;HEX2ASCII(AF688)&amp;HEX2ASCII(AG688)&amp;HEX2ASCII(AH688)&amp;HEX2ASCII(AI688)</f>
        <v/>
      </c>
      <c r="AB688" s="147"/>
      <c r="AC688" s="148"/>
      <c r="AD688" s="148"/>
      <c r="AE688" s="148"/>
      <c r="AF688" s="148"/>
      <c r="AG688" s="148"/>
      <c r="AH688" s="148"/>
      <c r="AI688" s="149"/>
    </row>
    <row r="689" spans="11:35">
      <c r="K689" s="85"/>
      <c r="L689" s="54" t="str">
        <f t="shared" si="63"/>
        <v/>
      </c>
      <c r="M689" s="38" t="str">
        <f t="shared" si="66"/>
        <v>03A9</v>
      </c>
      <c r="N689" s="69">
        <f t="shared" si="65"/>
        <v>937</v>
      </c>
      <c r="O689" s="96"/>
      <c r="P689" s="97"/>
      <c r="Q689" s="98"/>
      <c r="R689" s="135"/>
      <c r="U689" s="48" t="str">
        <f t="shared" si="64"/>
        <v/>
      </c>
      <c r="V689" s="16"/>
      <c r="W689" s="34"/>
      <c r="X689" s="35"/>
      <c r="Z689" s="74"/>
      <c r="AA689" s="130" t="str" cm="1">
        <f t="array" ref="AA689">HEX2ASCII(AB689)&amp;HEX2ASCII(AC689)&amp;HEX2ASCII(AD689)&amp;HEX2ASCII(AE689)&amp;HEX2ASCII(AF689)&amp;HEX2ASCII(AG689)&amp;HEX2ASCII(AH689)&amp;HEX2ASCII(AI689)</f>
        <v/>
      </c>
      <c r="AB689" s="147"/>
      <c r="AC689" s="148"/>
      <c r="AD689" s="148"/>
      <c r="AE689" s="148"/>
      <c r="AF689" s="148"/>
      <c r="AG689" s="148"/>
      <c r="AH689" s="148"/>
      <c r="AI689" s="149"/>
    </row>
    <row r="690" spans="11:35">
      <c r="K690" s="85"/>
      <c r="L690" s="54" t="str">
        <f t="shared" si="63"/>
        <v/>
      </c>
      <c r="M690" s="38" t="str">
        <f t="shared" si="66"/>
        <v>03AA</v>
      </c>
      <c r="N690" s="69">
        <f t="shared" si="65"/>
        <v>938</v>
      </c>
      <c r="O690" s="96"/>
      <c r="P690" s="97"/>
      <c r="Q690" s="98"/>
      <c r="R690" s="135"/>
      <c r="U690" s="48" t="str">
        <f t="shared" si="64"/>
        <v/>
      </c>
      <c r="V690" s="16"/>
      <c r="W690" s="34"/>
      <c r="X690" s="35"/>
      <c r="Z690" s="74"/>
      <c r="AA690" s="130" t="str" cm="1">
        <f t="array" ref="AA690">HEX2ASCII(AB690)&amp;HEX2ASCII(AC690)&amp;HEX2ASCII(AD690)&amp;HEX2ASCII(AE690)&amp;HEX2ASCII(AF690)&amp;HEX2ASCII(AG690)&amp;HEX2ASCII(AH690)&amp;HEX2ASCII(AI690)</f>
        <v/>
      </c>
      <c r="AB690" s="147"/>
      <c r="AC690" s="148"/>
      <c r="AD690" s="148"/>
      <c r="AE690" s="148"/>
      <c r="AF690" s="148"/>
      <c r="AG690" s="148"/>
      <c r="AH690" s="148"/>
      <c r="AI690" s="149"/>
    </row>
    <row r="691" spans="11:35">
      <c r="K691" s="85"/>
      <c r="L691" s="54" t="str">
        <f t="shared" si="63"/>
        <v/>
      </c>
      <c r="M691" s="38" t="str">
        <f t="shared" si="66"/>
        <v>03AB</v>
      </c>
      <c r="N691" s="69">
        <f t="shared" si="65"/>
        <v>939</v>
      </c>
      <c r="O691" s="96"/>
      <c r="P691" s="97"/>
      <c r="Q691" s="98"/>
      <c r="R691" s="135"/>
      <c r="U691" s="48" t="str">
        <f t="shared" si="64"/>
        <v/>
      </c>
      <c r="V691" s="16"/>
      <c r="W691" s="34"/>
      <c r="X691" s="35"/>
      <c r="Z691" s="74"/>
      <c r="AA691" s="130" t="str" cm="1">
        <f t="array" ref="AA691">HEX2ASCII(AB691)&amp;HEX2ASCII(AC691)&amp;HEX2ASCII(AD691)&amp;HEX2ASCII(AE691)&amp;HEX2ASCII(AF691)&amp;HEX2ASCII(AG691)&amp;HEX2ASCII(AH691)&amp;HEX2ASCII(AI691)</f>
        <v/>
      </c>
      <c r="AB691" s="147"/>
      <c r="AC691" s="148"/>
      <c r="AD691" s="148"/>
      <c r="AE691" s="148"/>
      <c r="AF691" s="148"/>
      <c r="AG691" s="148"/>
      <c r="AH691" s="148"/>
      <c r="AI691" s="149"/>
    </row>
    <row r="692" spans="11:35">
      <c r="K692" s="85"/>
      <c r="L692" s="54" t="str">
        <f t="shared" si="63"/>
        <v/>
      </c>
      <c r="M692" s="38" t="str">
        <f t="shared" si="66"/>
        <v>03AC</v>
      </c>
      <c r="N692" s="69">
        <f t="shared" si="65"/>
        <v>940</v>
      </c>
      <c r="O692" s="96"/>
      <c r="P692" s="97"/>
      <c r="Q692" s="98"/>
      <c r="R692" s="135"/>
      <c r="U692" s="48" t="str">
        <f t="shared" si="64"/>
        <v/>
      </c>
      <c r="V692" s="16"/>
      <c r="W692" s="34"/>
      <c r="X692" s="35"/>
      <c r="Z692" s="74"/>
      <c r="AA692" s="130" t="str" cm="1">
        <f t="array" ref="AA692">HEX2ASCII(AB692)&amp;HEX2ASCII(AC692)&amp;HEX2ASCII(AD692)&amp;HEX2ASCII(AE692)&amp;HEX2ASCII(AF692)&amp;HEX2ASCII(AG692)&amp;HEX2ASCII(AH692)&amp;HEX2ASCII(AI692)</f>
        <v/>
      </c>
      <c r="AB692" s="147"/>
      <c r="AC692" s="148"/>
      <c r="AD692" s="148"/>
      <c r="AE692" s="148"/>
      <c r="AF692" s="148"/>
      <c r="AG692" s="148"/>
      <c r="AH692" s="148"/>
      <c r="AI692" s="149"/>
    </row>
    <row r="693" spans="11:35">
      <c r="K693" s="85"/>
      <c r="L693" s="54" t="str">
        <f t="shared" si="63"/>
        <v/>
      </c>
      <c r="M693" s="38" t="str">
        <f t="shared" si="66"/>
        <v>03AD</v>
      </c>
      <c r="N693" s="69">
        <f t="shared" si="65"/>
        <v>941</v>
      </c>
      <c r="O693" s="96"/>
      <c r="P693" s="97"/>
      <c r="Q693" s="98"/>
      <c r="R693" s="135"/>
      <c r="U693" s="48" t="str">
        <f t="shared" si="64"/>
        <v/>
      </c>
      <c r="V693" s="16"/>
      <c r="W693" s="34"/>
      <c r="X693" s="35"/>
      <c r="Z693" s="74"/>
      <c r="AA693" s="130" t="str" cm="1">
        <f t="array" ref="AA693">HEX2ASCII(AB693)&amp;HEX2ASCII(AC693)&amp;HEX2ASCII(AD693)&amp;HEX2ASCII(AE693)&amp;HEX2ASCII(AF693)&amp;HEX2ASCII(AG693)&amp;HEX2ASCII(AH693)&amp;HEX2ASCII(AI693)</f>
        <v/>
      </c>
      <c r="AB693" s="147"/>
      <c r="AC693" s="148"/>
      <c r="AD693" s="148"/>
      <c r="AE693" s="148"/>
      <c r="AF693" s="148"/>
      <c r="AG693" s="148"/>
      <c r="AH693" s="148"/>
      <c r="AI693" s="149"/>
    </row>
    <row r="694" spans="11:35">
      <c r="K694" s="85"/>
      <c r="L694" s="54" t="str">
        <f t="shared" si="63"/>
        <v/>
      </c>
      <c r="M694" s="38" t="str">
        <f t="shared" si="66"/>
        <v>03AE</v>
      </c>
      <c r="N694" s="69">
        <f t="shared" si="65"/>
        <v>942</v>
      </c>
      <c r="O694" s="96"/>
      <c r="P694" s="97"/>
      <c r="Q694" s="98"/>
      <c r="R694" s="135"/>
      <c r="U694" s="48" t="str">
        <f t="shared" si="64"/>
        <v/>
      </c>
      <c r="V694" s="16"/>
      <c r="W694" s="34"/>
      <c r="X694" s="35"/>
      <c r="Z694" s="74"/>
      <c r="AA694" s="130" t="str" cm="1">
        <f t="array" ref="AA694">HEX2ASCII(AB694)&amp;HEX2ASCII(AC694)&amp;HEX2ASCII(AD694)&amp;HEX2ASCII(AE694)&amp;HEX2ASCII(AF694)&amp;HEX2ASCII(AG694)&amp;HEX2ASCII(AH694)&amp;HEX2ASCII(AI694)</f>
        <v/>
      </c>
      <c r="AB694" s="147"/>
      <c r="AC694" s="148"/>
      <c r="AD694" s="148"/>
      <c r="AE694" s="148"/>
      <c r="AF694" s="148"/>
      <c r="AG694" s="148"/>
      <c r="AH694" s="148"/>
      <c r="AI694" s="149"/>
    </row>
    <row r="695" spans="11:35">
      <c r="K695" s="85"/>
      <c r="L695" s="54" t="str">
        <f t="shared" si="63"/>
        <v/>
      </c>
      <c r="M695" s="38" t="str">
        <f t="shared" si="66"/>
        <v>03AF</v>
      </c>
      <c r="N695" s="69">
        <f t="shared" si="65"/>
        <v>943</v>
      </c>
      <c r="O695" s="96"/>
      <c r="P695" s="97"/>
      <c r="Q695" s="98"/>
      <c r="R695" s="135"/>
      <c r="U695" s="48" t="str">
        <f t="shared" si="64"/>
        <v/>
      </c>
      <c r="V695" s="16"/>
      <c r="W695" s="34"/>
      <c r="X695" s="35"/>
      <c r="Z695" s="74"/>
      <c r="AA695" s="130" t="str" cm="1">
        <f t="array" ref="AA695">HEX2ASCII(AB695)&amp;HEX2ASCII(AC695)&amp;HEX2ASCII(AD695)&amp;HEX2ASCII(AE695)&amp;HEX2ASCII(AF695)&amp;HEX2ASCII(AG695)&amp;HEX2ASCII(AH695)&amp;HEX2ASCII(AI695)</f>
        <v/>
      </c>
      <c r="AB695" s="147"/>
      <c r="AC695" s="148"/>
      <c r="AD695" s="148"/>
      <c r="AE695" s="148"/>
      <c r="AF695" s="148"/>
      <c r="AG695" s="148"/>
      <c r="AH695" s="148"/>
      <c r="AI695" s="149"/>
    </row>
    <row r="696" spans="11:35">
      <c r="K696" s="85"/>
      <c r="L696" s="54" t="str">
        <f t="shared" si="63"/>
        <v/>
      </c>
      <c r="M696" s="38" t="str">
        <f t="shared" si="66"/>
        <v>03B0</v>
      </c>
      <c r="N696" s="69">
        <f t="shared" si="65"/>
        <v>944</v>
      </c>
      <c r="O696" s="96"/>
      <c r="P696" s="97"/>
      <c r="Q696" s="98"/>
      <c r="R696" s="135"/>
      <c r="U696" s="48" t="str">
        <f t="shared" si="64"/>
        <v/>
      </c>
      <c r="V696" s="16"/>
      <c r="W696" s="34"/>
      <c r="X696" s="35"/>
      <c r="Z696" s="74"/>
      <c r="AA696" s="130" t="str" cm="1">
        <f t="array" ref="AA696">HEX2ASCII(AB696)&amp;HEX2ASCII(AC696)&amp;HEX2ASCII(AD696)&amp;HEX2ASCII(AE696)&amp;HEX2ASCII(AF696)&amp;HEX2ASCII(AG696)&amp;HEX2ASCII(AH696)&amp;HEX2ASCII(AI696)</f>
        <v/>
      </c>
      <c r="AB696" s="147"/>
      <c r="AC696" s="148"/>
      <c r="AD696" s="148"/>
      <c r="AE696" s="148"/>
      <c r="AF696" s="148"/>
      <c r="AG696" s="148"/>
      <c r="AH696" s="148"/>
      <c r="AI696" s="149"/>
    </row>
    <row r="697" spans="11:35">
      <c r="K697" s="85"/>
      <c r="L697" s="54" t="str">
        <f t="shared" si="63"/>
        <v/>
      </c>
      <c r="M697" s="38" t="str">
        <f t="shared" si="66"/>
        <v>03B1</v>
      </c>
      <c r="N697" s="69">
        <f t="shared" si="65"/>
        <v>945</v>
      </c>
      <c r="O697" s="96"/>
      <c r="P697" s="97"/>
      <c r="Q697" s="98"/>
      <c r="R697" s="135"/>
      <c r="U697" s="48" t="str">
        <f t="shared" si="64"/>
        <v/>
      </c>
      <c r="V697" s="16"/>
      <c r="W697" s="34"/>
      <c r="X697" s="35"/>
      <c r="Z697" s="74"/>
      <c r="AA697" s="130" t="str" cm="1">
        <f t="array" ref="AA697">HEX2ASCII(AB697)&amp;HEX2ASCII(AC697)&amp;HEX2ASCII(AD697)&amp;HEX2ASCII(AE697)&amp;HEX2ASCII(AF697)&amp;HEX2ASCII(AG697)&amp;HEX2ASCII(AH697)&amp;HEX2ASCII(AI697)</f>
        <v/>
      </c>
      <c r="AB697" s="147"/>
      <c r="AC697" s="148"/>
      <c r="AD697" s="148"/>
      <c r="AE697" s="148"/>
      <c r="AF697" s="148"/>
      <c r="AG697" s="148"/>
      <c r="AH697" s="148"/>
      <c r="AI697" s="149"/>
    </row>
    <row r="698" spans="11:35">
      <c r="K698" s="85"/>
      <c r="L698" s="54" t="str">
        <f t="shared" si="63"/>
        <v/>
      </c>
      <c r="M698" s="38" t="str">
        <f t="shared" si="66"/>
        <v>03B2</v>
      </c>
      <c r="N698" s="69">
        <f t="shared" si="65"/>
        <v>946</v>
      </c>
      <c r="O698" s="96"/>
      <c r="P698" s="97"/>
      <c r="Q698" s="98"/>
      <c r="R698" s="135"/>
      <c r="U698" s="48" t="str">
        <f t="shared" si="64"/>
        <v/>
      </c>
      <c r="V698" s="16"/>
      <c r="W698" s="34"/>
      <c r="X698" s="35"/>
      <c r="Z698" s="74"/>
      <c r="AA698" s="130" t="str" cm="1">
        <f t="array" ref="AA698">HEX2ASCII(AB698)&amp;HEX2ASCII(AC698)&amp;HEX2ASCII(AD698)&amp;HEX2ASCII(AE698)&amp;HEX2ASCII(AF698)&amp;HEX2ASCII(AG698)&amp;HEX2ASCII(AH698)&amp;HEX2ASCII(AI698)</f>
        <v/>
      </c>
      <c r="AB698" s="147"/>
      <c r="AC698" s="148"/>
      <c r="AD698" s="148"/>
      <c r="AE698" s="148"/>
      <c r="AF698" s="148"/>
      <c r="AG698" s="148"/>
      <c r="AH698" s="148"/>
      <c r="AI698" s="149"/>
    </row>
    <row r="699" spans="11:35">
      <c r="K699" s="85"/>
      <c r="L699" s="54" t="str">
        <f t="shared" si="63"/>
        <v/>
      </c>
      <c r="M699" s="38" t="str">
        <f t="shared" si="66"/>
        <v>03B3</v>
      </c>
      <c r="N699" s="69">
        <f t="shared" si="65"/>
        <v>947</v>
      </c>
      <c r="O699" s="96"/>
      <c r="P699" s="97"/>
      <c r="Q699" s="98"/>
      <c r="R699" s="135"/>
      <c r="U699" s="48" t="str">
        <f t="shared" si="64"/>
        <v/>
      </c>
      <c r="V699" s="16"/>
      <c r="W699" s="34"/>
      <c r="X699" s="35"/>
      <c r="Z699" s="74"/>
      <c r="AA699" s="130" t="str" cm="1">
        <f t="array" ref="AA699">HEX2ASCII(AB699)&amp;HEX2ASCII(AC699)&amp;HEX2ASCII(AD699)&amp;HEX2ASCII(AE699)&amp;HEX2ASCII(AF699)&amp;HEX2ASCII(AG699)&amp;HEX2ASCII(AH699)&amp;HEX2ASCII(AI699)</f>
        <v/>
      </c>
      <c r="AB699" s="147"/>
      <c r="AC699" s="148"/>
      <c r="AD699" s="148"/>
      <c r="AE699" s="148"/>
      <c r="AF699" s="148"/>
      <c r="AG699" s="148"/>
      <c r="AH699" s="148"/>
      <c r="AI699" s="149"/>
    </row>
    <row r="700" spans="11:35">
      <c r="K700" s="85"/>
      <c r="L700" s="54" t="str">
        <f t="shared" si="63"/>
        <v/>
      </c>
      <c r="M700" s="38" t="str">
        <f t="shared" si="66"/>
        <v>03B4</v>
      </c>
      <c r="N700" s="69">
        <f t="shared" si="65"/>
        <v>948</v>
      </c>
      <c r="O700" s="96"/>
      <c r="P700" s="97"/>
      <c r="Q700" s="98"/>
      <c r="R700" s="135"/>
      <c r="U700" s="48" t="str">
        <f t="shared" si="64"/>
        <v/>
      </c>
      <c r="V700" s="16"/>
      <c r="W700" s="34"/>
      <c r="X700" s="35"/>
      <c r="Z700" s="74"/>
      <c r="AA700" s="130" t="str" cm="1">
        <f t="array" ref="AA700">HEX2ASCII(AB700)&amp;HEX2ASCII(AC700)&amp;HEX2ASCII(AD700)&amp;HEX2ASCII(AE700)&amp;HEX2ASCII(AF700)&amp;HEX2ASCII(AG700)&amp;HEX2ASCII(AH700)&amp;HEX2ASCII(AI700)</f>
        <v/>
      </c>
      <c r="AB700" s="147"/>
      <c r="AC700" s="148"/>
      <c r="AD700" s="148"/>
      <c r="AE700" s="148"/>
      <c r="AF700" s="148"/>
      <c r="AG700" s="148"/>
      <c r="AH700" s="148"/>
      <c r="AI700" s="149"/>
    </row>
    <row r="701" spans="11:35">
      <c r="K701" s="85"/>
      <c r="L701" s="54" t="str">
        <f t="shared" si="63"/>
        <v/>
      </c>
      <c r="M701" s="38" t="str">
        <f t="shared" si="66"/>
        <v>03B5</v>
      </c>
      <c r="N701" s="69">
        <f t="shared" si="65"/>
        <v>949</v>
      </c>
      <c r="O701" s="96"/>
      <c r="P701" s="97"/>
      <c r="Q701" s="98"/>
      <c r="R701" s="135"/>
      <c r="U701" s="48" t="str">
        <f t="shared" si="64"/>
        <v/>
      </c>
      <c r="V701" s="16"/>
      <c r="W701" s="34"/>
      <c r="X701" s="35"/>
      <c r="Z701" s="74"/>
      <c r="AA701" s="130" t="str" cm="1">
        <f t="array" ref="AA701">HEX2ASCII(AB701)&amp;HEX2ASCII(AC701)&amp;HEX2ASCII(AD701)&amp;HEX2ASCII(AE701)&amp;HEX2ASCII(AF701)&amp;HEX2ASCII(AG701)&amp;HEX2ASCII(AH701)&amp;HEX2ASCII(AI701)</f>
        <v/>
      </c>
      <c r="AB701" s="147"/>
      <c r="AC701" s="148"/>
      <c r="AD701" s="148"/>
      <c r="AE701" s="148"/>
      <c r="AF701" s="148"/>
      <c r="AG701" s="148"/>
      <c r="AH701" s="148"/>
      <c r="AI701" s="149"/>
    </row>
    <row r="702" spans="11:35">
      <c r="K702" s="85"/>
      <c r="L702" s="54" t="str">
        <f t="shared" si="63"/>
        <v/>
      </c>
      <c r="M702" s="38" t="str">
        <f t="shared" si="66"/>
        <v>03B6</v>
      </c>
      <c r="N702" s="69">
        <f t="shared" si="65"/>
        <v>950</v>
      </c>
      <c r="O702" s="96"/>
      <c r="P702" s="97"/>
      <c r="Q702" s="98"/>
      <c r="R702" s="135"/>
      <c r="U702" s="48" t="str">
        <f t="shared" si="64"/>
        <v/>
      </c>
      <c r="V702" s="16"/>
      <c r="W702" s="34"/>
      <c r="X702" s="35"/>
      <c r="Z702" s="74"/>
      <c r="AA702" s="130" t="str" cm="1">
        <f t="array" ref="AA702">HEX2ASCII(AB702)&amp;HEX2ASCII(AC702)&amp;HEX2ASCII(AD702)&amp;HEX2ASCII(AE702)&amp;HEX2ASCII(AF702)&amp;HEX2ASCII(AG702)&amp;HEX2ASCII(AH702)&amp;HEX2ASCII(AI702)</f>
        <v/>
      </c>
      <c r="AB702" s="147"/>
      <c r="AC702" s="148"/>
      <c r="AD702" s="148"/>
      <c r="AE702" s="148"/>
      <c r="AF702" s="148"/>
      <c r="AG702" s="148"/>
      <c r="AH702" s="148"/>
      <c r="AI702" s="149"/>
    </row>
    <row r="703" spans="11:35">
      <c r="K703" s="85"/>
      <c r="L703" s="54" t="str">
        <f t="shared" si="63"/>
        <v/>
      </c>
      <c r="M703" s="38" t="str">
        <f t="shared" si="66"/>
        <v>03B7</v>
      </c>
      <c r="N703" s="69">
        <f t="shared" si="65"/>
        <v>951</v>
      </c>
      <c r="O703" s="96"/>
      <c r="P703" s="97"/>
      <c r="Q703" s="98"/>
      <c r="R703" s="135"/>
      <c r="U703" s="48" t="str">
        <f t="shared" si="64"/>
        <v/>
      </c>
      <c r="V703" s="16"/>
      <c r="W703" s="34"/>
      <c r="X703" s="35"/>
      <c r="Z703" s="74"/>
      <c r="AA703" s="130" t="str" cm="1">
        <f t="array" ref="AA703">HEX2ASCII(AB703)&amp;HEX2ASCII(AC703)&amp;HEX2ASCII(AD703)&amp;HEX2ASCII(AE703)&amp;HEX2ASCII(AF703)&amp;HEX2ASCII(AG703)&amp;HEX2ASCII(AH703)&amp;HEX2ASCII(AI703)</f>
        <v/>
      </c>
      <c r="AB703" s="147"/>
      <c r="AC703" s="148"/>
      <c r="AD703" s="148"/>
      <c r="AE703" s="148"/>
      <c r="AF703" s="148"/>
      <c r="AG703" s="148"/>
      <c r="AH703" s="148"/>
      <c r="AI703" s="149"/>
    </row>
    <row r="704" spans="11:35">
      <c r="K704" s="85"/>
      <c r="L704" s="54" t="str">
        <f t="shared" si="63"/>
        <v/>
      </c>
      <c r="M704" s="38" t="str">
        <f t="shared" si="66"/>
        <v>03B8</v>
      </c>
      <c r="N704" s="69">
        <f t="shared" si="65"/>
        <v>952</v>
      </c>
      <c r="O704" s="96"/>
      <c r="P704" s="97"/>
      <c r="Q704" s="98"/>
      <c r="R704" s="135"/>
      <c r="U704" s="48" t="str">
        <f t="shared" si="64"/>
        <v/>
      </c>
      <c r="V704" s="16"/>
      <c r="W704" s="34"/>
      <c r="X704" s="35"/>
      <c r="Z704" s="74"/>
      <c r="AA704" s="130" t="str" cm="1">
        <f t="array" ref="AA704">HEX2ASCII(AB704)&amp;HEX2ASCII(AC704)&amp;HEX2ASCII(AD704)&amp;HEX2ASCII(AE704)&amp;HEX2ASCII(AF704)&amp;HEX2ASCII(AG704)&amp;HEX2ASCII(AH704)&amp;HEX2ASCII(AI704)</f>
        <v/>
      </c>
      <c r="AB704" s="147"/>
      <c r="AC704" s="148"/>
      <c r="AD704" s="148"/>
      <c r="AE704" s="148"/>
      <c r="AF704" s="148"/>
      <c r="AG704" s="148"/>
      <c r="AH704" s="148"/>
      <c r="AI704" s="149"/>
    </row>
    <row r="705" spans="11:35">
      <c r="K705" s="85"/>
      <c r="L705" s="54" t="str">
        <f t="shared" si="63"/>
        <v/>
      </c>
      <c r="M705" s="38" t="str">
        <f t="shared" si="66"/>
        <v>03B9</v>
      </c>
      <c r="N705" s="69">
        <f t="shared" si="65"/>
        <v>953</v>
      </c>
      <c r="O705" s="96"/>
      <c r="P705" s="97"/>
      <c r="Q705" s="98"/>
      <c r="R705" s="135"/>
      <c r="U705" s="48" t="str">
        <f t="shared" si="64"/>
        <v/>
      </c>
      <c r="V705" s="16"/>
      <c r="W705" s="34"/>
      <c r="X705" s="35"/>
      <c r="Z705" s="74"/>
      <c r="AA705" s="130" t="str" cm="1">
        <f t="array" ref="AA705">HEX2ASCII(AB705)&amp;HEX2ASCII(AC705)&amp;HEX2ASCII(AD705)&amp;HEX2ASCII(AE705)&amp;HEX2ASCII(AF705)&amp;HEX2ASCII(AG705)&amp;HEX2ASCII(AH705)&amp;HEX2ASCII(AI705)</f>
        <v/>
      </c>
      <c r="AB705" s="147"/>
      <c r="AC705" s="148"/>
      <c r="AD705" s="148"/>
      <c r="AE705" s="148"/>
      <c r="AF705" s="148"/>
      <c r="AG705" s="148"/>
      <c r="AH705" s="148"/>
      <c r="AI705" s="149"/>
    </row>
    <row r="706" spans="11:35">
      <c r="K706" s="85"/>
      <c r="L706" s="54" t="str">
        <f t="shared" si="63"/>
        <v/>
      </c>
      <c r="M706" s="38" t="str">
        <f t="shared" si="66"/>
        <v>03BA</v>
      </c>
      <c r="N706" s="69">
        <f t="shared" si="65"/>
        <v>954</v>
      </c>
      <c r="O706" s="96"/>
      <c r="P706" s="97"/>
      <c r="Q706" s="98"/>
      <c r="R706" s="135"/>
      <c r="U706" s="48" t="str">
        <f t="shared" si="64"/>
        <v/>
      </c>
      <c r="V706" s="16"/>
      <c r="W706" s="34"/>
      <c r="X706" s="35"/>
      <c r="Z706" s="74"/>
      <c r="AA706" s="130" t="str" cm="1">
        <f t="array" ref="AA706">HEX2ASCII(AB706)&amp;HEX2ASCII(AC706)&amp;HEX2ASCII(AD706)&amp;HEX2ASCII(AE706)&amp;HEX2ASCII(AF706)&amp;HEX2ASCII(AG706)&amp;HEX2ASCII(AH706)&amp;HEX2ASCII(AI706)</f>
        <v/>
      </c>
      <c r="AB706" s="147"/>
      <c r="AC706" s="148"/>
      <c r="AD706" s="148"/>
      <c r="AE706" s="148"/>
      <c r="AF706" s="148"/>
      <c r="AG706" s="148"/>
      <c r="AH706" s="148"/>
      <c r="AI706" s="149"/>
    </row>
    <row r="707" spans="11:35">
      <c r="K707" s="85"/>
      <c r="L707" s="54" t="str">
        <f t="shared" si="63"/>
        <v/>
      </c>
      <c r="M707" s="38" t="str">
        <f t="shared" si="66"/>
        <v>03BB</v>
      </c>
      <c r="N707" s="69">
        <f t="shared" si="65"/>
        <v>955</v>
      </c>
      <c r="O707" s="96"/>
      <c r="P707" s="97"/>
      <c r="Q707" s="98"/>
      <c r="R707" s="135"/>
      <c r="U707" s="48" t="str">
        <f t="shared" si="64"/>
        <v/>
      </c>
      <c r="V707" s="16"/>
      <c r="W707" s="34"/>
      <c r="X707" s="35"/>
      <c r="Z707" s="74"/>
      <c r="AA707" s="130" t="str" cm="1">
        <f t="array" ref="AA707">HEX2ASCII(AB707)&amp;HEX2ASCII(AC707)&amp;HEX2ASCII(AD707)&amp;HEX2ASCII(AE707)&amp;HEX2ASCII(AF707)&amp;HEX2ASCII(AG707)&amp;HEX2ASCII(AH707)&amp;HEX2ASCII(AI707)</f>
        <v/>
      </c>
      <c r="AB707" s="147"/>
      <c r="AC707" s="148"/>
      <c r="AD707" s="148"/>
      <c r="AE707" s="148"/>
      <c r="AF707" s="148"/>
      <c r="AG707" s="148"/>
      <c r="AH707" s="148"/>
      <c r="AI707" s="149"/>
    </row>
    <row r="708" spans="11:35">
      <c r="K708" s="85"/>
      <c r="L708" s="54" t="str">
        <f t="shared" si="63"/>
        <v/>
      </c>
      <c r="M708" s="38" t="str">
        <f t="shared" si="66"/>
        <v>03BC</v>
      </c>
      <c r="N708" s="69">
        <f t="shared" si="65"/>
        <v>956</v>
      </c>
      <c r="O708" s="96"/>
      <c r="P708" s="97"/>
      <c r="Q708" s="98"/>
      <c r="R708" s="135"/>
      <c r="U708" s="48" t="str">
        <f t="shared" si="64"/>
        <v/>
      </c>
      <c r="V708" s="16"/>
      <c r="W708" s="34"/>
      <c r="X708" s="35"/>
      <c r="Z708" s="74"/>
      <c r="AA708" s="130" t="str" cm="1">
        <f t="array" ref="AA708">HEX2ASCII(AB708)&amp;HEX2ASCII(AC708)&amp;HEX2ASCII(AD708)&amp;HEX2ASCII(AE708)&amp;HEX2ASCII(AF708)&amp;HEX2ASCII(AG708)&amp;HEX2ASCII(AH708)&amp;HEX2ASCII(AI708)</f>
        <v/>
      </c>
      <c r="AB708" s="147"/>
      <c r="AC708" s="148"/>
      <c r="AD708" s="148"/>
      <c r="AE708" s="148"/>
      <c r="AF708" s="148"/>
      <c r="AG708" s="148"/>
      <c r="AH708" s="148"/>
      <c r="AI708" s="149"/>
    </row>
    <row r="709" spans="11:35">
      <c r="K709" s="85"/>
      <c r="L709" s="54" t="str">
        <f t="shared" si="63"/>
        <v/>
      </c>
      <c r="M709" s="38" t="str">
        <f t="shared" si="66"/>
        <v>03BD</v>
      </c>
      <c r="N709" s="69">
        <f t="shared" si="65"/>
        <v>957</v>
      </c>
      <c r="O709" s="96"/>
      <c r="P709" s="97"/>
      <c r="Q709" s="98"/>
      <c r="R709" s="135"/>
      <c r="U709" s="48" t="str">
        <f t="shared" si="64"/>
        <v/>
      </c>
      <c r="V709" s="16"/>
      <c r="W709" s="34"/>
      <c r="X709" s="35"/>
      <c r="Z709" s="74"/>
      <c r="AA709" s="130" t="str" cm="1">
        <f t="array" ref="AA709">HEX2ASCII(AB709)&amp;HEX2ASCII(AC709)&amp;HEX2ASCII(AD709)&amp;HEX2ASCII(AE709)&amp;HEX2ASCII(AF709)&amp;HEX2ASCII(AG709)&amp;HEX2ASCII(AH709)&amp;HEX2ASCII(AI709)</f>
        <v/>
      </c>
      <c r="AB709" s="147"/>
      <c r="AC709" s="148"/>
      <c r="AD709" s="148"/>
      <c r="AE709" s="148"/>
      <c r="AF709" s="148"/>
      <c r="AG709" s="148"/>
      <c r="AH709" s="148"/>
      <c r="AI709" s="149"/>
    </row>
    <row r="710" spans="11:35">
      <c r="K710" s="85"/>
      <c r="L710" s="54" t="str">
        <f t="shared" si="63"/>
        <v/>
      </c>
      <c r="M710" s="38" t="str">
        <f t="shared" si="66"/>
        <v>03BE</v>
      </c>
      <c r="N710" s="69">
        <f t="shared" si="65"/>
        <v>958</v>
      </c>
      <c r="O710" s="96"/>
      <c r="P710" s="97"/>
      <c r="Q710" s="98"/>
      <c r="R710" s="135"/>
      <c r="U710" s="48" t="str">
        <f t="shared" si="64"/>
        <v/>
      </c>
      <c r="V710" s="16"/>
      <c r="W710" s="34"/>
      <c r="X710" s="35"/>
      <c r="Z710" s="74"/>
      <c r="AA710" s="130" t="str" cm="1">
        <f t="array" ref="AA710">HEX2ASCII(AB710)&amp;HEX2ASCII(AC710)&amp;HEX2ASCII(AD710)&amp;HEX2ASCII(AE710)&amp;HEX2ASCII(AF710)&amp;HEX2ASCII(AG710)&amp;HEX2ASCII(AH710)&amp;HEX2ASCII(AI710)</f>
        <v/>
      </c>
      <c r="AB710" s="147"/>
      <c r="AC710" s="148"/>
      <c r="AD710" s="148"/>
      <c r="AE710" s="148"/>
      <c r="AF710" s="148"/>
      <c r="AG710" s="148"/>
      <c r="AH710" s="148"/>
      <c r="AI710" s="149"/>
    </row>
    <row r="711" spans="11:35">
      <c r="K711" s="85"/>
      <c r="L711" s="54" t="str">
        <f t="shared" si="63"/>
        <v/>
      </c>
      <c r="M711" s="38" t="str">
        <f t="shared" si="66"/>
        <v>03BF</v>
      </c>
      <c r="N711" s="69">
        <f t="shared" si="65"/>
        <v>959</v>
      </c>
      <c r="O711" s="96"/>
      <c r="P711" s="97"/>
      <c r="Q711" s="98"/>
      <c r="R711" s="135"/>
      <c r="U711" s="48" t="str">
        <f t="shared" si="64"/>
        <v/>
      </c>
      <c r="V711" s="16"/>
      <c r="W711" s="34"/>
      <c r="X711" s="35"/>
      <c r="Z711" s="74"/>
      <c r="AA711" s="130" t="str" cm="1">
        <f t="array" ref="AA711">HEX2ASCII(AB711)&amp;HEX2ASCII(AC711)&amp;HEX2ASCII(AD711)&amp;HEX2ASCII(AE711)&amp;HEX2ASCII(AF711)&amp;HEX2ASCII(AG711)&amp;HEX2ASCII(AH711)&amp;HEX2ASCII(AI711)</f>
        <v/>
      </c>
      <c r="AB711" s="147"/>
      <c r="AC711" s="148"/>
      <c r="AD711" s="148"/>
      <c r="AE711" s="148"/>
      <c r="AF711" s="148"/>
      <c r="AG711" s="148"/>
      <c r="AH711" s="148"/>
      <c r="AI711" s="149"/>
    </row>
    <row r="712" spans="11:35">
      <c r="K712" s="85"/>
      <c r="L712" s="54" t="str">
        <f t="shared" si="63"/>
        <v/>
      </c>
      <c r="M712" s="38" t="str">
        <f t="shared" si="66"/>
        <v>03C0</v>
      </c>
      <c r="N712" s="69">
        <f t="shared" si="65"/>
        <v>960</v>
      </c>
      <c r="O712" s="96"/>
      <c r="P712" s="97"/>
      <c r="Q712" s="98"/>
      <c r="R712" s="135"/>
      <c r="U712" s="48" t="str">
        <f t="shared" si="64"/>
        <v/>
      </c>
      <c r="V712" s="16"/>
      <c r="W712" s="34"/>
      <c r="X712" s="35"/>
      <c r="Z712" s="74"/>
      <c r="AA712" s="130" t="str" cm="1">
        <f t="array" ref="AA712">HEX2ASCII(AB712)&amp;HEX2ASCII(AC712)&amp;HEX2ASCII(AD712)&amp;HEX2ASCII(AE712)&amp;HEX2ASCII(AF712)&amp;HEX2ASCII(AG712)&amp;HEX2ASCII(AH712)&amp;HEX2ASCII(AI712)</f>
        <v/>
      </c>
      <c r="AB712" s="147"/>
      <c r="AC712" s="148"/>
      <c r="AD712" s="148"/>
      <c r="AE712" s="148"/>
      <c r="AF712" s="148"/>
      <c r="AG712" s="148"/>
      <c r="AH712" s="148"/>
      <c r="AI712" s="149"/>
    </row>
    <row r="713" spans="11:35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03C1</v>
      </c>
      <c r="N713" s="69">
        <f t="shared" si="65"/>
        <v>961</v>
      </c>
      <c r="O713" s="96"/>
      <c r="P713" s="97"/>
      <c r="Q713" s="98"/>
      <c r="R713" s="135"/>
      <c r="U713" s="48" t="str">
        <f t="shared" ref="U713:U776" si="68">IF(V713&gt;0,RIGHT("0000"&amp;DEC2HEX(V713),4),"")</f>
        <v/>
      </c>
      <c r="V713" s="16"/>
      <c r="W713" s="34"/>
      <c r="X713" s="35"/>
      <c r="Z713" s="74"/>
      <c r="AA713" s="130" t="str" cm="1">
        <f t="array" ref="AA713">HEX2ASCII(AB713)&amp;HEX2ASCII(AC713)&amp;HEX2ASCII(AD713)&amp;HEX2ASCII(AE713)&amp;HEX2ASCII(AF713)&amp;HEX2ASCII(AG713)&amp;HEX2ASCII(AH713)&amp;HEX2ASCII(AI713)</f>
        <v/>
      </c>
      <c r="AB713" s="147"/>
      <c r="AC713" s="148"/>
      <c r="AD713" s="148"/>
      <c r="AE713" s="148"/>
      <c r="AF713" s="148"/>
      <c r="AG713" s="148"/>
      <c r="AH713" s="148"/>
      <c r="AI713" s="149"/>
    </row>
    <row r="714" spans="11:35">
      <c r="K714" s="85"/>
      <c r="L714" s="54" t="str">
        <f t="shared" si="67"/>
        <v/>
      </c>
      <c r="M714" s="38" t="str">
        <f t="shared" si="66"/>
        <v>03C2</v>
      </c>
      <c r="N714" s="69">
        <f t="shared" ref="N714:N777" si="69">N713+0*COUNTA(P713:R713)+1</f>
        <v>962</v>
      </c>
      <c r="O714" s="96"/>
      <c r="P714" s="97"/>
      <c r="Q714" s="98"/>
      <c r="R714" s="135"/>
      <c r="U714" s="48" t="str">
        <f t="shared" si="68"/>
        <v/>
      </c>
      <c r="V714" s="16"/>
      <c r="W714" s="34"/>
      <c r="X714" s="35"/>
      <c r="Z714" s="74"/>
      <c r="AA714" s="130" t="str" cm="1">
        <f t="array" ref="AA714">HEX2ASCII(AB714)&amp;HEX2ASCII(AC714)&amp;HEX2ASCII(AD714)&amp;HEX2ASCII(AE714)&amp;HEX2ASCII(AF714)&amp;HEX2ASCII(AG714)&amp;HEX2ASCII(AH714)&amp;HEX2ASCII(AI714)</f>
        <v/>
      </c>
      <c r="AB714" s="147"/>
      <c r="AC714" s="148"/>
      <c r="AD714" s="148"/>
      <c r="AE714" s="148"/>
      <c r="AF714" s="148"/>
      <c r="AG714" s="148"/>
      <c r="AH714" s="148"/>
      <c r="AI714" s="149"/>
    </row>
    <row r="715" spans="11:35">
      <c r="K715" s="85"/>
      <c r="L715" s="54" t="str">
        <f t="shared" si="67"/>
        <v/>
      </c>
      <c r="M715" s="38" t="str">
        <f t="shared" si="66"/>
        <v>03C3</v>
      </c>
      <c r="N715" s="69">
        <f t="shared" si="69"/>
        <v>963</v>
      </c>
      <c r="O715" s="96"/>
      <c r="P715" s="97"/>
      <c r="Q715" s="98"/>
      <c r="R715" s="135"/>
      <c r="U715" s="48" t="str">
        <f t="shared" si="68"/>
        <v/>
      </c>
      <c r="V715" s="16"/>
      <c r="W715" s="34"/>
      <c r="X715" s="35"/>
      <c r="Z715" s="74"/>
      <c r="AA715" s="130" t="str" cm="1">
        <f t="array" ref="AA715">HEX2ASCII(AB715)&amp;HEX2ASCII(AC715)&amp;HEX2ASCII(AD715)&amp;HEX2ASCII(AE715)&amp;HEX2ASCII(AF715)&amp;HEX2ASCII(AG715)&amp;HEX2ASCII(AH715)&amp;HEX2ASCII(AI715)</f>
        <v/>
      </c>
      <c r="AB715" s="147"/>
      <c r="AC715" s="148"/>
      <c r="AD715" s="148"/>
      <c r="AE715" s="148"/>
      <c r="AF715" s="148"/>
      <c r="AG715" s="148"/>
      <c r="AH715" s="148"/>
      <c r="AI715" s="149"/>
    </row>
    <row r="716" spans="11:35">
      <c r="K716" s="85"/>
      <c r="L716" s="54" t="str">
        <f t="shared" si="67"/>
        <v/>
      </c>
      <c r="M716" s="38" t="str">
        <f t="shared" si="66"/>
        <v>03C4</v>
      </c>
      <c r="N716" s="69">
        <f t="shared" si="69"/>
        <v>964</v>
      </c>
      <c r="O716" s="96"/>
      <c r="P716" s="97"/>
      <c r="Q716" s="98"/>
      <c r="R716" s="135"/>
      <c r="U716" s="48" t="str">
        <f t="shared" si="68"/>
        <v/>
      </c>
      <c r="V716" s="16"/>
      <c r="W716" s="34"/>
      <c r="X716" s="35"/>
      <c r="Z716" s="74"/>
      <c r="AA716" s="130" t="str" cm="1">
        <f t="array" ref="AA716">HEX2ASCII(AB716)&amp;HEX2ASCII(AC716)&amp;HEX2ASCII(AD716)&amp;HEX2ASCII(AE716)&amp;HEX2ASCII(AF716)&amp;HEX2ASCII(AG716)&amp;HEX2ASCII(AH716)&amp;HEX2ASCII(AI716)</f>
        <v/>
      </c>
      <c r="AB716" s="147"/>
      <c r="AC716" s="148"/>
      <c r="AD716" s="148"/>
      <c r="AE716" s="148"/>
      <c r="AF716" s="148"/>
      <c r="AG716" s="148"/>
      <c r="AH716" s="148"/>
      <c r="AI716" s="149"/>
    </row>
    <row r="717" spans="11:35">
      <c r="K717" s="85"/>
      <c r="L717" s="54" t="str">
        <f t="shared" si="67"/>
        <v/>
      </c>
      <c r="M717" s="38" t="str">
        <f t="shared" si="66"/>
        <v>03C5</v>
      </c>
      <c r="N717" s="69">
        <f t="shared" si="69"/>
        <v>965</v>
      </c>
      <c r="O717" s="96"/>
      <c r="P717" s="97"/>
      <c r="Q717" s="98"/>
      <c r="R717" s="135"/>
      <c r="U717" s="48" t="str">
        <f t="shared" si="68"/>
        <v/>
      </c>
      <c r="V717" s="16"/>
      <c r="W717" s="34"/>
      <c r="X717" s="35"/>
      <c r="Z717" s="74"/>
      <c r="AA717" s="130" t="str" cm="1">
        <f t="array" ref="AA717">HEX2ASCII(AB717)&amp;HEX2ASCII(AC717)&amp;HEX2ASCII(AD717)&amp;HEX2ASCII(AE717)&amp;HEX2ASCII(AF717)&amp;HEX2ASCII(AG717)&amp;HEX2ASCII(AH717)&amp;HEX2ASCII(AI717)</f>
        <v/>
      </c>
      <c r="AB717" s="147"/>
      <c r="AC717" s="148"/>
      <c r="AD717" s="148"/>
      <c r="AE717" s="148"/>
      <c r="AF717" s="148"/>
      <c r="AG717" s="148"/>
      <c r="AH717" s="148"/>
      <c r="AI717" s="149"/>
    </row>
    <row r="718" spans="11:35">
      <c r="K718" s="85"/>
      <c r="L718" s="54" t="str">
        <f t="shared" si="67"/>
        <v/>
      </c>
      <c r="M718" s="38" t="str">
        <f t="shared" si="66"/>
        <v>03C6</v>
      </c>
      <c r="N718" s="69">
        <f t="shared" si="69"/>
        <v>966</v>
      </c>
      <c r="O718" s="96"/>
      <c r="P718" s="97"/>
      <c r="Q718" s="98"/>
      <c r="R718" s="135"/>
      <c r="U718" s="48" t="str">
        <f t="shared" si="68"/>
        <v/>
      </c>
      <c r="V718" s="16"/>
      <c r="W718" s="34"/>
      <c r="X718" s="35"/>
      <c r="Z718" s="74"/>
      <c r="AA718" s="130" t="str" cm="1">
        <f t="array" ref="AA718">HEX2ASCII(AB718)&amp;HEX2ASCII(AC718)&amp;HEX2ASCII(AD718)&amp;HEX2ASCII(AE718)&amp;HEX2ASCII(AF718)&amp;HEX2ASCII(AG718)&amp;HEX2ASCII(AH718)&amp;HEX2ASCII(AI718)</f>
        <v/>
      </c>
      <c r="AB718" s="147"/>
      <c r="AC718" s="148"/>
      <c r="AD718" s="148"/>
      <c r="AE718" s="148"/>
      <c r="AF718" s="148"/>
      <c r="AG718" s="148"/>
      <c r="AH718" s="148"/>
      <c r="AI718" s="149"/>
    </row>
    <row r="719" spans="11:35">
      <c r="K719" s="85"/>
      <c r="L719" s="54" t="str">
        <f t="shared" si="67"/>
        <v/>
      </c>
      <c r="M719" s="38" t="str">
        <f t="shared" si="66"/>
        <v>03C7</v>
      </c>
      <c r="N719" s="69">
        <f t="shared" si="69"/>
        <v>967</v>
      </c>
      <c r="O719" s="96"/>
      <c r="P719" s="97"/>
      <c r="Q719" s="98"/>
      <c r="R719" s="135"/>
      <c r="U719" s="48" t="str">
        <f t="shared" si="68"/>
        <v/>
      </c>
      <c r="V719" s="16"/>
      <c r="W719" s="34"/>
      <c r="X719" s="35"/>
      <c r="Z719" s="74"/>
      <c r="AA719" s="130" t="str" cm="1">
        <f t="array" ref="AA719">HEX2ASCII(AB719)&amp;HEX2ASCII(AC719)&amp;HEX2ASCII(AD719)&amp;HEX2ASCII(AE719)&amp;HEX2ASCII(AF719)&amp;HEX2ASCII(AG719)&amp;HEX2ASCII(AH719)&amp;HEX2ASCII(AI719)</f>
        <v/>
      </c>
      <c r="AB719" s="147"/>
      <c r="AC719" s="148"/>
      <c r="AD719" s="148"/>
      <c r="AE719" s="148"/>
      <c r="AF719" s="148"/>
      <c r="AG719" s="148"/>
      <c r="AH719" s="148"/>
      <c r="AI719" s="149"/>
    </row>
    <row r="720" spans="11:35">
      <c r="K720" s="85"/>
      <c r="L720" s="54" t="str">
        <f t="shared" si="67"/>
        <v/>
      </c>
      <c r="M720" s="38" t="str">
        <f t="shared" si="66"/>
        <v>03C8</v>
      </c>
      <c r="N720" s="69">
        <f t="shared" si="69"/>
        <v>968</v>
      </c>
      <c r="O720" s="96"/>
      <c r="P720" s="97"/>
      <c r="Q720" s="98"/>
      <c r="R720" s="135"/>
      <c r="U720" s="48" t="str">
        <f t="shared" si="68"/>
        <v/>
      </c>
      <c r="V720" s="16"/>
      <c r="W720" s="34"/>
      <c r="X720" s="35"/>
      <c r="Z720" s="74"/>
      <c r="AA720" s="130" t="str" cm="1">
        <f t="array" ref="AA720">HEX2ASCII(AB720)&amp;HEX2ASCII(AC720)&amp;HEX2ASCII(AD720)&amp;HEX2ASCII(AE720)&amp;HEX2ASCII(AF720)&amp;HEX2ASCII(AG720)&amp;HEX2ASCII(AH720)&amp;HEX2ASCII(AI720)</f>
        <v/>
      </c>
      <c r="AB720" s="147"/>
      <c r="AC720" s="148"/>
      <c r="AD720" s="148"/>
      <c r="AE720" s="148"/>
      <c r="AF720" s="148"/>
      <c r="AG720" s="148"/>
      <c r="AH720" s="148"/>
      <c r="AI720" s="149"/>
    </row>
    <row r="721" spans="11:35">
      <c r="K721" s="85"/>
      <c r="L721" s="54" t="str">
        <f t="shared" si="67"/>
        <v/>
      </c>
      <c r="M721" s="38" t="str">
        <f t="shared" si="66"/>
        <v>03C9</v>
      </c>
      <c r="N721" s="69">
        <f t="shared" si="69"/>
        <v>969</v>
      </c>
      <c r="O721" s="96"/>
      <c r="P721" s="97"/>
      <c r="Q721" s="98"/>
      <c r="R721" s="135"/>
      <c r="U721" s="48" t="str">
        <f t="shared" si="68"/>
        <v/>
      </c>
      <c r="V721" s="16"/>
      <c r="W721" s="34"/>
      <c r="X721" s="35"/>
      <c r="Z721" s="74"/>
      <c r="AA721" s="130" t="str" cm="1">
        <f t="array" ref="AA721">HEX2ASCII(AB721)&amp;HEX2ASCII(AC721)&amp;HEX2ASCII(AD721)&amp;HEX2ASCII(AE721)&amp;HEX2ASCII(AF721)&amp;HEX2ASCII(AG721)&amp;HEX2ASCII(AH721)&amp;HEX2ASCII(AI721)</f>
        <v/>
      </c>
      <c r="AB721" s="147"/>
      <c r="AC721" s="148"/>
      <c r="AD721" s="148"/>
      <c r="AE721" s="148"/>
      <c r="AF721" s="148"/>
      <c r="AG721" s="148"/>
      <c r="AH721" s="148"/>
      <c r="AI721" s="149"/>
    </row>
    <row r="722" spans="11:35">
      <c r="K722" s="85"/>
      <c r="L722" s="54" t="str">
        <f t="shared" si="67"/>
        <v/>
      </c>
      <c r="M722" s="38" t="str">
        <f t="shared" si="66"/>
        <v>03CA</v>
      </c>
      <c r="N722" s="69">
        <f t="shared" si="69"/>
        <v>970</v>
      </c>
      <c r="O722" s="96"/>
      <c r="P722" s="97"/>
      <c r="Q722" s="98"/>
      <c r="R722" s="135"/>
      <c r="U722" s="48" t="str">
        <f t="shared" si="68"/>
        <v/>
      </c>
      <c r="V722" s="16"/>
      <c r="W722" s="34"/>
      <c r="X722" s="35"/>
      <c r="Z722" s="74"/>
      <c r="AA722" s="130" t="str" cm="1">
        <f t="array" ref="AA722">HEX2ASCII(AB722)&amp;HEX2ASCII(AC722)&amp;HEX2ASCII(AD722)&amp;HEX2ASCII(AE722)&amp;HEX2ASCII(AF722)&amp;HEX2ASCII(AG722)&amp;HEX2ASCII(AH722)&amp;HEX2ASCII(AI722)</f>
        <v/>
      </c>
      <c r="AB722" s="147"/>
      <c r="AC722" s="148"/>
      <c r="AD722" s="148"/>
      <c r="AE722" s="148"/>
      <c r="AF722" s="148"/>
      <c r="AG722" s="148"/>
      <c r="AH722" s="148"/>
      <c r="AI722" s="149"/>
    </row>
    <row r="723" spans="11:35">
      <c r="K723" s="85"/>
      <c r="L723" s="54" t="str">
        <f t="shared" si="67"/>
        <v/>
      </c>
      <c r="M723" s="38" t="str">
        <f t="shared" si="66"/>
        <v>03CB</v>
      </c>
      <c r="N723" s="69">
        <f t="shared" si="69"/>
        <v>971</v>
      </c>
      <c r="O723" s="96"/>
      <c r="P723" s="97"/>
      <c r="Q723" s="98"/>
      <c r="R723" s="135"/>
      <c r="U723" s="48" t="str">
        <f t="shared" si="68"/>
        <v/>
      </c>
      <c r="V723" s="16"/>
      <c r="W723" s="34"/>
      <c r="X723" s="35"/>
      <c r="Z723" s="74"/>
      <c r="AA723" s="130" t="str" cm="1">
        <f t="array" ref="AA723">HEX2ASCII(AB723)&amp;HEX2ASCII(AC723)&amp;HEX2ASCII(AD723)&amp;HEX2ASCII(AE723)&amp;HEX2ASCII(AF723)&amp;HEX2ASCII(AG723)&amp;HEX2ASCII(AH723)&amp;HEX2ASCII(AI723)</f>
        <v/>
      </c>
      <c r="AB723" s="147"/>
      <c r="AC723" s="148"/>
      <c r="AD723" s="148"/>
      <c r="AE723" s="148"/>
      <c r="AF723" s="148"/>
      <c r="AG723" s="148"/>
      <c r="AH723" s="148"/>
      <c r="AI723" s="149"/>
    </row>
    <row r="724" spans="11:35">
      <c r="K724" s="85"/>
      <c r="L724" s="54" t="str">
        <f t="shared" si="67"/>
        <v/>
      </c>
      <c r="M724" s="38" t="str">
        <f t="shared" si="66"/>
        <v>03CC</v>
      </c>
      <c r="N724" s="69">
        <f t="shared" si="69"/>
        <v>972</v>
      </c>
      <c r="O724" s="96"/>
      <c r="P724" s="97"/>
      <c r="Q724" s="98"/>
      <c r="R724" s="135"/>
      <c r="U724" s="48" t="str">
        <f t="shared" si="68"/>
        <v/>
      </c>
      <c r="V724" s="16"/>
      <c r="W724" s="34"/>
      <c r="X724" s="35"/>
      <c r="Z724" s="74"/>
      <c r="AA724" s="130" t="str" cm="1">
        <f t="array" ref="AA724">HEX2ASCII(AB724)&amp;HEX2ASCII(AC724)&amp;HEX2ASCII(AD724)&amp;HEX2ASCII(AE724)&amp;HEX2ASCII(AF724)&amp;HEX2ASCII(AG724)&amp;HEX2ASCII(AH724)&amp;HEX2ASCII(AI724)</f>
        <v/>
      </c>
      <c r="AB724" s="147"/>
      <c r="AC724" s="148"/>
      <c r="AD724" s="148"/>
      <c r="AE724" s="148"/>
      <c r="AF724" s="148"/>
      <c r="AG724" s="148"/>
      <c r="AH724" s="148"/>
      <c r="AI724" s="149"/>
    </row>
    <row r="725" spans="11:35">
      <c r="K725" s="85"/>
      <c r="L725" s="54" t="str">
        <f t="shared" si="67"/>
        <v/>
      </c>
      <c r="M725" s="38" t="str">
        <f t="shared" si="66"/>
        <v>03CD</v>
      </c>
      <c r="N725" s="69">
        <f t="shared" si="69"/>
        <v>973</v>
      </c>
      <c r="O725" s="96"/>
      <c r="P725" s="97"/>
      <c r="Q725" s="98"/>
      <c r="R725" s="135"/>
      <c r="U725" s="48" t="str">
        <f t="shared" si="68"/>
        <v/>
      </c>
      <c r="V725" s="16"/>
      <c r="W725" s="34"/>
      <c r="X725" s="35"/>
      <c r="Z725" s="74"/>
      <c r="AA725" s="130" t="str" cm="1">
        <f t="array" ref="AA725">HEX2ASCII(AB725)&amp;HEX2ASCII(AC725)&amp;HEX2ASCII(AD725)&amp;HEX2ASCII(AE725)&amp;HEX2ASCII(AF725)&amp;HEX2ASCII(AG725)&amp;HEX2ASCII(AH725)&amp;HEX2ASCII(AI725)</f>
        <v/>
      </c>
      <c r="AB725" s="147"/>
      <c r="AC725" s="148"/>
      <c r="AD725" s="148"/>
      <c r="AE725" s="148"/>
      <c r="AF725" s="148"/>
      <c r="AG725" s="148"/>
      <c r="AH725" s="148"/>
      <c r="AI725" s="149"/>
    </row>
    <row r="726" spans="11:35">
      <c r="K726" s="85"/>
      <c r="L726" s="54" t="str">
        <f t="shared" si="67"/>
        <v/>
      </c>
      <c r="M726" s="38" t="str">
        <f t="shared" si="66"/>
        <v>03CE</v>
      </c>
      <c r="N726" s="69">
        <f t="shared" si="69"/>
        <v>974</v>
      </c>
      <c r="O726" s="96"/>
      <c r="P726" s="97"/>
      <c r="Q726" s="98"/>
      <c r="R726" s="135"/>
      <c r="U726" s="48" t="str">
        <f t="shared" si="68"/>
        <v/>
      </c>
      <c r="V726" s="16"/>
      <c r="W726" s="34"/>
      <c r="X726" s="35"/>
      <c r="Z726" s="74"/>
      <c r="AA726" s="130" t="str" cm="1">
        <f t="array" ref="AA726">HEX2ASCII(AB726)&amp;HEX2ASCII(AC726)&amp;HEX2ASCII(AD726)&amp;HEX2ASCII(AE726)&amp;HEX2ASCII(AF726)&amp;HEX2ASCII(AG726)&amp;HEX2ASCII(AH726)&amp;HEX2ASCII(AI726)</f>
        <v/>
      </c>
      <c r="AB726" s="147"/>
      <c r="AC726" s="148"/>
      <c r="AD726" s="148"/>
      <c r="AE726" s="148"/>
      <c r="AF726" s="148"/>
      <c r="AG726" s="148"/>
      <c r="AH726" s="148"/>
      <c r="AI726" s="149"/>
    </row>
    <row r="727" spans="11:35">
      <c r="K727" s="85"/>
      <c r="L727" s="54" t="str">
        <f t="shared" si="67"/>
        <v/>
      </c>
      <c r="M727" s="38" t="str">
        <f t="shared" si="66"/>
        <v>03CF</v>
      </c>
      <c r="N727" s="69">
        <f t="shared" si="69"/>
        <v>975</v>
      </c>
      <c r="O727" s="96"/>
      <c r="P727" s="97"/>
      <c r="Q727" s="98"/>
      <c r="R727" s="135"/>
      <c r="U727" s="48" t="str">
        <f t="shared" si="68"/>
        <v/>
      </c>
      <c r="V727" s="16"/>
      <c r="W727" s="34"/>
      <c r="X727" s="35"/>
      <c r="Z727" s="74"/>
      <c r="AA727" s="130" t="str" cm="1">
        <f t="array" ref="AA727">HEX2ASCII(AB727)&amp;HEX2ASCII(AC727)&amp;HEX2ASCII(AD727)&amp;HEX2ASCII(AE727)&amp;HEX2ASCII(AF727)&amp;HEX2ASCII(AG727)&amp;HEX2ASCII(AH727)&amp;HEX2ASCII(AI727)</f>
        <v/>
      </c>
      <c r="AB727" s="147"/>
      <c r="AC727" s="148"/>
      <c r="AD727" s="148"/>
      <c r="AE727" s="148"/>
      <c r="AF727" s="148"/>
      <c r="AG727" s="148"/>
      <c r="AH727" s="148"/>
      <c r="AI727" s="149"/>
    </row>
    <row r="728" spans="11:35">
      <c r="K728" s="85"/>
      <c r="L728" s="54" t="str">
        <f t="shared" si="67"/>
        <v/>
      </c>
      <c r="M728" s="38" t="str">
        <f t="shared" si="66"/>
        <v>03D0</v>
      </c>
      <c r="N728" s="69">
        <f t="shared" si="69"/>
        <v>976</v>
      </c>
      <c r="O728" s="96"/>
      <c r="P728" s="97"/>
      <c r="Q728" s="98"/>
      <c r="R728" s="135"/>
      <c r="U728" s="48" t="str">
        <f t="shared" si="68"/>
        <v/>
      </c>
      <c r="V728" s="16"/>
      <c r="W728" s="34"/>
      <c r="X728" s="35"/>
      <c r="Z728" s="74"/>
      <c r="AA728" s="130" t="str" cm="1">
        <f t="array" ref="AA728">HEX2ASCII(AB728)&amp;HEX2ASCII(AC728)&amp;HEX2ASCII(AD728)&amp;HEX2ASCII(AE728)&amp;HEX2ASCII(AF728)&amp;HEX2ASCII(AG728)&amp;HEX2ASCII(AH728)&amp;HEX2ASCII(AI728)</f>
        <v/>
      </c>
      <c r="AB728" s="147"/>
      <c r="AC728" s="148"/>
      <c r="AD728" s="148"/>
      <c r="AE728" s="148"/>
      <c r="AF728" s="148"/>
      <c r="AG728" s="148"/>
      <c r="AH728" s="148"/>
      <c r="AI728" s="149"/>
    </row>
    <row r="729" spans="11:35">
      <c r="K729" s="85"/>
      <c r="L729" s="54" t="str">
        <f t="shared" si="67"/>
        <v/>
      </c>
      <c r="M729" s="38" t="str">
        <f t="shared" si="66"/>
        <v>03D1</v>
      </c>
      <c r="N729" s="69">
        <f t="shared" si="69"/>
        <v>977</v>
      </c>
      <c r="O729" s="96"/>
      <c r="P729" s="97"/>
      <c r="Q729" s="98"/>
      <c r="R729" s="135"/>
      <c r="U729" s="48" t="str">
        <f t="shared" si="68"/>
        <v/>
      </c>
      <c r="V729" s="16"/>
      <c r="W729" s="34"/>
      <c r="X729" s="35"/>
      <c r="Z729" s="74"/>
      <c r="AA729" s="130" t="str" cm="1">
        <f t="array" ref="AA729">HEX2ASCII(AB729)&amp;HEX2ASCII(AC729)&amp;HEX2ASCII(AD729)&amp;HEX2ASCII(AE729)&amp;HEX2ASCII(AF729)&amp;HEX2ASCII(AG729)&amp;HEX2ASCII(AH729)&amp;HEX2ASCII(AI729)</f>
        <v/>
      </c>
      <c r="AB729" s="147"/>
      <c r="AC729" s="148"/>
      <c r="AD729" s="148"/>
      <c r="AE729" s="148"/>
      <c r="AF729" s="148"/>
      <c r="AG729" s="148"/>
      <c r="AH729" s="148"/>
      <c r="AI729" s="149"/>
    </row>
    <row r="730" spans="11:35">
      <c r="K730" s="85"/>
      <c r="L730" s="54" t="str">
        <f t="shared" si="67"/>
        <v/>
      </c>
      <c r="M730" s="38" t="str">
        <f t="shared" si="66"/>
        <v>03D2</v>
      </c>
      <c r="N730" s="69">
        <f t="shared" si="69"/>
        <v>978</v>
      </c>
      <c r="O730" s="96"/>
      <c r="P730" s="97"/>
      <c r="Q730" s="98"/>
      <c r="R730" s="135"/>
      <c r="U730" s="48" t="str">
        <f t="shared" si="68"/>
        <v/>
      </c>
      <c r="V730" s="16"/>
      <c r="W730" s="34"/>
      <c r="X730" s="35"/>
      <c r="Z730" s="74"/>
      <c r="AA730" s="130" t="str" cm="1">
        <f t="array" ref="AA730">HEX2ASCII(AB730)&amp;HEX2ASCII(AC730)&amp;HEX2ASCII(AD730)&amp;HEX2ASCII(AE730)&amp;HEX2ASCII(AF730)&amp;HEX2ASCII(AG730)&amp;HEX2ASCII(AH730)&amp;HEX2ASCII(AI730)</f>
        <v/>
      </c>
      <c r="AB730" s="147"/>
      <c r="AC730" s="148"/>
      <c r="AD730" s="148"/>
      <c r="AE730" s="148"/>
      <c r="AF730" s="148"/>
      <c r="AG730" s="148"/>
      <c r="AH730" s="148"/>
      <c r="AI730" s="149"/>
    </row>
    <row r="731" spans="11:35">
      <c r="K731" s="85"/>
      <c r="L731" s="54" t="str">
        <f t="shared" si="67"/>
        <v/>
      </c>
      <c r="M731" s="38" t="str">
        <f t="shared" si="66"/>
        <v>03D3</v>
      </c>
      <c r="N731" s="69">
        <f t="shared" si="69"/>
        <v>979</v>
      </c>
      <c r="O731" s="96"/>
      <c r="P731" s="97"/>
      <c r="Q731" s="98"/>
      <c r="R731" s="135"/>
      <c r="U731" s="48" t="str">
        <f t="shared" si="68"/>
        <v/>
      </c>
      <c r="V731" s="16"/>
      <c r="W731" s="34"/>
      <c r="X731" s="35"/>
      <c r="Z731" s="74"/>
      <c r="AA731" s="130" t="str" cm="1">
        <f t="array" ref="AA731">HEX2ASCII(AB731)&amp;HEX2ASCII(AC731)&amp;HEX2ASCII(AD731)&amp;HEX2ASCII(AE731)&amp;HEX2ASCII(AF731)&amp;HEX2ASCII(AG731)&amp;HEX2ASCII(AH731)&amp;HEX2ASCII(AI731)</f>
        <v/>
      </c>
      <c r="AB731" s="147"/>
      <c r="AC731" s="148"/>
      <c r="AD731" s="148"/>
      <c r="AE731" s="148"/>
      <c r="AF731" s="148"/>
      <c r="AG731" s="148"/>
      <c r="AH731" s="148"/>
      <c r="AI731" s="149"/>
    </row>
    <row r="732" spans="11:35">
      <c r="K732" s="85"/>
      <c r="L732" s="54" t="str">
        <f t="shared" si="67"/>
        <v/>
      </c>
      <c r="M732" s="38" t="str">
        <f t="shared" si="66"/>
        <v>03D4</v>
      </c>
      <c r="N732" s="69">
        <f t="shared" si="69"/>
        <v>980</v>
      </c>
      <c r="O732" s="96"/>
      <c r="P732" s="97"/>
      <c r="Q732" s="98"/>
      <c r="R732" s="135"/>
      <c r="U732" s="48" t="str">
        <f t="shared" si="68"/>
        <v/>
      </c>
      <c r="V732" s="16"/>
      <c r="W732" s="34"/>
      <c r="X732" s="35"/>
      <c r="Z732" s="74"/>
      <c r="AA732" s="130" t="str" cm="1">
        <f t="array" ref="AA732">HEX2ASCII(AB732)&amp;HEX2ASCII(AC732)&amp;HEX2ASCII(AD732)&amp;HEX2ASCII(AE732)&amp;HEX2ASCII(AF732)&amp;HEX2ASCII(AG732)&amp;HEX2ASCII(AH732)&amp;HEX2ASCII(AI732)</f>
        <v/>
      </c>
      <c r="AB732" s="147"/>
      <c r="AC732" s="148"/>
      <c r="AD732" s="148"/>
      <c r="AE732" s="148"/>
      <c r="AF732" s="148"/>
      <c r="AG732" s="148"/>
      <c r="AH732" s="148"/>
      <c r="AI732" s="149"/>
    </row>
    <row r="733" spans="11:35">
      <c r="K733" s="85"/>
      <c r="L733" s="54" t="str">
        <f t="shared" si="67"/>
        <v/>
      </c>
      <c r="M733" s="38" t="str">
        <f t="shared" ref="M733:M796" si="70">IFERROR(RIGHT("0000"&amp;DEC2HEX(N733),4),"")</f>
        <v>03D5</v>
      </c>
      <c r="N733" s="69">
        <f t="shared" si="69"/>
        <v>981</v>
      </c>
      <c r="O733" s="96"/>
      <c r="P733" s="97"/>
      <c r="Q733" s="98"/>
      <c r="R733" s="135"/>
      <c r="U733" s="48" t="str">
        <f t="shared" si="68"/>
        <v/>
      </c>
      <c r="V733" s="16"/>
      <c r="W733" s="34"/>
      <c r="X733" s="35"/>
      <c r="Z733" s="74"/>
      <c r="AA733" s="130" t="str" cm="1">
        <f t="array" ref="AA733">HEX2ASCII(AB733)&amp;HEX2ASCII(AC733)&amp;HEX2ASCII(AD733)&amp;HEX2ASCII(AE733)&amp;HEX2ASCII(AF733)&amp;HEX2ASCII(AG733)&amp;HEX2ASCII(AH733)&amp;HEX2ASCII(AI733)</f>
        <v/>
      </c>
      <c r="AB733" s="147"/>
      <c r="AC733" s="148"/>
      <c r="AD733" s="148"/>
      <c r="AE733" s="148"/>
      <c r="AF733" s="148"/>
      <c r="AG733" s="148"/>
      <c r="AH733" s="148"/>
      <c r="AI733" s="149"/>
    </row>
    <row r="734" spans="11:35">
      <c r="K734" s="85"/>
      <c r="L734" s="54" t="str">
        <f t="shared" si="67"/>
        <v/>
      </c>
      <c r="M734" s="38" t="str">
        <f t="shared" si="70"/>
        <v>03D6</v>
      </c>
      <c r="N734" s="69">
        <f t="shared" si="69"/>
        <v>982</v>
      </c>
      <c r="O734" s="96"/>
      <c r="P734" s="97"/>
      <c r="Q734" s="98"/>
      <c r="R734" s="135"/>
      <c r="U734" s="48" t="str">
        <f t="shared" si="68"/>
        <v/>
      </c>
      <c r="V734" s="16"/>
      <c r="W734" s="34"/>
      <c r="X734" s="35"/>
      <c r="Z734" s="74"/>
      <c r="AA734" s="130" t="str" cm="1">
        <f t="array" ref="AA734">HEX2ASCII(AB734)&amp;HEX2ASCII(AC734)&amp;HEX2ASCII(AD734)&amp;HEX2ASCII(AE734)&amp;HEX2ASCII(AF734)&amp;HEX2ASCII(AG734)&amp;HEX2ASCII(AH734)&amp;HEX2ASCII(AI734)</f>
        <v/>
      </c>
      <c r="AB734" s="147"/>
      <c r="AC734" s="148"/>
      <c r="AD734" s="148"/>
      <c r="AE734" s="148"/>
      <c r="AF734" s="148"/>
      <c r="AG734" s="148"/>
      <c r="AH734" s="148"/>
      <c r="AI734" s="149"/>
    </row>
    <row r="735" spans="11:35">
      <c r="K735" s="85"/>
      <c r="L735" s="54" t="str">
        <f t="shared" si="67"/>
        <v/>
      </c>
      <c r="M735" s="38" t="str">
        <f t="shared" si="70"/>
        <v>03D7</v>
      </c>
      <c r="N735" s="69">
        <f t="shared" si="69"/>
        <v>983</v>
      </c>
      <c r="O735" s="96"/>
      <c r="P735" s="97"/>
      <c r="Q735" s="98"/>
      <c r="R735" s="135"/>
      <c r="U735" s="48" t="str">
        <f t="shared" si="68"/>
        <v/>
      </c>
      <c r="V735" s="16"/>
      <c r="W735" s="34"/>
      <c r="X735" s="35"/>
      <c r="Z735" s="74"/>
      <c r="AA735" s="130" t="str" cm="1">
        <f t="array" ref="AA735">HEX2ASCII(AB735)&amp;HEX2ASCII(AC735)&amp;HEX2ASCII(AD735)&amp;HEX2ASCII(AE735)&amp;HEX2ASCII(AF735)&amp;HEX2ASCII(AG735)&amp;HEX2ASCII(AH735)&amp;HEX2ASCII(AI735)</f>
        <v/>
      </c>
      <c r="AB735" s="147"/>
      <c r="AC735" s="148"/>
      <c r="AD735" s="148"/>
      <c r="AE735" s="148"/>
      <c r="AF735" s="148"/>
      <c r="AG735" s="148"/>
      <c r="AH735" s="148"/>
      <c r="AI735" s="149"/>
    </row>
    <row r="736" spans="11:35">
      <c r="K736" s="85"/>
      <c r="L736" s="54" t="str">
        <f t="shared" si="67"/>
        <v/>
      </c>
      <c r="M736" s="38" t="str">
        <f t="shared" si="70"/>
        <v>03D8</v>
      </c>
      <c r="N736" s="69">
        <f t="shared" si="69"/>
        <v>984</v>
      </c>
      <c r="O736" s="96"/>
      <c r="P736" s="97"/>
      <c r="Q736" s="98"/>
      <c r="R736" s="135"/>
      <c r="U736" s="48" t="str">
        <f t="shared" si="68"/>
        <v/>
      </c>
      <c r="V736" s="16"/>
      <c r="W736" s="34"/>
      <c r="X736" s="35"/>
      <c r="Z736" s="74"/>
      <c r="AA736" s="130" t="str" cm="1">
        <f t="array" ref="AA736">HEX2ASCII(AB736)&amp;HEX2ASCII(AC736)&amp;HEX2ASCII(AD736)&amp;HEX2ASCII(AE736)&amp;HEX2ASCII(AF736)&amp;HEX2ASCII(AG736)&amp;HEX2ASCII(AH736)&amp;HEX2ASCII(AI736)</f>
        <v/>
      </c>
      <c r="AB736" s="147"/>
      <c r="AC736" s="148"/>
      <c r="AD736" s="148"/>
      <c r="AE736" s="148"/>
      <c r="AF736" s="148"/>
      <c r="AG736" s="148"/>
      <c r="AH736" s="148"/>
      <c r="AI736" s="149"/>
    </row>
    <row r="737" spans="11:35">
      <c r="K737" s="85"/>
      <c r="L737" s="54" t="str">
        <f t="shared" si="67"/>
        <v/>
      </c>
      <c r="M737" s="38" t="str">
        <f t="shared" si="70"/>
        <v>03D9</v>
      </c>
      <c r="N737" s="69">
        <f t="shared" si="69"/>
        <v>985</v>
      </c>
      <c r="O737" s="96"/>
      <c r="P737" s="97"/>
      <c r="Q737" s="98"/>
      <c r="R737" s="135"/>
      <c r="U737" s="48" t="str">
        <f t="shared" si="68"/>
        <v/>
      </c>
      <c r="V737" s="16"/>
      <c r="W737" s="34"/>
      <c r="X737" s="35"/>
      <c r="Z737" s="74"/>
      <c r="AA737" s="130" t="str" cm="1">
        <f t="array" ref="AA737">HEX2ASCII(AB737)&amp;HEX2ASCII(AC737)&amp;HEX2ASCII(AD737)&amp;HEX2ASCII(AE737)&amp;HEX2ASCII(AF737)&amp;HEX2ASCII(AG737)&amp;HEX2ASCII(AH737)&amp;HEX2ASCII(AI737)</f>
        <v/>
      </c>
      <c r="AB737" s="147"/>
      <c r="AC737" s="148"/>
      <c r="AD737" s="148"/>
      <c r="AE737" s="148"/>
      <c r="AF737" s="148"/>
      <c r="AG737" s="148"/>
      <c r="AH737" s="148"/>
      <c r="AI737" s="149"/>
    </row>
    <row r="738" spans="11:35">
      <c r="K738" s="85"/>
      <c r="L738" s="54" t="str">
        <f t="shared" si="67"/>
        <v/>
      </c>
      <c r="M738" s="38" t="str">
        <f t="shared" si="70"/>
        <v>03DA</v>
      </c>
      <c r="N738" s="69">
        <f t="shared" si="69"/>
        <v>986</v>
      </c>
      <c r="O738" s="96"/>
      <c r="P738" s="97"/>
      <c r="Q738" s="98"/>
      <c r="R738" s="135"/>
      <c r="U738" s="48" t="str">
        <f t="shared" si="68"/>
        <v/>
      </c>
      <c r="V738" s="16"/>
      <c r="W738" s="34"/>
      <c r="X738" s="35"/>
      <c r="Z738" s="74"/>
      <c r="AA738" s="130" t="str" cm="1">
        <f t="array" ref="AA738">HEX2ASCII(AB738)&amp;HEX2ASCII(AC738)&amp;HEX2ASCII(AD738)&amp;HEX2ASCII(AE738)&amp;HEX2ASCII(AF738)&amp;HEX2ASCII(AG738)&amp;HEX2ASCII(AH738)&amp;HEX2ASCII(AI738)</f>
        <v/>
      </c>
      <c r="AB738" s="147"/>
      <c r="AC738" s="148"/>
      <c r="AD738" s="148"/>
      <c r="AE738" s="148"/>
      <c r="AF738" s="148"/>
      <c r="AG738" s="148"/>
      <c r="AH738" s="148"/>
      <c r="AI738" s="149"/>
    </row>
    <row r="739" spans="11:35">
      <c r="K739" s="85"/>
      <c r="L739" s="54" t="str">
        <f t="shared" si="67"/>
        <v/>
      </c>
      <c r="M739" s="38" t="str">
        <f t="shared" si="70"/>
        <v>03DB</v>
      </c>
      <c r="N739" s="69">
        <f t="shared" si="69"/>
        <v>987</v>
      </c>
      <c r="O739" s="96"/>
      <c r="P739" s="97"/>
      <c r="Q739" s="98"/>
      <c r="R739" s="135"/>
      <c r="U739" s="48" t="str">
        <f t="shared" si="68"/>
        <v/>
      </c>
      <c r="V739" s="16"/>
      <c r="W739" s="34"/>
      <c r="X739" s="35"/>
      <c r="Z739" s="74"/>
      <c r="AA739" s="130" t="str" cm="1">
        <f t="array" ref="AA739">HEX2ASCII(AB739)&amp;HEX2ASCII(AC739)&amp;HEX2ASCII(AD739)&amp;HEX2ASCII(AE739)&amp;HEX2ASCII(AF739)&amp;HEX2ASCII(AG739)&amp;HEX2ASCII(AH739)&amp;HEX2ASCII(AI739)</f>
        <v/>
      </c>
      <c r="AB739" s="147"/>
      <c r="AC739" s="148"/>
      <c r="AD739" s="148"/>
      <c r="AE739" s="148"/>
      <c r="AF739" s="148"/>
      <c r="AG739" s="148"/>
      <c r="AH739" s="148"/>
      <c r="AI739" s="149"/>
    </row>
    <row r="740" spans="11:35">
      <c r="K740" s="85"/>
      <c r="L740" s="54" t="str">
        <f t="shared" si="67"/>
        <v/>
      </c>
      <c r="M740" s="38" t="str">
        <f t="shared" si="70"/>
        <v>03DC</v>
      </c>
      <c r="N740" s="69">
        <f t="shared" si="69"/>
        <v>988</v>
      </c>
      <c r="O740" s="96"/>
      <c r="P740" s="97"/>
      <c r="Q740" s="98"/>
      <c r="R740" s="135"/>
      <c r="U740" s="48" t="str">
        <f t="shared" si="68"/>
        <v/>
      </c>
      <c r="V740" s="16"/>
      <c r="W740" s="34"/>
      <c r="X740" s="35"/>
      <c r="Z740" s="74"/>
      <c r="AA740" s="130" t="str" cm="1">
        <f t="array" ref="AA740">HEX2ASCII(AB740)&amp;HEX2ASCII(AC740)&amp;HEX2ASCII(AD740)&amp;HEX2ASCII(AE740)&amp;HEX2ASCII(AF740)&amp;HEX2ASCII(AG740)&amp;HEX2ASCII(AH740)&amp;HEX2ASCII(AI740)</f>
        <v/>
      </c>
      <c r="AB740" s="147"/>
      <c r="AC740" s="148"/>
      <c r="AD740" s="148"/>
      <c r="AE740" s="148"/>
      <c r="AF740" s="148"/>
      <c r="AG740" s="148"/>
      <c r="AH740" s="148"/>
      <c r="AI740" s="149"/>
    </row>
    <row r="741" spans="11:35">
      <c r="K741" s="85"/>
      <c r="L741" s="54" t="str">
        <f t="shared" si="67"/>
        <v/>
      </c>
      <c r="M741" s="38" t="str">
        <f t="shared" si="70"/>
        <v>03DD</v>
      </c>
      <c r="N741" s="69">
        <f t="shared" si="69"/>
        <v>989</v>
      </c>
      <c r="O741" s="96"/>
      <c r="P741" s="97"/>
      <c r="Q741" s="98"/>
      <c r="R741" s="135"/>
      <c r="U741" s="48" t="str">
        <f t="shared" si="68"/>
        <v/>
      </c>
      <c r="V741" s="16"/>
      <c r="W741" s="34"/>
      <c r="X741" s="35"/>
      <c r="Z741" s="74"/>
      <c r="AA741" s="130" t="str" cm="1">
        <f t="array" ref="AA741">HEX2ASCII(AB741)&amp;HEX2ASCII(AC741)&amp;HEX2ASCII(AD741)&amp;HEX2ASCII(AE741)&amp;HEX2ASCII(AF741)&amp;HEX2ASCII(AG741)&amp;HEX2ASCII(AH741)&amp;HEX2ASCII(AI741)</f>
        <v/>
      </c>
      <c r="AB741" s="147"/>
      <c r="AC741" s="148"/>
      <c r="AD741" s="148"/>
      <c r="AE741" s="148"/>
      <c r="AF741" s="148"/>
      <c r="AG741" s="148"/>
      <c r="AH741" s="148"/>
      <c r="AI741" s="149"/>
    </row>
    <row r="742" spans="11:35">
      <c r="K742" s="85"/>
      <c r="L742" s="54" t="str">
        <f t="shared" si="67"/>
        <v/>
      </c>
      <c r="M742" s="38" t="str">
        <f t="shared" si="70"/>
        <v>03DE</v>
      </c>
      <c r="N742" s="69">
        <f t="shared" si="69"/>
        <v>990</v>
      </c>
      <c r="O742" s="96"/>
      <c r="P742" s="97"/>
      <c r="Q742" s="98"/>
      <c r="R742" s="135"/>
      <c r="U742" s="48" t="str">
        <f t="shared" si="68"/>
        <v/>
      </c>
      <c r="V742" s="16"/>
      <c r="W742" s="34"/>
      <c r="X742" s="35"/>
      <c r="Z742" s="74"/>
      <c r="AA742" s="130" t="str" cm="1">
        <f t="array" ref="AA742">HEX2ASCII(AB742)&amp;HEX2ASCII(AC742)&amp;HEX2ASCII(AD742)&amp;HEX2ASCII(AE742)&amp;HEX2ASCII(AF742)&amp;HEX2ASCII(AG742)&amp;HEX2ASCII(AH742)&amp;HEX2ASCII(AI742)</f>
        <v/>
      </c>
      <c r="AB742" s="147"/>
      <c r="AC742" s="148"/>
      <c r="AD742" s="148"/>
      <c r="AE742" s="148"/>
      <c r="AF742" s="148"/>
      <c r="AG742" s="148"/>
      <c r="AH742" s="148"/>
      <c r="AI742" s="149"/>
    </row>
    <row r="743" spans="11:35">
      <c r="K743" s="85"/>
      <c r="L743" s="54" t="str">
        <f t="shared" si="67"/>
        <v/>
      </c>
      <c r="M743" s="38" t="str">
        <f t="shared" si="70"/>
        <v>03DF</v>
      </c>
      <c r="N743" s="69">
        <f t="shared" si="69"/>
        <v>991</v>
      </c>
      <c r="O743" s="96"/>
      <c r="P743" s="97"/>
      <c r="Q743" s="98"/>
      <c r="R743" s="135"/>
      <c r="U743" s="48" t="str">
        <f t="shared" si="68"/>
        <v/>
      </c>
      <c r="V743" s="16"/>
      <c r="W743" s="34"/>
      <c r="X743" s="35"/>
      <c r="Z743" s="74"/>
      <c r="AA743" s="130" t="str" cm="1">
        <f t="array" ref="AA743">HEX2ASCII(AB743)&amp;HEX2ASCII(AC743)&amp;HEX2ASCII(AD743)&amp;HEX2ASCII(AE743)&amp;HEX2ASCII(AF743)&amp;HEX2ASCII(AG743)&amp;HEX2ASCII(AH743)&amp;HEX2ASCII(AI743)</f>
        <v/>
      </c>
      <c r="AB743" s="147"/>
      <c r="AC743" s="148"/>
      <c r="AD743" s="148"/>
      <c r="AE743" s="148"/>
      <c r="AF743" s="148"/>
      <c r="AG743" s="148"/>
      <c r="AH743" s="148"/>
      <c r="AI743" s="149"/>
    </row>
    <row r="744" spans="11:35">
      <c r="K744" s="85"/>
      <c r="L744" s="54" t="str">
        <f t="shared" si="67"/>
        <v/>
      </c>
      <c r="M744" s="38" t="str">
        <f t="shared" si="70"/>
        <v>03E0</v>
      </c>
      <c r="N744" s="69">
        <f t="shared" si="69"/>
        <v>992</v>
      </c>
      <c r="O744" s="96"/>
      <c r="P744" s="97"/>
      <c r="Q744" s="98"/>
      <c r="R744" s="135"/>
      <c r="U744" s="48" t="str">
        <f t="shared" si="68"/>
        <v/>
      </c>
      <c r="V744" s="16"/>
      <c r="W744" s="34"/>
      <c r="X744" s="35"/>
      <c r="Z744" s="74"/>
      <c r="AA744" s="130" t="str" cm="1">
        <f t="array" ref="AA744">HEX2ASCII(AB744)&amp;HEX2ASCII(AC744)&amp;HEX2ASCII(AD744)&amp;HEX2ASCII(AE744)&amp;HEX2ASCII(AF744)&amp;HEX2ASCII(AG744)&amp;HEX2ASCII(AH744)&amp;HEX2ASCII(AI744)</f>
        <v/>
      </c>
      <c r="AB744" s="147"/>
      <c r="AC744" s="148"/>
      <c r="AD744" s="148"/>
      <c r="AE744" s="148"/>
      <c r="AF744" s="148"/>
      <c r="AG744" s="148"/>
      <c r="AH744" s="148"/>
      <c r="AI744" s="149"/>
    </row>
    <row r="745" spans="11:35">
      <c r="K745" s="85"/>
      <c r="L745" s="54" t="str">
        <f t="shared" si="67"/>
        <v/>
      </c>
      <c r="M745" s="38" t="str">
        <f t="shared" si="70"/>
        <v>03E1</v>
      </c>
      <c r="N745" s="69">
        <f t="shared" si="69"/>
        <v>993</v>
      </c>
      <c r="O745" s="96"/>
      <c r="P745" s="97"/>
      <c r="Q745" s="98"/>
      <c r="R745" s="135"/>
      <c r="U745" s="48" t="str">
        <f t="shared" si="68"/>
        <v/>
      </c>
      <c r="V745" s="16"/>
      <c r="W745" s="34"/>
      <c r="X745" s="35"/>
      <c r="Z745" s="74"/>
      <c r="AA745" s="130" t="str" cm="1">
        <f t="array" ref="AA745">HEX2ASCII(AB745)&amp;HEX2ASCII(AC745)&amp;HEX2ASCII(AD745)&amp;HEX2ASCII(AE745)&amp;HEX2ASCII(AF745)&amp;HEX2ASCII(AG745)&amp;HEX2ASCII(AH745)&amp;HEX2ASCII(AI745)</f>
        <v/>
      </c>
      <c r="AB745" s="147"/>
      <c r="AC745" s="148"/>
      <c r="AD745" s="148"/>
      <c r="AE745" s="148"/>
      <c r="AF745" s="148"/>
      <c r="AG745" s="148"/>
      <c r="AH745" s="148"/>
      <c r="AI745" s="149"/>
    </row>
    <row r="746" spans="11:35">
      <c r="K746" s="85"/>
      <c r="L746" s="54" t="str">
        <f t="shared" si="67"/>
        <v/>
      </c>
      <c r="M746" s="38" t="str">
        <f t="shared" si="70"/>
        <v>03E2</v>
      </c>
      <c r="N746" s="69">
        <f t="shared" si="69"/>
        <v>994</v>
      </c>
      <c r="O746" s="96"/>
      <c r="P746" s="97"/>
      <c r="Q746" s="98"/>
      <c r="R746" s="135"/>
      <c r="U746" s="48" t="str">
        <f t="shared" si="68"/>
        <v/>
      </c>
      <c r="V746" s="16"/>
      <c r="W746" s="34"/>
      <c r="X746" s="35"/>
      <c r="Z746" s="74"/>
      <c r="AA746" s="130" t="str" cm="1">
        <f t="array" ref="AA746">HEX2ASCII(AB746)&amp;HEX2ASCII(AC746)&amp;HEX2ASCII(AD746)&amp;HEX2ASCII(AE746)&amp;HEX2ASCII(AF746)&amp;HEX2ASCII(AG746)&amp;HEX2ASCII(AH746)&amp;HEX2ASCII(AI746)</f>
        <v/>
      </c>
      <c r="AB746" s="147"/>
      <c r="AC746" s="148"/>
      <c r="AD746" s="148"/>
      <c r="AE746" s="148"/>
      <c r="AF746" s="148"/>
      <c r="AG746" s="148"/>
      <c r="AH746" s="148"/>
      <c r="AI746" s="149"/>
    </row>
    <row r="747" spans="11:35">
      <c r="K747" s="85"/>
      <c r="L747" s="54" t="str">
        <f t="shared" si="67"/>
        <v/>
      </c>
      <c r="M747" s="38" t="str">
        <f t="shared" si="70"/>
        <v>03E3</v>
      </c>
      <c r="N747" s="69">
        <f t="shared" si="69"/>
        <v>995</v>
      </c>
      <c r="O747" s="96"/>
      <c r="P747" s="97"/>
      <c r="Q747" s="98"/>
      <c r="R747" s="135"/>
      <c r="U747" s="48" t="str">
        <f t="shared" si="68"/>
        <v/>
      </c>
      <c r="V747" s="16"/>
      <c r="W747" s="34"/>
      <c r="X747" s="35"/>
      <c r="Z747" s="74"/>
      <c r="AA747" s="130" t="str" cm="1">
        <f t="array" ref="AA747">HEX2ASCII(AB747)&amp;HEX2ASCII(AC747)&amp;HEX2ASCII(AD747)&amp;HEX2ASCII(AE747)&amp;HEX2ASCII(AF747)&amp;HEX2ASCII(AG747)&amp;HEX2ASCII(AH747)&amp;HEX2ASCII(AI747)</f>
        <v/>
      </c>
      <c r="AB747" s="147"/>
      <c r="AC747" s="148"/>
      <c r="AD747" s="148"/>
      <c r="AE747" s="148"/>
      <c r="AF747" s="148"/>
      <c r="AG747" s="148"/>
      <c r="AH747" s="148"/>
      <c r="AI747" s="149"/>
    </row>
    <row r="748" spans="11:35">
      <c r="K748" s="85"/>
      <c r="L748" s="54" t="str">
        <f t="shared" si="67"/>
        <v/>
      </c>
      <c r="M748" s="38" t="str">
        <f t="shared" si="70"/>
        <v>03E4</v>
      </c>
      <c r="N748" s="69">
        <f t="shared" si="69"/>
        <v>996</v>
      </c>
      <c r="O748" s="96"/>
      <c r="P748" s="97"/>
      <c r="Q748" s="98"/>
      <c r="R748" s="135"/>
      <c r="U748" s="48" t="str">
        <f t="shared" si="68"/>
        <v/>
      </c>
      <c r="V748" s="16"/>
      <c r="W748" s="34"/>
      <c r="X748" s="35"/>
      <c r="Z748" s="74"/>
      <c r="AA748" s="130" t="str" cm="1">
        <f t="array" ref="AA748">HEX2ASCII(AB748)&amp;HEX2ASCII(AC748)&amp;HEX2ASCII(AD748)&amp;HEX2ASCII(AE748)&amp;HEX2ASCII(AF748)&amp;HEX2ASCII(AG748)&amp;HEX2ASCII(AH748)&amp;HEX2ASCII(AI748)</f>
        <v/>
      </c>
      <c r="AB748" s="147"/>
      <c r="AC748" s="148"/>
      <c r="AD748" s="148"/>
      <c r="AE748" s="148"/>
      <c r="AF748" s="148"/>
      <c r="AG748" s="148"/>
      <c r="AH748" s="148"/>
      <c r="AI748" s="149"/>
    </row>
    <row r="749" spans="11:35">
      <c r="K749" s="85"/>
      <c r="L749" s="54" t="str">
        <f t="shared" si="67"/>
        <v/>
      </c>
      <c r="M749" s="38" t="str">
        <f t="shared" si="70"/>
        <v>03E5</v>
      </c>
      <c r="N749" s="69">
        <f t="shared" si="69"/>
        <v>997</v>
      </c>
      <c r="O749" s="96"/>
      <c r="P749" s="97"/>
      <c r="Q749" s="98"/>
      <c r="R749" s="135"/>
      <c r="U749" s="48" t="str">
        <f t="shared" si="68"/>
        <v/>
      </c>
      <c r="V749" s="16"/>
      <c r="W749" s="34"/>
      <c r="X749" s="35"/>
      <c r="Z749" s="74"/>
      <c r="AA749" s="130" t="str" cm="1">
        <f t="array" ref="AA749">HEX2ASCII(AB749)&amp;HEX2ASCII(AC749)&amp;HEX2ASCII(AD749)&amp;HEX2ASCII(AE749)&amp;HEX2ASCII(AF749)&amp;HEX2ASCII(AG749)&amp;HEX2ASCII(AH749)&amp;HEX2ASCII(AI749)</f>
        <v/>
      </c>
      <c r="AB749" s="147"/>
      <c r="AC749" s="148"/>
      <c r="AD749" s="148"/>
      <c r="AE749" s="148"/>
      <c r="AF749" s="148"/>
      <c r="AG749" s="148"/>
      <c r="AH749" s="148"/>
      <c r="AI749" s="149"/>
    </row>
    <row r="750" spans="11:35">
      <c r="K750" s="85"/>
      <c r="L750" s="54" t="str">
        <f t="shared" si="67"/>
        <v/>
      </c>
      <c r="M750" s="38" t="str">
        <f t="shared" si="70"/>
        <v>03E6</v>
      </c>
      <c r="N750" s="69">
        <f t="shared" si="69"/>
        <v>998</v>
      </c>
      <c r="O750" s="96"/>
      <c r="P750" s="97"/>
      <c r="Q750" s="98"/>
      <c r="R750" s="135"/>
      <c r="U750" s="48" t="str">
        <f t="shared" si="68"/>
        <v/>
      </c>
      <c r="V750" s="16"/>
      <c r="W750" s="34"/>
      <c r="X750" s="35"/>
      <c r="Z750" s="74"/>
      <c r="AA750" s="130" t="str" cm="1">
        <f t="array" ref="AA750">HEX2ASCII(AB750)&amp;HEX2ASCII(AC750)&amp;HEX2ASCII(AD750)&amp;HEX2ASCII(AE750)&amp;HEX2ASCII(AF750)&amp;HEX2ASCII(AG750)&amp;HEX2ASCII(AH750)&amp;HEX2ASCII(AI750)</f>
        <v/>
      </c>
      <c r="AB750" s="147"/>
      <c r="AC750" s="148"/>
      <c r="AD750" s="148"/>
      <c r="AE750" s="148"/>
      <c r="AF750" s="148"/>
      <c r="AG750" s="148"/>
      <c r="AH750" s="148"/>
      <c r="AI750" s="149"/>
    </row>
    <row r="751" spans="11:35">
      <c r="K751" s="85"/>
      <c r="L751" s="54" t="str">
        <f t="shared" si="67"/>
        <v/>
      </c>
      <c r="M751" s="38" t="str">
        <f t="shared" si="70"/>
        <v>03E7</v>
      </c>
      <c r="N751" s="69">
        <f t="shared" si="69"/>
        <v>999</v>
      </c>
      <c r="O751" s="96"/>
      <c r="P751" s="97"/>
      <c r="Q751" s="98"/>
      <c r="R751" s="135"/>
      <c r="U751" s="48" t="str">
        <f t="shared" si="68"/>
        <v/>
      </c>
      <c r="V751" s="16"/>
      <c r="W751" s="34"/>
      <c r="X751" s="35"/>
      <c r="Z751" s="74"/>
      <c r="AA751" s="130" t="str" cm="1">
        <f t="array" ref="AA751">HEX2ASCII(AB751)&amp;HEX2ASCII(AC751)&amp;HEX2ASCII(AD751)&amp;HEX2ASCII(AE751)&amp;HEX2ASCII(AF751)&amp;HEX2ASCII(AG751)&amp;HEX2ASCII(AH751)&amp;HEX2ASCII(AI751)</f>
        <v/>
      </c>
      <c r="AB751" s="147"/>
      <c r="AC751" s="148"/>
      <c r="AD751" s="148"/>
      <c r="AE751" s="148"/>
      <c r="AF751" s="148"/>
      <c r="AG751" s="148"/>
      <c r="AH751" s="148"/>
      <c r="AI751" s="149"/>
    </row>
    <row r="752" spans="11:35">
      <c r="K752" s="85"/>
      <c r="L752" s="54" t="str">
        <f t="shared" si="67"/>
        <v/>
      </c>
      <c r="M752" s="38" t="str">
        <f t="shared" si="70"/>
        <v>03E8</v>
      </c>
      <c r="N752" s="69">
        <f t="shared" si="69"/>
        <v>1000</v>
      </c>
      <c r="O752" s="96"/>
      <c r="P752" s="97"/>
      <c r="Q752" s="98"/>
      <c r="R752" s="135"/>
      <c r="U752" s="48" t="str">
        <f t="shared" si="68"/>
        <v/>
      </c>
      <c r="V752" s="16"/>
      <c r="W752" s="34"/>
      <c r="X752" s="35"/>
      <c r="Z752" s="74"/>
      <c r="AA752" s="130" t="str" cm="1">
        <f t="array" ref="AA752">HEX2ASCII(AB752)&amp;HEX2ASCII(AC752)&amp;HEX2ASCII(AD752)&amp;HEX2ASCII(AE752)&amp;HEX2ASCII(AF752)&amp;HEX2ASCII(AG752)&amp;HEX2ASCII(AH752)&amp;HEX2ASCII(AI752)</f>
        <v/>
      </c>
      <c r="AB752" s="147"/>
      <c r="AC752" s="148"/>
      <c r="AD752" s="148"/>
      <c r="AE752" s="148"/>
      <c r="AF752" s="148"/>
      <c r="AG752" s="148"/>
      <c r="AH752" s="148"/>
      <c r="AI752" s="149"/>
    </row>
    <row r="753" spans="11:35">
      <c r="K753" s="85"/>
      <c r="L753" s="54" t="str">
        <f t="shared" si="67"/>
        <v/>
      </c>
      <c r="M753" s="38" t="str">
        <f t="shared" si="70"/>
        <v>03E9</v>
      </c>
      <c r="N753" s="69">
        <f t="shared" si="69"/>
        <v>1001</v>
      </c>
      <c r="O753" s="96"/>
      <c r="P753" s="97"/>
      <c r="Q753" s="98"/>
      <c r="R753" s="135"/>
      <c r="U753" s="48" t="str">
        <f t="shared" si="68"/>
        <v/>
      </c>
      <c r="V753" s="16"/>
      <c r="W753" s="34"/>
      <c r="X753" s="35"/>
      <c r="Z753" s="74"/>
      <c r="AA753" s="130" t="str" cm="1">
        <f t="array" ref="AA753">HEX2ASCII(AB753)&amp;HEX2ASCII(AC753)&amp;HEX2ASCII(AD753)&amp;HEX2ASCII(AE753)&amp;HEX2ASCII(AF753)&amp;HEX2ASCII(AG753)&amp;HEX2ASCII(AH753)&amp;HEX2ASCII(AI753)</f>
        <v/>
      </c>
      <c r="AB753" s="147"/>
      <c r="AC753" s="148"/>
      <c r="AD753" s="148"/>
      <c r="AE753" s="148"/>
      <c r="AF753" s="148"/>
      <c r="AG753" s="148"/>
      <c r="AH753" s="148"/>
      <c r="AI753" s="149"/>
    </row>
    <row r="754" spans="11:35">
      <c r="K754" s="85"/>
      <c r="L754" s="54" t="str">
        <f t="shared" si="67"/>
        <v/>
      </c>
      <c r="M754" s="38" t="str">
        <f t="shared" si="70"/>
        <v>03EA</v>
      </c>
      <c r="N754" s="69">
        <f t="shared" si="69"/>
        <v>1002</v>
      </c>
      <c r="O754" s="96"/>
      <c r="P754" s="97"/>
      <c r="Q754" s="98"/>
      <c r="R754" s="135"/>
      <c r="U754" s="48" t="str">
        <f t="shared" si="68"/>
        <v/>
      </c>
      <c r="V754" s="16"/>
      <c r="W754" s="34"/>
      <c r="X754" s="35"/>
      <c r="Z754" s="74"/>
      <c r="AA754" s="130" t="str" cm="1">
        <f t="array" ref="AA754">HEX2ASCII(AB754)&amp;HEX2ASCII(AC754)&amp;HEX2ASCII(AD754)&amp;HEX2ASCII(AE754)&amp;HEX2ASCII(AF754)&amp;HEX2ASCII(AG754)&amp;HEX2ASCII(AH754)&amp;HEX2ASCII(AI754)</f>
        <v/>
      </c>
      <c r="AB754" s="147"/>
      <c r="AC754" s="148"/>
      <c r="AD754" s="148"/>
      <c r="AE754" s="148"/>
      <c r="AF754" s="148"/>
      <c r="AG754" s="148"/>
      <c r="AH754" s="148"/>
      <c r="AI754" s="149"/>
    </row>
    <row r="755" spans="11:35">
      <c r="K755" s="85"/>
      <c r="L755" s="54" t="str">
        <f t="shared" si="67"/>
        <v/>
      </c>
      <c r="M755" s="38" t="str">
        <f t="shared" si="70"/>
        <v>03EB</v>
      </c>
      <c r="N755" s="69">
        <f t="shared" si="69"/>
        <v>1003</v>
      </c>
      <c r="O755" s="96"/>
      <c r="P755" s="97"/>
      <c r="Q755" s="98"/>
      <c r="R755" s="135"/>
      <c r="U755" s="48" t="str">
        <f t="shared" si="68"/>
        <v/>
      </c>
      <c r="V755" s="16"/>
      <c r="W755" s="34"/>
      <c r="X755" s="35"/>
      <c r="Z755" s="74"/>
      <c r="AA755" s="130" t="str" cm="1">
        <f t="array" ref="AA755">HEX2ASCII(AB755)&amp;HEX2ASCII(AC755)&amp;HEX2ASCII(AD755)&amp;HEX2ASCII(AE755)&amp;HEX2ASCII(AF755)&amp;HEX2ASCII(AG755)&amp;HEX2ASCII(AH755)&amp;HEX2ASCII(AI755)</f>
        <v/>
      </c>
      <c r="AB755" s="147"/>
      <c r="AC755" s="148"/>
      <c r="AD755" s="148"/>
      <c r="AE755" s="148"/>
      <c r="AF755" s="148"/>
      <c r="AG755" s="148"/>
      <c r="AH755" s="148"/>
      <c r="AI755" s="149"/>
    </row>
    <row r="756" spans="11:35">
      <c r="K756" s="85"/>
      <c r="L756" s="54" t="str">
        <f t="shared" si="67"/>
        <v/>
      </c>
      <c r="M756" s="38" t="str">
        <f t="shared" si="70"/>
        <v>03EC</v>
      </c>
      <c r="N756" s="69">
        <f t="shared" si="69"/>
        <v>1004</v>
      </c>
      <c r="O756" s="96"/>
      <c r="P756" s="97"/>
      <c r="Q756" s="98"/>
      <c r="R756" s="135"/>
      <c r="U756" s="48" t="str">
        <f t="shared" si="68"/>
        <v/>
      </c>
      <c r="V756" s="16"/>
      <c r="W756" s="34"/>
      <c r="X756" s="35"/>
      <c r="Z756" s="74"/>
      <c r="AA756" s="130" t="str" cm="1">
        <f t="array" ref="AA756">HEX2ASCII(AB756)&amp;HEX2ASCII(AC756)&amp;HEX2ASCII(AD756)&amp;HEX2ASCII(AE756)&amp;HEX2ASCII(AF756)&amp;HEX2ASCII(AG756)&amp;HEX2ASCII(AH756)&amp;HEX2ASCII(AI756)</f>
        <v/>
      </c>
      <c r="AB756" s="147"/>
      <c r="AC756" s="148"/>
      <c r="AD756" s="148"/>
      <c r="AE756" s="148"/>
      <c r="AF756" s="148"/>
      <c r="AG756" s="148"/>
      <c r="AH756" s="148"/>
      <c r="AI756" s="149"/>
    </row>
    <row r="757" spans="11:35">
      <c r="K757" s="85"/>
      <c r="L757" s="54" t="str">
        <f t="shared" si="67"/>
        <v/>
      </c>
      <c r="M757" s="38" t="str">
        <f t="shared" si="70"/>
        <v>03ED</v>
      </c>
      <c r="N757" s="69">
        <f t="shared" si="69"/>
        <v>1005</v>
      </c>
      <c r="O757" s="96"/>
      <c r="P757" s="97"/>
      <c r="Q757" s="98"/>
      <c r="R757" s="135"/>
      <c r="U757" s="48" t="str">
        <f t="shared" si="68"/>
        <v/>
      </c>
      <c r="V757" s="16"/>
      <c r="W757" s="34"/>
      <c r="X757" s="35"/>
      <c r="Z757" s="74"/>
      <c r="AA757" s="130" t="str" cm="1">
        <f t="array" ref="AA757">HEX2ASCII(AB757)&amp;HEX2ASCII(AC757)&amp;HEX2ASCII(AD757)&amp;HEX2ASCII(AE757)&amp;HEX2ASCII(AF757)&amp;HEX2ASCII(AG757)&amp;HEX2ASCII(AH757)&amp;HEX2ASCII(AI757)</f>
        <v/>
      </c>
      <c r="AB757" s="147"/>
      <c r="AC757" s="148"/>
      <c r="AD757" s="148"/>
      <c r="AE757" s="148"/>
      <c r="AF757" s="148"/>
      <c r="AG757" s="148"/>
      <c r="AH757" s="148"/>
      <c r="AI757" s="149"/>
    </row>
    <row r="758" spans="11:35">
      <c r="K758" s="85"/>
      <c r="L758" s="54" t="str">
        <f t="shared" si="67"/>
        <v/>
      </c>
      <c r="M758" s="38" t="str">
        <f t="shared" si="70"/>
        <v>03EE</v>
      </c>
      <c r="N758" s="69">
        <f t="shared" si="69"/>
        <v>1006</v>
      </c>
      <c r="O758" s="96"/>
      <c r="P758" s="97"/>
      <c r="Q758" s="98"/>
      <c r="R758" s="135"/>
      <c r="U758" s="48" t="str">
        <f t="shared" si="68"/>
        <v/>
      </c>
      <c r="V758" s="16"/>
      <c r="W758" s="34"/>
      <c r="X758" s="35"/>
      <c r="Z758" s="74"/>
      <c r="AA758" s="130" t="str" cm="1">
        <f t="array" ref="AA758">HEX2ASCII(AB758)&amp;HEX2ASCII(AC758)&amp;HEX2ASCII(AD758)&amp;HEX2ASCII(AE758)&amp;HEX2ASCII(AF758)&amp;HEX2ASCII(AG758)&amp;HEX2ASCII(AH758)&amp;HEX2ASCII(AI758)</f>
        <v/>
      </c>
      <c r="AB758" s="147"/>
      <c r="AC758" s="148"/>
      <c r="AD758" s="148"/>
      <c r="AE758" s="148"/>
      <c r="AF758" s="148"/>
      <c r="AG758" s="148"/>
      <c r="AH758" s="148"/>
      <c r="AI758" s="149"/>
    </row>
    <row r="759" spans="11:35">
      <c r="K759" s="85"/>
      <c r="L759" s="54" t="str">
        <f t="shared" si="67"/>
        <v/>
      </c>
      <c r="M759" s="38" t="str">
        <f t="shared" si="70"/>
        <v>03EF</v>
      </c>
      <c r="N759" s="69">
        <f t="shared" si="69"/>
        <v>1007</v>
      </c>
      <c r="O759" s="96"/>
      <c r="P759" s="97"/>
      <c r="Q759" s="98"/>
      <c r="R759" s="135"/>
      <c r="U759" s="48" t="str">
        <f t="shared" si="68"/>
        <v/>
      </c>
      <c r="V759" s="16"/>
      <c r="W759" s="34"/>
      <c r="X759" s="35"/>
      <c r="Z759" s="74"/>
      <c r="AA759" s="130" t="str" cm="1">
        <f t="array" ref="AA759">HEX2ASCII(AB759)&amp;HEX2ASCII(AC759)&amp;HEX2ASCII(AD759)&amp;HEX2ASCII(AE759)&amp;HEX2ASCII(AF759)&amp;HEX2ASCII(AG759)&amp;HEX2ASCII(AH759)&amp;HEX2ASCII(AI759)</f>
        <v/>
      </c>
      <c r="AB759" s="147"/>
      <c r="AC759" s="148"/>
      <c r="AD759" s="148"/>
      <c r="AE759" s="148"/>
      <c r="AF759" s="148"/>
      <c r="AG759" s="148"/>
      <c r="AH759" s="148"/>
      <c r="AI759" s="149"/>
    </row>
    <row r="760" spans="11:35">
      <c r="K760" s="85"/>
      <c r="L760" s="54" t="str">
        <f t="shared" si="67"/>
        <v/>
      </c>
      <c r="M760" s="38" t="str">
        <f t="shared" si="70"/>
        <v>03F0</v>
      </c>
      <c r="N760" s="69">
        <f t="shared" si="69"/>
        <v>1008</v>
      </c>
      <c r="O760" s="96"/>
      <c r="P760" s="97"/>
      <c r="Q760" s="98"/>
      <c r="R760" s="135"/>
      <c r="U760" s="48" t="str">
        <f t="shared" si="68"/>
        <v/>
      </c>
      <c r="V760" s="16"/>
      <c r="W760" s="34"/>
      <c r="X760" s="35"/>
      <c r="Z760" s="74"/>
      <c r="AA760" s="130" t="str" cm="1">
        <f t="array" ref="AA760">HEX2ASCII(AB760)&amp;HEX2ASCII(AC760)&amp;HEX2ASCII(AD760)&amp;HEX2ASCII(AE760)&amp;HEX2ASCII(AF760)&amp;HEX2ASCII(AG760)&amp;HEX2ASCII(AH760)&amp;HEX2ASCII(AI760)</f>
        <v/>
      </c>
      <c r="AB760" s="147"/>
      <c r="AC760" s="148"/>
      <c r="AD760" s="148"/>
      <c r="AE760" s="148"/>
      <c r="AF760" s="148"/>
      <c r="AG760" s="148"/>
      <c r="AH760" s="148"/>
      <c r="AI760" s="149"/>
    </row>
    <row r="761" spans="11:35">
      <c r="K761" s="85"/>
      <c r="L761" s="54" t="str">
        <f t="shared" si="67"/>
        <v/>
      </c>
      <c r="M761" s="38" t="str">
        <f t="shared" si="70"/>
        <v>03F1</v>
      </c>
      <c r="N761" s="69">
        <f t="shared" si="69"/>
        <v>1009</v>
      </c>
      <c r="O761" s="96"/>
      <c r="P761" s="97"/>
      <c r="Q761" s="98"/>
      <c r="R761" s="135"/>
      <c r="U761" s="48" t="str">
        <f t="shared" si="68"/>
        <v/>
      </c>
      <c r="V761" s="16"/>
      <c r="W761" s="34"/>
      <c r="X761" s="35"/>
      <c r="Z761" s="74"/>
      <c r="AA761" s="130" t="str" cm="1">
        <f t="array" ref="AA761">HEX2ASCII(AB761)&amp;HEX2ASCII(AC761)&amp;HEX2ASCII(AD761)&amp;HEX2ASCII(AE761)&amp;HEX2ASCII(AF761)&amp;HEX2ASCII(AG761)&amp;HEX2ASCII(AH761)&amp;HEX2ASCII(AI761)</f>
        <v/>
      </c>
      <c r="AB761" s="147"/>
      <c r="AC761" s="148"/>
      <c r="AD761" s="148"/>
      <c r="AE761" s="148"/>
      <c r="AF761" s="148"/>
      <c r="AG761" s="148"/>
      <c r="AH761" s="148"/>
      <c r="AI761" s="149"/>
    </row>
    <row r="762" spans="11:35">
      <c r="K762" s="85"/>
      <c r="L762" s="54" t="str">
        <f t="shared" si="67"/>
        <v/>
      </c>
      <c r="M762" s="38" t="str">
        <f t="shared" si="70"/>
        <v>03F2</v>
      </c>
      <c r="N762" s="69">
        <f t="shared" si="69"/>
        <v>1010</v>
      </c>
      <c r="O762" s="96"/>
      <c r="P762" s="97"/>
      <c r="Q762" s="98"/>
      <c r="R762" s="135"/>
      <c r="U762" s="48" t="str">
        <f t="shared" si="68"/>
        <v/>
      </c>
      <c r="V762" s="16"/>
      <c r="W762" s="34"/>
      <c r="X762" s="35"/>
      <c r="Z762" s="74"/>
      <c r="AA762" s="130" t="str" cm="1">
        <f t="array" ref="AA762">HEX2ASCII(AB762)&amp;HEX2ASCII(AC762)&amp;HEX2ASCII(AD762)&amp;HEX2ASCII(AE762)&amp;HEX2ASCII(AF762)&amp;HEX2ASCII(AG762)&amp;HEX2ASCII(AH762)&amp;HEX2ASCII(AI762)</f>
        <v/>
      </c>
      <c r="AB762" s="147"/>
      <c r="AC762" s="148"/>
      <c r="AD762" s="148"/>
      <c r="AE762" s="148"/>
      <c r="AF762" s="148"/>
      <c r="AG762" s="148"/>
      <c r="AH762" s="148"/>
      <c r="AI762" s="149"/>
    </row>
    <row r="763" spans="11:35">
      <c r="K763" s="85"/>
      <c r="L763" s="54" t="str">
        <f t="shared" si="67"/>
        <v/>
      </c>
      <c r="M763" s="38" t="str">
        <f t="shared" si="70"/>
        <v>03F3</v>
      </c>
      <c r="N763" s="69">
        <f t="shared" si="69"/>
        <v>1011</v>
      </c>
      <c r="O763" s="96"/>
      <c r="P763" s="97"/>
      <c r="Q763" s="98"/>
      <c r="R763" s="135"/>
      <c r="U763" s="48" t="str">
        <f t="shared" si="68"/>
        <v/>
      </c>
      <c r="V763" s="16"/>
      <c r="W763" s="34"/>
      <c r="X763" s="35"/>
      <c r="Z763" s="74"/>
      <c r="AA763" s="130" t="str" cm="1">
        <f t="array" ref="AA763">HEX2ASCII(AB763)&amp;HEX2ASCII(AC763)&amp;HEX2ASCII(AD763)&amp;HEX2ASCII(AE763)&amp;HEX2ASCII(AF763)&amp;HEX2ASCII(AG763)&amp;HEX2ASCII(AH763)&amp;HEX2ASCII(AI763)</f>
        <v/>
      </c>
      <c r="AB763" s="147"/>
      <c r="AC763" s="148"/>
      <c r="AD763" s="148"/>
      <c r="AE763" s="148"/>
      <c r="AF763" s="148"/>
      <c r="AG763" s="148"/>
      <c r="AH763" s="148"/>
      <c r="AI763" s="149"/>
    </row>
    <row r="764" spans="11:35">
      <c r="K764" s="85"/>
      <c r="L764" s="54" t="str">
        <f t="shared" si="67"/>
        <v/>
      </c>
      <c r="M764" s="38" t="str">
        <f t="shared" si="70"/>
        <v>03F4</v>
      </c>
      <c r="N764" s="69">
        <f t="shared" si="69"/>
        <v>1012</v>
      </c>
      <c r="O764" s="96"/>
      <c r="P764" s="97"/>
      <c r="Q764" s="98"/>
      <c r="R764" s="135"/>
      <c r="U764" s="48" t="str">
        <f t="shared" si="68"/>
        <v/>
      </c>
      <c r="V764" s="16"/>
      <c r="W764" s="34"/>
      <c r="X764" s="35"/>
      <c r="Z764" s="74"/>
      <c r="AA764" s="130" t="str" cm="1">
        <f t="array" ref="AA764">HEX2ASCII(AB764)&amp;HEX2ASCII(AC764)&amp;HEX2ASCII(AD764)&amp;HEX2ASCII(AE764)&amp;HEX2ASCII(AF764)&amp;HEX2ASCII(AG764)&amp;HEX2ASCII(AH764)&amp;HEX2ASCII(AI764)</f>
        <v/>
      </c>
      <c r="AB764" s="147"/>
      <c r="AC764" s="148"/>
      <c r="AD764" s="148"/>
      <c r="AE764" s="148"/>
      <c r="AF764" s="148"/>
      <c r="AG764" s="148"/>
      <c r="AH764" s="148"/>
      <c r="AI764" s="149"/>
    </row>
    <row r="765" spans="11:35">
      <c r="K765" s="85"/>
      <c r="L765" s="54" t="str">
        <f t="shared" si="67"/>
        <v/>
      </c>
      <c r="M765" s="38" t="str">
        <f t="shared" si="70"/>
        <v>03F5</v>
      </c>
      <c r="N765" s="69">
        <f t="shared" si="69"/>
        <v>1013</v>
      </c>
      <c r="O765" s="96"/>
      <c r="P765" s="97"/>
      <c r="Q765" s="98"/>
      <c r="R765" s="135"/>
      <c r="U765" s="48" t="str">
        <f t="shared" si="68"/>
        <v/>
      </c>
      <c r="V765" s="16"/>
      <c r="W765" s="34"/>
      <c r="X765" s="35"/>
      <c r="Z765" s="74"/>
      <c r="AA765" s="130" t="str" cm="1">
        <f t="array" ref="AA765">HEX2ASCII(AB765)&amp;HEX2ASCII(AC765)&amp;HEX2ASCII(AD765)&amp;HEX2ASCII(AE765)&amp;HEX2ASCII(AF765)&amp;HEX2ASCII(AG765)&amp;HEX2ASCII(AH765)&amp;HEX2ASCII(AI765)</f>
        <v/>
      </c>
      <c r="AB765" s="147"/>
      <c r="AC765" s="148"/>
      <c r="AD765" s="148"/>
      <c r="AE765" s="148"/>
      <c r="AF765" s="148"/>
      <c r="AG765" s="148"/>
      <c r="AH765" s="148"/>
      <c r="AI765" s="149"/>
    </row>
    <row r="766" spans="11:35">
      <c r="K766" s="85"/>
      <c r="L766" s="54" t="str">
        <f t="shared" si="67"/>
        <v/>
      </c>
      <c r="M766" s="38" t="str">
        <f t="shared" si="70"/>
        <v>03F6</v>
      </c>
      <c r="N766" s="69">
        <f t="shared" si="69"/>
        <v>1014</v>
      </c>
      <c r="O766" s="96"/>
      <c r="P766" s="97"/>
      <c r="Q766" s="98"/>
      <c r="R766" s="135"/>
      <c r="U766" s="48" t="str">
        <f t="shared" si="68"/>
        <v/>
      </c>
      <c r="V766" s="16"/>
      <c r="W766" s="34"/>
      <c r="X766" s="35"/>
      <c r="Z766" s="74"/>
      <c r="AA766" s="130" t="str" cm="1">
        <f t="array" ref="AA766">HEX2ASCII(AB766)&amp;HEX2ASCII(AC766)&amp;HEX2ASCII(AD766)&amp;HEX2ASCII(AE766)&amp;HEX2ASCII(AF766)&amp;HEX2ASCII(AG766)&amp;HEX2ASCII(AH766)&amp;HEX2ASCII(AI766)</f>
        <v/>
      </c>
      <c r="AB766" s="147"/>
      <c r="AC766" s="148"/>
      <c r="AD766" s="148"/>
      <c r="AE766" s="148"/>
      <c r="AF766" s="148"/>
      <c r="AG766" s="148"/>
      <c r="AH766" s="148"/>
      <c r="AI766" s="149"/>
    </row>
    <row r="767" spans="11:35">
      <c r="K767" s="85"/>
      <c r="L767" s="54" t="str">
        <f t="shared" si="67"/>
        <v/>
      </c>
      <c r="M767" s="38" t="str">
        <f t="shared" si="70"/>
        <v>03F7</v>
      </c>
      <c r="N767" s="69">
        <f t="shared" si="69"/>
        <v>1015</v>
      </c>
      <c r="O767" s="96"/>
      <c r="P767" s="97"/>
      <c r="Q767" s="98"/>
      <c r="R767" s="135"/>
      <c r="U767" s="48" t="str">
        <f t="shared" si="68"/>
        <v/>
      </c>
      <c r="V767" s="16"/>
      <c r="W767" s="34"/>
      <c r="X767" s="35"/>
      <c r="Z767" s="74"/>
      <c r="AA767" s="130" t="str" cm="1">
        <f t="array" ref="AA767">HEX2ASCII(AB767)&amp;HEX2ASCII(AC767)&amp;HEX2ASCII(AD767)&amp;HEX2ASCII(AE767)&amp;HEX2ASCII(AF767)&amp;HEX2ASCII(AG767)&amp;HEX2ASCII(AH767)&amp;HEX2ASCII(AI767)</f>
        <v/>
      </c>
      <c r="AB767" s="147"/>
      <c r="AC767" s="148"/>
      <c r="AD767" s="148"/>
      <c r="AE767" s="148"/>
      <c r="AF767" s="148"/>
      <c r="AG767" s="148"/>
      <c r="AH767" s="148"/>
      <c r="AI767" s="149"/>
    </row>
    <row r="768" spans="11:35">
      <c r="K768" s="85"/>
      <c r="L768" s="54" t="str">
        <f t="shared" si="67"/>
        <v/>
      </c>
      <c r="M768" s="38" t="str">
        <f t="shared" si="70"/>
        <v>03F8</v>
      </c>
      <c r="N768" s="69">
        <f t="shared" si="69"/>
        <v>1016</v>
      </c>
      <c r="O768" s="96"/>
      <c r="P768" s="97"/>
      <c r="Q768" s="98"/>
      <c r="R768" s="135"/>
      <c r="U768" s="48" t="str">
        <f t="shared" si="68"/>
        <v/>
      </c>
      <c r="V768" s="16"/>
      <c r="W768" s="34"/>
      <c r="X768" s="35"/>
      <c r="Z768" s="74"/>
      <c r="AA768" s="130" t="str" cm="1">
        <f t="array" ref="AA768">HEX2ASCII(AB768)&amp;HEX2ASCII(AC768)&amp;HEX2ASCII(AD768)&amp;HEX2ASCII(AE768)&amp;HEX2ASCII(AF768)&amp;HEX2ASCII(AG768)&amp;HEX2ASCII(AH768)&amp;HEX2ASCII(AI768)</f>
        <v/>
      </c>
      <c r="AB768" s="147"/>
      <c r="AC768" s="148"/>
      <c r="AD768" s="148"/>
      <c r="AE768" s="148"/>
      <c r="AF768" s="148"/>
      <c r="AG768" s="148"/>
      <c r="AH768" s="148"/>
      <c r="AI768" s="149"/>
    </row>
    <row r="769" spans="11:35">
      <c r="K769" s="85"/>
      <c r="L769" s="54" t="str">
        <f t="shared" si="67"/>
        <v/>
      </c>
      <c r="M769" s="38" t="str">
        <f t="shared" si="70"/>
        <v>03F9</v>
      </c>
      <c r="N769" s="69">
        <f t="shared" si="69"/>
        <v>1017</v>
      </c>
      <c r="O769" s="96"/>
      <c r="P769" s="97"/>
      <c r="Q769" s="98"/>
      <c r="R769" s="135"/>
      <c r="U769" s="48" t="str">
        <f t="shared" si="68"/>
        <v/>
      </c>
      <c r="V769" s="16"/>
      <c r="W769" s="34"/>
      <c r="X769" s="35"/>
      <c r="Z769" s="74"/>
      <c r="AA769" s="130" t="str" cm="1">
        <f t="array" ref="AA769">HEX2ASCII(AB769)&amp;HEX2ASCII(AC769)&amp;HEX2ASCII(AD769)&amp;HEX2ASCII(AE769)&amp;HEX2ASCII(AF769)&amp;HEX2ASCII(AG769)&amp;HEX2ASCII(AH769)&amp;HEX2ASCII(AI769)</f>
        <v/>
      </c>
      <c r="AB769" s="147"/>
      <c r="AC769" s="148"/>
      <c r="AD769" s="148"/>
      <c r="AE769" s="148"/>
      <c r="AF769" s="148"/>
      <c r="AG769" s="148"/>
      <c r="AH769" s="148"/>
      <c r="AI769" s="149"/>
    </row>
    <row r="770" spans="11:35">
      <c r="K770" s="85"/>
      <c r="L770" s="54" t="str">
        <f t="shared" si="67"/>
        <v/>
      </c>
      <c r="M770" s="38" t="str">
        <f t="shared" si="70"/>
        <v>03FA</v>
      </c>
      <c r="N770" s="69">
        <f t="shared" si="69"/>
        <v>1018</v>
      </c>
      <c r="O770" s="96"/>
      <c r="P770" s="97"/>
      <c r="Q770" s="98"/>
      <c r="R770" s="135"/>
      <c r="U770" s="48" t="str">
        <f t="shared" si="68"/>
        <v/>
      </c>
      <c r="V770" s="16"/>
      <c r="W770" s="34"/>
      <c r="X770" s="35"/>
      <c r="Z770" s="74"/>
      <c r="AA770" s="130" t="str" cm="1">
        <f t="array" ref="AA770">HEX2ASCII(AB770)&amp;HEX2ASCII(AC770)&amp;HEX2ASCII(AD770)&amp;HEX2ASCII(AE770)&amp;HEX2ASCII(AF770)&amp;HEX2ASCII(AG770)&amp;HEX2ASCII(AH770)&amp;HEX2ASCII(AI770)</f>
        <v/>
      </c>
      <c r="AB770" s="147"/>
      <c r="AC770" s="148"/>
      <c r="AD770" s="148"/>
      <c r="AE770" s="148"/>
      <c r="AF770" s="148"/>
      <c r="AG770" s="148"/>
      <c r="AH770" s="148"/>
      <c r="AI770" s="149"/>
    </row>
    <row r="771" spans="11:35">
      <c r="K771" s="85"/>
      <c r="L771" s="54" t="str">
        <f t="shared" si="67"/>
        <v/>
      </c>
      <c r="M771" s="38" t="str">
        <f t="shared" si="70"/>
        <v>03FB</v>
      </c>
      <c r="N771" s="69">
        <f t="shared" si="69"/>
        <v>1019</v>
      </c>
      <c r="O771" s="96"/>
      <c r="P771" s="97"/>
      <c r="Q771" s="98"/>
      <c r="R771" s="135"/>
      <c r="U771" s="48" t="str">
        <f t="shared" si="68"/>
        <v/>
      </c>
      <c r="V771" s="16"/>
      <c r="W771" s="34"/>
      <c r="X771" s="35"/>
      <c r="Z771" s="74"/>
      <c r="AA771" s="130" t="str" cm="1">
        <f t="array" ref="AA771">HEX2ASCII(AB771)&amp;HEX2ASCII(AC771)&amp;HEX2ASCII(AD771)&amp;HEX2ASCII(AE771)&amp;HEX2ASCII(AF771)&amp;HEX2ASCII(AG771)&amp;HEX2ASCII(AH771)&amp;HEX2ASCII(AI771)</f>
        <v/>
      </c>
      <c r="AB771" s="147"/>
      <c r="AC771" s="148"/>
      <c r="AD771" s="148"/>
      <c r="AE771" s="148"/>
      <c r="AF771" s="148"/>
      <c r="AG771" s="148"/>
      <c r="AH771" s="148"/>
      <c r="AI771" s="149"/>
    </row>
    <row r="772" spans="11:35">
      <c r="K772" s="85"/>
      <c r="L772" s="54" t="str">
        <f t="shared" si="67"/>
        <v/>
      </c>
      <c r="M772" s="38" t="str">
        <f t="shared" si="70"/>
        <v>03FC</v>
      </c>
      <c r="N772" s="69">
        <f t="shared" si="69"/>
        <v>1020</v>
      </c>
      <c r="O772" s="96"/>
      <c r="P772" s="97"/>
      <c r="Q772" s="98"/>
      <c r="R772" s="135"/>
      <c r="U772" s="48" t="str">
        <f t="shared" si="68"/>
        <v/>
      </c>
      <c r="V772" s="16"/>
      <c r="W772" s="34"/>
      <c r="X772" s="35"/>
      <c r="Z772" s="74"/>
      <c r="AA772" s="130" t="str" cm="1">
        <f t="array" ref="AA772">HEX2ASCII(AB772)&amp;HEX2ASCII(AC772)&amp;HEX2ASCII(AD772)&amp;HEX2ASCII(AE772)&amp;HEX2ASCII(AF772)&amp;HEX2ASCII(AG772)&amp;HEX2ASCII(AH772)&amp;HEX2ASCII(AI772)</f>
        <v/>
      </c>
      <c r="AB772" s="147"/>
      <c r="AC772" s="148"/>
      <c r="AD772" s="148"/>
      <c r="AE772" s="148"/>
      <c r="AF772" s="148"/>
      <c r="AG772" s="148"/>
      <c r="AH772" s="148"/>
      <c r="AI772" s="149"/>
    </row>
    <row r="773" spans="11:35">
      <c r="K773" s="85"/>
      <c r="L773" s="54" t="str">
        <f t="shared" si="67"/>
        <v/>
      </c>
      <c r="M773" s="38" t="str">
        <f t="shared" si="70"/>
        <v>03FD</v>
      </c>
      <c r="N773" s="69">
        <f t="shared" si="69"/>
        <v>1021</v>
      </c>
      <c r="O773" s="96"/>
      <c r="P773" s="97"/>
      <c r="Q773" s="98"/>
      <c r="R773" s="135"/>
      <c r="U773" s="48" t="str">
        <f t="shared" si="68"/>
        <v/>
      </c>
      <c r="V773" s="16"/>
      <c r="W773" s="34"/>
      <c r="X773" s="35"/>
      <c r="Z773" s="74"/>
      <c r="AA773" s="130" t="str" cm="1">
        <f t="array" ref="AA773">HEX2ASCII(AB773)&amp;HEX2ASCII(AC773)&amp;HEX2ASCII(AD773)&amp;HEX2ASCII(AE773)&amp;HEX2ASCII(AF773)&amp;HEX2ASCII(AG773)&amp;HEX2ASCII(AH773)&amp;HEX2ASCII(AI773)</f>
        <v/>
      </c>
      <c r="AB773" s="147"/>
      <c r="AC773" s="148"/>
      <c r="AD773" s="148"/>
      <c r="AE773" s="148"/>
      <c r="AF773" s="148"/>
      <c r="AG773" s="148"/>
      <c r="AH773" s="148"/>
      <c r="AI773" s="149"/>
    </row>
    <row r="774" spans="11:35">
      <c r="K774" s="85"/>
      <c r="L774" s="54" t="str">
        <f t="shared" si="67"/>
        <v/>
      </c>
      <c r="M774" s="38" t="str">
        <f t="shared" si="70"/>
        <v>03FE</v>
      </c>
      <c r="N774" s="69">
        <f t="shared" si="69"/>
        <v>1022</v>
      </c>
      <c r="O774" s="96"/>
      <c r="P774" s="97"/>
      <c r="Q774" s="98"/>
      <c r="R774" s="135"/>
      <c r="U774" s="48" t="str">
        <f t="shared" si="68"/>
        <v/>
      </c>
      <c r="V774" s="16"/>
      <c r="W774" s="34"/>
      <c r="X774" s="35"/>
      <c r="Z774" s="74"/>
      <c r="AA774" s="130" t="str" cm="1">
        <f t="array" ref="AA774">HEX2ASCII(AB774)&amp;HEX2ASCII(AC774)&amp;HEX2ASCII(AD774)&amp;HEX2ASCII(AE774)&amp;HEX2ASCII(AF774)&amp;HEX2ASCII(AG774)&amp;HEX2ASCII(AH774)&amp;HEX2ASCII(AI774)</f>
        <v/>
      </c>
      <c r="AB774" s="147"/>
      <c r="AC774" s="148"/>
      <c r="AD774" s="148"/>
      <c r="AE774" s="148"/>
      <c r="AF774" s="148"/>
      <c r="AG774" s="148"/>
      <c r="AH774" s="148"/>
      <c r="AI774" s="149"/>
    </row>
    <row r="775" spans="11:35">
      <c r="K775" s="85"/>
      <c r="L775" s="54" t="str">
        <f t="shared" si="67"/>
        <v/>
      </c>
      <c r="M775" s="38" t="str">
        <f t="shared" si="70"/>
        <v>03FF</v>
      </c>
      <c r="N775" s="69">
        <f t="shared" si="69"/>
        <v>1023</v>
      </c>
      <c r="O775" s="96"/>
      <c r="P775" s="97"/>
      <c r="Q775" s="98"/>
      <c r="R775" s="135"/>
      <c r="U775" s="48" t="str">
        <f t="shared" si="68"/>
        <v/>
      </c>
      <c r="V775" s="16"/>
      <c r="W775" s="34"/>
      <c r="X775" s="35"/>
      <c r="Z775" s="74"/>
      <c r="AA775" s="130" t="str" cm="1">
        <f t="array" ref="AA775">HEX2ASCII(AB775)&amp;HEX2ASCII(AC775)&amp;HEX2ASCII(AD775)&amp;HEX2ASCII(AE775)&amp;HEX2ASCII(AF775)&amp;HEX2ASCII(AG775)&amp;HEX2ASCII(AH775)&amp;HEX2ASCII(AI775)</f>
        <v/>
      </c>
      <c r="AB775" s="147"/>
      <c r="AC775" s="148"/>
      <c r="AD775" s="148"/>
      <c r="AE775" s="148"/>
      <c r="AF775" s="148"/>
      <c r="AG775" s="148"/>
      <c r="AH775" s="148"/>
      <c r="AI775" s="149"/>
    </row>
    <row r="776" spans="11:35">
      <c r="K776" s="85"/>
      <c r="L776" s="54" t="str">
        <f t="shared" si="67"/>
        <v/>
      </c>
      <c r="M776" s="38" t="str">
        <f t="shared" si="70"/>
        <v>0400</v>
      </c>
      <c r="N776" s="69">
        <f t="shared" si="69"/>
        <v>1024</v>
      </c>
      <c r="O776" s="96"/>
      <c r="P776" s="97"/>
      <c r="Q776" s="98"/>
      <c r="R776" s="135"/>
      <c r="U776" s="48" t="str">
        <f t="shared" si="68"/>
        <v/>
      </c>
      <c r="V776" s="16"/>
      <c r="W776" s="34"/>
      <c r="X776" s="35"/>
      <c r="Z776" s="74"/>
      <c r="AA776" s="130" t="str" cm="1">
        <f t="array" ref="AA776">HEX2ASCII(AB776)&amp;HEX2ASCII(AC776)&amp;HEX2ASCII(AD776)&amp;HEX2ASCII(AE776)&amp;HEX2ASCII(AF776)&amp;HEX2ASCII(AG776)&amp;HEX2ASCII(AH776)&amp;HEX2ASCII(AI776)</f>
        <v/>
      </c>
      <c r="AB776" s="147"/>
      <c r="AC776" s="148"/>
      <c r="AD776" s="148"/>
      <c r="AE776" s="148"/>
      <c r="AF776" s="148"/>
      <c r="AG776" s="148"/>
      <c r="AH776" s="148"/>
      <c r="AI776" s="149"/>
    </row>
    <row r="777" spans="11:35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0401</v>
      </c>
      <c r="N777" s="69">
        <f t="shared" si="69"/>
        <v>1025</v>
      </c>
      <c r="O777" s="96"/>
      <c r="P777" s="97"/>
      <c r="Q777" s="98"/>
      <c r="R777" s="135"/>
      <c r="U777" s="48" t="str">
        <f t="shared" ref="U777:U840" si="72">IF(V777&gt;0,RIGHT("0000"&amp;DEC2HEX(V777),4),"")</f>
        <v/>
      </c>
      <c r="V777" s="16"/>
      <c r="W777" s="34"/>
      <c r="X777" s="35"/>
      <c r="Z777" s="74"/>
      <c r="AA777" s="130" t="str" cm="1">
        <f t="array" ref="AA777">HEX2ASCII(AB777)&amp;HEX2ASCII(AC777)&amp;HEX2ASCII(AD777)&amp;HEX2ASCII(AE777)&amp;HEX2ASCII(AF777)&amp;HEX2ASCII(AG777)&amp;HEX2ASCII(AH777)&amp;HEX2ASCII(AI777)</f>
        <v/>
      </c>
      <c r="AB777" s="147"/>
      <c r="AC777" s="148"/>
      <c r="AD777" s="148"/>
      <c r="AE777" s="148"/>
      <c r="AF777" s="148"/>
      <c r="AG777" s="148"/>
      <c r="AH777" s="148"/>
      <c r="AI777" s="149"/>
    </row>
    <row r="778" spans="11:35">
      <c r="K778" s="85"/>
      <c r="L778" s="54" t="str">
        <f t="shared" si="71"/>
        <v/>
      </c>
      <c r="M778" s="38" t="str">
        <f t="shared" si="70"/>
        <v>0402</v>
      </c>
      <c r="N778" s="69">
        <f t="shared" ref="N778:N841" si="73">N777+0*COUNTA(P777:R777)+1</f>
        <v>1026</v>
      </c>
      <c r="O778" s="96"/>
      <c r="P778" s="97"/>
      <c r="Q778" s="98"/>
      <c r="R778" s="135"/>
      <c r="U778" s="48" t="str">
        <f t="shared" si="72"/>
        <v/>
      </c>
      <c r="V778" s="16"/>
      <c r="W778" s="34"/>
      <c r="X778" s="35"/>
      <c r="Z778" s="74"/>
      <c r="AA778" s="130" t="str" cm="1">
        <f t="array" ref="AA778">HEX2ASCII(AB778)&amp;HEX2ASCII(AC778)&amp;HEX2ASCII(AD778)&amp;HEX2ASCII(AE778)&amp;HEX2ASCII(AF778)&amp;HEX2ASCII(AG778)&amp;HEX2ASCII(AH778)&amp;HEX2ASCII(AI778)</f>
        <v/>
      </c>
      <c r="AB778" s="147"/>
      <c r="AC778" s="148"/>
      <c r="AD778" s="148"/>
      <c r="AE778" s="148"/>
      <c r="AF778" s="148"/>
      <c r="AG778" s="148"/>
      <c r="AH778" s="148"/>
      <c r="AI778" s="149"/>
    </row>
    <row r="779" spans="11:35">
      <c r="K779" s="85"/>
      <c r="L779" s="54" t="str">
        <f t="shared" si="71"/>
        <v/>
      </c>
      <c r="M779" s="38" t="str">
        <f t="shared" si="70"/>
        <v>0403</v>
      </c>
      <c r="N779" s="69">
        <f t="shared" si="73"/>
        <v>1027</v>
      </c>
      <c r="O779" s="96"/>
      <c r="P779" s="97"/>
      <c r="Q779" s="98"/>
      <c r="R779" s="135"/>
      <c r="U779" s="48" t="str">
        <f t="shared" si="72"/>
        <v/>
      </c>
      <c r="V779" s="16"/>
      <c r="W779" s="34"/>
      <c r="X779" s="35"/>
      <c r="Z779" s="74"/>
      <c r="AA779" s="130" t="str" cm="1">
        <f t="array" ref="AA779">HEX2ASCII(AB779)&amp;HEX2ASCII(AC779)&amp;HEX2ASCII(AD779)&amp;HEX2ASCII(AE779)&amp;HEX2ASCII(AF779)&amp;HEX2ASCII(AG779)&amp;HEX2ASCII(AH779)&amp;HEX2ASCII(AI779)</f>
        <v/>
      </c>
      <c r="AB779" s="147"/>
      <c r="AC779" s="148"/>
      <c r="AD779" s="148"/>
      <c r="AE779" s="148"/>
      <c r="AF779" s="148"/>
      <c r="AG779" s="148"/>
      <c r="AH779" s="148"/>
      <c r="AI779" s="149"/>
    </row>
    <row r="780" spans="11:35">
      <c r="K780" s="85"/>
      <c r="L780" s="54" t="str">
        <f t="shared" si="71"/>
        <v/>
      </c>
      <c r="M780" s="38" t="str">
        <f t="shared" si="70"/>
        <v>0404</v>
      </c>
      <c r="N780" s="69">
        <f t="shared" si="73"/>
        <v>1028</v>
      </c>
      <c r="O780" s="96"/>
      <c r="P780" s="97"/>
      <c r="Q780" s="98"/>
      <c r="R780" s="135"/>
      <c r="U780" s="48" t="str">
        <f t="shared" si="72"/>
        <v/>
      </c>
      <c r="V780" s="16"/>
      <c r="W780" s="34"/>
      <c r="X780" s="35"/>
      <c r="Z780" s="74"/>
      <c r="AA780" s="130" t="str" cm="1">
        <f t="array" ref="AA780">HEX2ASCII(AB780)&amp;HEX2ASCII(AC780)&amp;HEX2ASCII(AD780)&amp;HEX2ASCII(AE780)&amp;HEX2ASCII(AF780)&amp;HEX2ASCII(AG780)&amp;HEX2ASCII(AH780)&amp;HEX2ASCII(AI780)</f>
        <v/>
      </c>
      <c r="AB780" s="147"/>
      <c r="AC780" s="148"/>
      <c r="AD780" s="148"/>
      <c r="AE780" s="148"/>
      <c r="AF780" s="148"/>
      <c r="AG780" s="148"/>
      <c r="AH780" s="148"/>
      <c r="AI780" s="149"/>
    </row>
    <row r="781" spans="11:35">
      <c r="K781" s="85"/>
      <c r="L781" s="54" t="str">
        <f t="shared" si="71"/>
        <v/>
      </c>
      <c r="M781" s="38" t="str">
        <f t="shared" si="70"/>
        <v>0405</v>
      </c>
      <c r="N781" s="69">
        <f t="shared" si="73"/>
        <v>1029</v>
      </c>
      <c r="O781" s="96"/>
      <c r="P781" s="97"/>
      <c r="Q781" s="98"/>
      <c r="R781" s="135"/>
      <c r="U781" s="48" t="str">
        <f t="shared" si="72"/>
        <v/>
      </c>
      <c r="V781" s="16"/>
      <c r="W781" s="34"/>
      <c r="X781" s="35"/>
      <c r="Z781" s="74"/>
      <c r="AA781" s="130" t="str" cm="1">
        <f t="array" ref="AA781">HEX2ASCII(AB781)&amp;HEX2ASCII(AC781)&amp;HEX2ASCII(AD781)&amp;HEX2ASCII(AE781)&amp;HEX2ASCII(AF781)&amp;HEX2ASCII(AG781)&amp;HEX2ASCII(AH781)&amp;HEX2ASCII(AI781)</f>
        <v/>
      </c>
      <c r="AB781" s="147"/>
      <c r="AC781" s="148"/>
      <c r="AD781" s="148"/>
      <c r="AE781" s="148"/>
      <c r="AF781" s="148"/>
      <c r="AG781" s="148"/>
      <c r="AH781" s="148"/>
      <c r="AI781" s="149"/>
    </row>
    <row r="782" spans="11:35">
      <c r="K782" s="85"/>
      <c r="L782" s="54" t="str">
        <f t="shared" si="71"/>
        <v/>
      </c>
      <c r="M782" s="38" t="str">
        <f t="shared" si="70"/>
        <v>0406</v>
      </c>
      <c r="N782" s="69">
        <f t="shared" si="73"/>
        <v>1030</v>
      </c>
      <c r="O782" s="96"/>
      <c r="P782" s="97"/>
      <c r="Q782" s="98"/>
      <c r="R782" s="135"/>
      <c r="U782" s="48" t="str">
        <f t="shared" si="72"/>
        <v/>
      </c>
      <c r="V782" s="16"/>
      <c r="W782" s="34"/>
      <c r="X782" s="35"/>
      <c r="Z782" s="74"/>
      <c r="AA782" s="130" t="str" cm="1">
        <f t="array" ref="AA782">HEX2ASCII(AB782)&amp;HEX2ASCII(AC782)&amp;HEX2ASCII(AD782)&amp;HEX2ASCII(AE782)&amp;HEX2ASCII(AF782)&amp;HEX2ASCII(AG782)&amp;HEX2ASCII(AH782)&amp;HEX2ASCII(AI782)</f>
        <v/>
      </c>
      <c r="AB782" s="147"/>
      <c r="AC782" s="148"/>
      <c r="AD782" s="148"/>
      <c r="AE782" s="148"/>
      <c r="AF782" s="148"/>
      <c r="AG782" s="148"/>
      <c r="AH782" s="148"/>
      <c r="AI782" s="149"/>
    </row>
    <row r="783" spans="11:35">
      <c r="K783" s="85"/>
      <c r="L783" s="54" t="str">
        <f t="shared" si="71"/>
        <v/>
      </c>
      <c r="M783" s="38" t="str">
        <f t="shared" si="70"/>
        <v>0407</v>
      </c>
      <c r="N783" s="69">
        <f t="shared" si="73"/>
        <v>1031</v>
      </c>
      <c r="O783" s="96"/>
      <c r="P783" s="97"/>
      <c r="Q783" s="98"/>
      <c r="R783" s="135"/>
      <c r="U783" s="48" t="str">
        <f t="shared" si="72"/>
        <v/>
      </c>
      <c r="V783" s="16"/>
      <c r="W783" s="34"/>
      <c r="X783" s="35"/>
      <c r="Z783" s="74"/>
      <c r="AA783" s="130" t="str" cm="1">
        <f t="array" ref="AA783">HEX2ASCII(AB783)&amp;HEX2ASCII(AC783)&amp;HEX2ASCII(AD783)&amp;HEX2ASCII(AE783)&amp;HEX2ASCII(AF783)&amp;HEX2ASCII(AG783)&amp;HEX2ASCII(AH783)&amp;HEX2ASCII(AI783)</f>
        <v/>
      </c>
      <c r="AB783" s="147"/>
      <c r="AC783" s="148"/>
      <c r="AD783" s="148"/>
      <c r="AE783" s="148"/>
      <c r="AF783" s="148"/>
      <c r="AG783" s="148"/>
      <c r="AH783" s="148"/>
      <c r="AI783" s="149"/>
    </row>
    <row r="784" spans="11:35">
      <c r="K784" s="85"/>
      <c r="L784" s="54" t="str">
        <f t="shared" si="71"/>
        <v/>
      </c>
      <c r="M784" s="38" t="str">
        <f t="shared" si="70"/>
        <v>0408</v>
      </c>
      <c r="N784" s="69">
        <f t="shared" si="73"/>
        <v>1032</v>
      </c>
      <c r="O784" s="96"/>
      <c r="P784" s="97"/>
      <c r="Q784" s="98"/>
      <c r="R784" s="135"/>
      <c r="U784" s="48" t="str">
        <f t="shared" si="72"/>
        <v/>
      </c>
      <c r="V784" s="16"/>
      <c r="W784" s="34"/>
      <c r="X784" s="35"/>
      <c r="Z784" s="74"/>
      <c r="AA784" s="130" t="str" cm="1">
        <f t="array" ref="AA784">HEX2ASCII(AB784)&amp;HEX2ASCII(AC784)&amp;HEX2ASCII(AD784)&amp;HEX2ASCII(AE784)&amp;HEX2ASCII(AF784)&amp;HEX2ASCII(AG784)&amp;HEX2ASCII(AH784)&amp;HEX2ASCII(AI784)</f>
        <v/>
      </c>
      <c r="AB784" s="147"/>
      <c r="AC784" s="148"/>
      <c r="AD784" s="148"/>
      <c r="AE784" s="148"/>
      <c r="AF784" s="148"/>
      <c r="AG784" s="148"/>
      <c r="AH784" s="148"/>
      <c r="AI784" s="149"/>
    </row>
    <row r="785" spans="11:35">
      <c r="K785" s="85"/>
      <c r="L785" s="54" t="str">
        <f t="shared" si="71"/>
        <v/>
      </c>
      <c r="M785" s="38" t="str">
        <f t="shared" si="70"/>
        <v>0409</v>
      </c>
      <c r="N785" s="69">
        <f t="shared" si="73"/>
        <v>1033</v>
      </c>
      <c r="O785" s="96"/>
      <c r="P785" s="97"/>
      <c r="Q785" s="98"/>
      <c r="R785" s="135"/>
      <c r="U785" s="48" t="str">
        <f t="shared" si="72"/>
        <v/>
      </c>
      <c r="V785" s="16"/>
      <c r="W785" s="34"/>
      <c r="X785" s="35"/>
      <c r="Z785" s="74"/>
      <c r="AA785" s="130" t="str" cm="1">
        <f t="array" ref="AA785">HEX2ASCII(AB785)&amp;HEX2ASCII(AC785)&amp;HEX2ASCII(AD785)&amp;HEX2ASCII(AE785)&amp;HEX2ASCII(AF785)&amp;HEX2ASCII(AG785)&amp;HEX2ASCII(AH785)&amp;HEX2ASCII(AI785)</f>
        <v/>
      </c>
      <c r="AB785" s="147"/>
      <c r="AC785" s="148"/>
      <c r="AD785" s="148"/>
      <c r="AE785" s="148"/>
      <c r="AF785" s="148"/>
      <c r="AG785" s="148"/>
      <c r="AH785" s="148"/>
      <c r="AI785" s="149"/>
    </row>
    <row r="786" spans="11:35">
      <c r="K786" s="85"/>
      <c r="L786" s="54" t="str">
        <f t="shared" si="71"/>
        <v/>
      </c>
      <c r="M786" s="38" t="str">
        <f t="shared" si="70"/>
        <v>040A</v>
      </c>
      <c r="N786" s="69">
        <f t="shared" si="73"/>
        <v>1034</v>
      </c>
      <c r="O786" s="96"/>
      <c r="P786" s="97"/>
      <c r="Q786" s="98"/>
      <c r="R786" s="135"/>
      <c r="U786" s="48" t="str">
        <f t="shared" si="72"/>
        <v/>
      </c>
      <c r="V786" s="16"/>
      <c r="W786" s="34"/>
      <c r="X786" s="35"/>
      <c r="Z786" s="74"/>
      <c r="AA786" s="130" t="str" cm="1">
        <f t="array" ref="AA786">HEX2ASCII(AB786)&amp;HEX2ASCII(AC786)&amp;HEX2ASCII(AD786)&amp;HEX2ASCII(AE786)&amp;HEX2ASCII(AF786)&amp;HEX2ASCII(AG786)&amp;HEX2ASCII(AH786)&amp;HEX2ASCII(AI786)</f>
        <v/>
      </c>
      <c r="AB786" s="147"/>
      <c r="AC786" s="148"/>
      <c r="AD786" s="148"/>
      <c r="AE786" s="148"/>
      <c r="AF786" s="148"/>
      <c r="AG786" s="148"/>
      <c r="AH786" s="148"/>
      <c r="AI786" s="149"/>
    </row>
    <row r="787" spans="11:35">
      <c r="K787" s="85"/>
      <c r="L787" s="54" t="str">
        <f t="shared" si="71"/>
        <v/>
      </c>
      <c r="M787" s="38" t="str">
        <f t="shared" si="70"/>
        <v>040B</v>
      </c>
      <c r="N787" s="69">
        <f t="shared" si="73"/>
        <v>1035</v>
      </c>
      <c r="O787" s="96"/>
      <c r="P787" s="97"/>
      <c r="Q787" s="98"/>
      <c r="R787" s="135"/>
      <c r="U787" s="48" t="str">
        <f t="shared" si="72"/>
        <v/>
      </c>
      <c r="V787" s="16"/>
      <c r="W787" s="34"/>
      <c r="X787" s="35"/>
      <c r="Z787" s="74"/>
      <c r="AA787" s="130" t="str" cm="1">
        <f t="array" ref="AA787">HEX2ASCII(AB787)&amp;HEX2ASCII(AC787)&amp;HEX2ASCII(AD787)&amp;HEX2ASCII(AE787)&amp;HEX2ASCII(AF787)&amp;HEX2ASCII(AG787)&amp;HEX2ASCII(AH787)&amp;HEX2ASCII(AI787)</f>
        <v/>
      </c>
      <c r="AB787" s="147"/>
      <c r="AC787" s="148"/>
      <c r="AD787" s="148"/>
      <c r="AE787" s="148"/>
      <c r="AF787" s="148"/>
      <c r="AG787" s="148"/>
      <c r="AH787" s="148"/>
      <c r="AI787" s="149"/>
    </row>
    <row r="788" spans="11:35">
      <c r="K788" s="85"/>
      <c r="L788" s="54" t="str">
        <f t="shared" si="71"/>
        <v/>
      </c>
      <c r="M788" s="38" t="str">
        <f t="shared" si="70"/>
        <v>040C</v>
      </c>
      <c r="N788" s="69">
        <f t="shared" si="73"/>
        <v>1036</v>
      </c>
      <c r="O788" s="96"/>
      <c r="P788" s="97"/>
      <c r="Q788" s="98"/>
      <c r="R788" s="135"/>
      <c r="U788" s="48" t="str">
        <f t="shared" si="72"/>
        <v/>
      </c>
      <c r="V788" s="16"/>
      <c r="W788" s="34"/>
      <c r="X788" s="35"/>
      <c r="Z788" s="74"/>
      <c r="AA788" s="130" t="str" cm="1">
        <f t="array" ref="AA788">HEX2ASCII(AB788)&amp;HEX2ASCII(AC788)&amp;HEX2ASCII(AD788)&amp;HEX2ASCII(AE788)&amp;HEX2ASCII(AF788)&amp;HEX2ASCII(AG788)&amp;HEX2ASCII(AH788)&amp;HEX2ASCII(AI788)</f>
        <v/>
      </c>
      <c r="AB788" s="147"/>
      <c r="AC788" s="148"/>
      <c r="AD788" s="148"/>
      <c r="AE788" s="148"/>
      <c r="AF788" s="148"/>
      <c r="AG788" s="148"/>
      <c r="AH788" s="148"/>
      <c r="AI788" s="149"/>
    </row>
    <row r="789" spans="11:35">
      <c r="K789" s="85"/>
      <c r="L789" s="54" t="str">
        <f t="shared" si="71"/>
        <v/>
      </c>
      <c r="M789" s="38" t="str">
        <f t="shared" si="70"/>
        <v>040D</v>
      </c>
      <c r="N789" s="69">
        <f t="shared" si="73"/>
        <v>1037</v>
      </c>
      <c r="O789" s="96"/>
      <c r="P789" s="97"/>
      <c r="Q789" s="98"/>
      <c r="R789" s="135"/>
      <c r="U789" s="48" t="str">
        <f t="shared" si="72"/>
        <v/>
      </c>
      <c r="V789" s="16"/>
      <c r="W789" s="34"/>
      <c r="X789" s="35"/>
      <c r="Z789" s="74"/>
      <c r="AA789" s="130" t="str" cm="1">
        <f t="array" ref="AA789">HEX2ASCII(AB789)&amp;HEX2ASCII(AC789)&amp;HEX2ASCII(AD789)&amp;HEX2ASCII(AE789)&amp;HEX2ASCII(AF789)&amp;HEX2ASCII(AG789)&amp;HEX2ASCII(AH789)&amp;HEX2ASCII(AI789)</f>
        <v/>
      </c>
      <c r="AB789" s="147"/>
      <c r="AC789" s="148"/>
      <c r="AD789" s="148"/>
      <c r="AE789" s="148"/>
      <c r="AF789" s="148"/>
      <c r="AG789" s="148"/>
      <c r="AH789" s="148"/>
      <c r="AI789" s="149"/>
    </row>
    <row r="790" spans="11:35">
      <c r="K790" s="85"/>
      <c r="L790" s="54" t="str">
        <f t="shared" si="71"/>
        <v/>
      </c>
      <c r="M790" s="38" t="str">
        <f t="shared" si="70"/>
        <v>040E</v>
      </c>
      <c r="N790" s="69">
        <f t="shared" si="73"/>
        <v>1038</v>
      </c>
      <c r="O790" s="96"/>
      <c r="P790" s="97"/>
      <c r="Q790" s="98"/>
      <c r="R790" s="135"/>
      <c r="U790" s="48" t="str">
        <f t="shared" si="72"/>
        <v/>
      </c>
      <c r="V790" s="16"/>
      <c r="W790" s="34"/>
      <c r="X790" s="35"/>
      <c r="Z790" s="74"/>
      <c r="AA790" s="130" t="str" cm="1">
        <f t="array" ref="AA790">HEX2ASCII(AB790)&amp;HEX2ASCII(AC790)&amp;HEX2ASCII(AD790)&amp;HEX2ASCII(AE790)&amp;HEX2ASCII(AF790)&amp;HEX2ASCII(AG790)&amp;HEX2ASCII(AH790)&amp;HEX2ASCII(AI790)</f>
        <v/>
      </c>
      <c r="AB790" s="147"/>
      <c r="AC790" s="148"/>
      <c r="AD790" s="148"/>
      <c r="AE790" s="148"/>
      <c r="AF790" s="148"/>
      <c r="AG790" s="148"/>
      <c r="AH790" s="148"/>
      <c r="AI790" s="149"/>
    </row>
    <row r="791" spans="11:35">
      <c r="K791" s="85"/>
      <c r="L791" s="54" t="str">
        <f t="shared" si="71"/>
        <v/>
      </c>
      <c r="M791" s="38" t="str">
        <f t="shared" si="70"/>
        <v>040F</v>
      </c>
      <c r="N791" s="69">
        <f t="shared" si="73"/>
        <v>1039</v>
      </c>
      <c r="O791" s="96"/>
      <c r="P791" s="97"/>
      <c r="Q791" s="98"/>
      <c r="R791" s="135"/>
      <c r="U791" s="48" t="str">
        <f t="shared" si="72"/>
        <v/>
      </c>
      <c r="V791" s="16"/>
      <c r="W791" s="34"/>
      <c r="X791" s="35"/>
      <c r="Z791" s="74"/>
      <c r="AA791" s="130" t="str" cm="1">
        <f t="array" ref="AA791">HEX2ASCII(AB791)&amp;HEX2ASCII(AC791)&amp;HEX2ASCII(AD791)&amp;HEX2ASCII(AE791)&amp;HEX2ASCII(AF791)&amp;HEX2ASCII(AG791)&amp;HEX2ASCII(AH791)&amp;HEX2ASCII(AI791)</f>
        <v/>
      </c>
      <c r="AB791" s="147"/>
      <c r="AC791" s="148"/>
      <c r="AD791" s="148"/>
      <c r="AE791" s="148"/>
      <c r="AF791" s="148"/>
      <c r="AG791" s="148"/>
      <c r="AH791" s="148"/>
      <c r="AI791" s="149"/>
    </row>
    <row r="792" spans="11:35">
      <c r="K792" s="85"/>
      <c r="L792" s="54" t="str">
        <f t="shared" si="71"/>
        <v/>
      </c>
      <c r="M792" s="38" t="str">
        <f t="shared" si="70"/>
        <v>0410</v>
      </c>
      <c r="N792" s="69">
        <f t="shared" si="73"/>
        <v>1040</v>
      </c>
      <c r="O792" s="96"/>
      <c r="P792" s="97"/>
      <c r="Q792" s="98"/>
      <c r="R792" s="135"/>
      <c r="U792" s="48" t="str">
        <f t="shared" si="72"/>
        <v/>
      </c>
      <c r="V792" s="16"/>
      <c r="W792" s="34"/>
      <c r="X792" s="35"/>
      <c r="Z792" s="74"/>
      <c r="AA792" s="130" t="str" cm="1">
        <f t="array" ref="AA792">HEX2ASCII(AB792)&amp;HEX2ASCII(AC792)&amp;HEX2ASCII(AD792)&amp;HEX2ASCII(AE792)&amp;HEX2ASCII(AF792)&amp;HEX2ASCII(AG792)&amp;HEX2ASCII(AH792)&amp;HEX2ASCII(AI792)</f>
        <v/>
      </c>
      <c r="AB792" s="147"/>
      <c r="AC792" s="148"/>
      <c r="AD792" s="148"/>
      <c r="AE792" s="148"/>
      <c r="AF792" s="148"/>
      <c r="AG792" s="148"/>
      <c r="AH792" s="148"/>
      <c r="AI792" s="149"/>
    </row>
    <row r="793" spans="11:35">
      <c r="K793" s="85"/>
      <c r="L793" s="54" t="str">
        <f t="shared" si="71"/>
        <v/>
      </c>
      <c r="M793" s="38" t="str">
        <f t="shared" si="70"/>
        <v>0411</v>
      </c>
      <c r="N793" s="69">
        <f t="shared" si="73"/>
        <v>1041</v>
      </c>
      <c r="O793" s="96"/>
      <c r="P793" s="97"/>
      <c r="Q793" s="98"/>
      <c r="R793" s="135"/>
      <c r="U793" s="48" t="str">
        <f t="shared" si="72"/>
        <v/>
      </c>
      <c r="V793" s="16"/>
      <c r="W793" s="34"/>
      <c r="X793" s="35"/>
      <c r="Z793" s="74"/>
      <c r="AA793" s="130" t="str" cm="1">
        <f t="array" ref="AA793">HEX2ASCII(AB793)&amp;HEX2ASCII(AC793)&amp;HEX2ASCII(AD793)&amp;HEX2ASCII(AE793)&amp;HEX2ASCII(AF793)&amp;HEX2ASCII(AG793)&amp;HEX2ASCII(AH793)&amp;HEX2ASCII(AI793)</f>
        <v/>
      </c>
      <c r="AB793" s="147"/>
      <c r="AC793" s="148"/>
      <c r="AD793" s="148"/>
      <c r="AE793" s="148"/>
      <c r="AF793" s="148"/>
      <c r="AG793" s="148"/>
      <c r="AH793" s="148"/>
      <c r="AI793" s="149"/>
    </row>
    <row r="794" spans="11:35">
      <c r="K794" s="85"/>
      <c r="L794" s="54" t="str">
        <f t="shared" si="71"/>
        <v/>
      </c>
      <c r="M794" s="38" t="str">
        <f t="shared" si="70"/>
        <v>0412</v>
      </c>
      <c r="N794" s="69">
        <f t="shared" si="73"/>
        <v>1042</v>
      </c>
      <c r="O794" s="96"/>
      <c r="P794" s="97"/>
      <c r="Q794" s="98"/>
      <c r="R794" s="135"/>
      <c r="U794" s="48" t="str">
        <f t="shared" si="72"/>
        <v/>
      </c>
      <c r="V794" s="16"/>
      <c r="W794" s="34"/>
      <c r="X794" s="35"/>
      <c r="Z794" s="74"/>
      <c r="AA794" s="130" t="str" cm="1">
        <f t="array" ref="AA794">HEX2ASCII(AB794)&amp;HEX2ASCII(AC794)&amp;HEX2ASCII(AD794)&amp;HEX2ASCII(AE794)&amp;HEX2ASCII(AF794)&amp;HEX2ASCII(AG794)&amp;HEX2ASCII(AH794)&amp;HEX2ASCII(AI794)</f>
        <v/>
      </c>
      <c r="AB794" s="147"/>
      <c r="AC794" s="148"/>
      <c r="AD794" s="148"/>
      <c r="AE794" s="148"/>
      <c r="AF794" s="148"/>
      <c r="AG794" s="148"/>
      <c r="AH794" s="148"/>
      <c r="AI794" s="149"/>
    </row>
    <row r="795" spans="11:35">
      <c r="K795" s="85"/>
      <c r="L795" s="54" t="str">
        <f t="shared" si="71"/>
        <v/>
      </c>
      <c r="M795" s="38" t="str">
        <f t="shared" si="70"/>
        <v>0413</v>
      </c>
      <c r="N795" s="69">
        <f t="shared" si="73"/>
        <v>1043</v>
      </c>
      <c r="O795" s="96"/>
      <c r="P795" s="97"/>
      <c r="Q795" s="98"/>
      <c r="R795" s="135"/>
      <c r="U795" s="48" t="str">
        <f t="shared" si="72"/>
        <v/>
      </c>
      <c r="V795" s="16"/>
      <c r="W795" s="34"/>
      <c r="X795" s="35"/>
      <c r="Z795" s="74"/>
      <c r="AA795" s="130" t="str" cm="1">
        <f t="array" ref="AA795">HEX2ASCII(AB795)&amp;HEX2ASCII(AC795)&amp;HEX2ASCII(AD795)&amp;HEX2ASCII(AE795)&amp;HEX2ASCII(AF795)&amp;HEX2ASCII(AG795)&amp;HEX2ASCII(AH795)&amp;HEX2ASCII(AI795)</f>
        <v/>
      </c>
      <c r="AB795" s="147"/>
      <c r="AC795" s="148"/>
      <c r="AD795" s="148"/>
      <c r="AE795" s="148"/>
      <c r="AF795" s="148"/>
      <c r="AG795" s="148"/>
      <c r="AH795" s="148"/>
      <c r="AI795" s="149"/>
    </row>
    <row r="796" spans="11:35">
      <c r="K796" s="85"/>
      <c r="L796" s="54" t="str">
        <f t="shared" si="71"/>
        <v/>
      </c>
      <c r="M796" s="38" t="str">
        <f t="shared" si="70"/>
        <v>0414</v>
      </c>
      <c r="N796" s="69">
        <f t="shared" si="73"/>
        <v>1044</v>
      </c>
      <c r="O796" s="96"/>
      <c r="P796" s="97"/>
      <c r="Q796" s="98"/>
      <c r="R796" s="135"/>
      <c r="U796" s="48" t="str">
        <f t="shared" si="72"/>
        <v/>
      </c>
      <c r="V796" s="16"/>
      <c r="W796" s="34"/>
      <c r="X796" s="35"/>
      <c r="Z796" s="74"/>
      <c r="AA796" s="130" t="str" cm="1">
        <f t="array" ref="AA796">HEX2ASCII(AB796)&amp;HEX2ASCII(AC796)&amp;HEX2ASCII(AD796)&amp;HEX2ASCII(AE796)&amp;HEX2ASCII(AF796)&amp;HEX2ASCII(AG796)&amp;HEX2ASCII(AH796)&amp;HEX2ASCII(AI796)</f>
        <v/>
      </c>
      <c r="AB796" s="147"/>
      <c r="AC796" s="148"/>
      <c r="AD796" s="148"/>
      <c r="AE796" s="148"/>
      <c r="AF796" s="148"/>
      <c r="AG796" s="148"/>
      <c r="AH796" s="148"/>
      <c r="AI796" s="149"/>
    </row>
    <row r="797" spans="11:35">
      <c r="K797" s="85"/>
      <c r="L797" s="54" t="str">
        <f t="shared" si="71"/>
        <v/>
      </c>
      <c r="M797" s="38" t="str">
        <f t="shared" ref="M797:M860" si="74">IFERROR(RIGHT("0000"&amp;DEC2HEX(N797),4),"")</f>
        <v>0415</v>
      </c>
      <c r="N797" s="69">
        <f t="shared" si="73"/>
        <v>1045</v>
      </c>
      <c r="O797" s="96"/>
      <c r="P797" s="97"/>
      <c r="Q797" s="98"/>
      <c r="R797" s="135"/>
      <c r="U797" s="48" t="str">
        <f t="shared" si="72"/>
        <v/>
      </c>
      <c r="V797" s="16"/>
      <c r="W797" s="34"/>
      <c r="X797" s="35"/>
      <c r="Z797" s="74"/>
      <c r="AA797" s="130" t="str" cm="1">
        <f t="array" ref="AA797">HEX2ASCII(AB797)&amp;HEX2ASCII(AC797)&amp;HEX2ASCII(AD797)&amp;HEX2ASCII(AE797)&amp;HEX2ASCII(AF797)&amp;HEX2ASCII(AG797)&amp;HEX2ASCII(AH797)&amp;HEX2ASCII(AI797)</f>
        <v/>
      </c>
      <c r="AB797" s="147"/>
      <c r="AC797" s="148"/>
      <c r="AD797" s="148"/>
      <c r="AE797" s="148"/>
      <c r="AF797" s="148"/>
      <c r="AG797" s="148"/>
      <c r="AH797" s="148"/>
      <c r="AI797" s="149"/>
    </row>
    <row r="798" spans="11:35">
      <c r="K798" s="85"/>
      <c r="L798" s="54" t="str">
        <f t="shared" si="71"/>
        <v/>
      </c>
      <c r="M798" s="38" t="str">
        <f t="shared" si="74"/>
        <v>0416</v>
      </c>
      <c r="N798" s="69">
        <f t="shared" si="73"/>
        <v>1046</v>
      </c>
      <c r="O798" s="96"/>
      <c r="P798" s="97"/>
      <c r="Q798" s="98"/>
      <c r="R798" s="135"/>
      <c r="U798" s="48" t="str">
        <f t="shared" si="72"/>
        <v/>
      </c>
      <c r="V798" s="16"/>
      <c r="W798" s="34"/>
      <c r="X798" s="35"/>
      <c r="Z798" s="74"/>
      <c r="AA798" s="130" t="str" cm="1">
        <f t="array" ref="AA798">HEX2ASCII(AB798)&amp;HEX2ASCII(AC798)&amp;HEX2ASCII(AD798)&amp;HEX2ASCII(AE798)&amp;HEX2ASCII(AF798)&amp;HEX2ASCII(AG798)&amp;HEX2ASCII(AH798)&amp;HEX2ASCII(AI798)</f>
        <v/>
      </c>
      <c r="AB798" s="147"/>
      <c r="AC798" s="148"/>
      <c r="AD798" s="148"/>
      <c r="AE798" s="148"/>
      <c r="AF798" s="148"/>
      <c r="AG798" s="148"/>
      <c r="AH798" s="148"/>
      <c r="AI798" s="149"/>
    </row>
    <row r="799" spans="11:35">
      <c r="K799" s="85"/>
      <c r="L799" s="54" t="str">
        <f t="shared" si="71"/>
        <v/>
      </c>
      <c r="M799" s="38" t="str">
        <f t="shared" si="74"/>
        <v>0417</v>
      </c>
      <c r="N799" s="69">
        <f t="shared" si="73"/>
        <v>1047</v>
      </c>
      <c r="O799" s="96"/>
      <c r="P799" s="97"/>
      <c r="Q799" s="98"/>
      <c r="R799" s="135"/>
      <c r="U799" s="48" t="str">
        <f t="shared" si="72"/>
        <v/>
      </c>
      <c r="V799" s="16"/>
      <c r="W799" s="34"/>
      <c r="X799" s="35"/>
      <c r="Z799" s="74"/>
      <c r="AA799" s="130" t="str" cm="1">
        <f t="array" ref="AA799">HEX2ASCII(AB799)&amp;HEX2ASCII(AC799)&amp;HEX2ASCII(AD799)&amp;HEX2ASCII(AE799)&amp;HEX2ASCII(AF799)&amp;HEX2ASCII(AG799)&amp;HEX2ASCII(AH799)&amp;HEX2ASCII(AI799)</f>
        <v/>
      </c>
      <c r="AB799" s="147"/>
      <c r="AC799" s="148"/>
      <c r="AD799" s="148"/>
      <c r="AE799" s="148"/>
      <c r="AF799" s="148"/>
      <c r="AG799" s="148"/>
      <c r="AH799" s="148"/>
      <c r="AI799" s="149"/>
    </row>
    <row r="800" spans="11:35">
      <c r="K800" s="85"/>
      <c r="L800" s="54" t="str">
        <f t="shared" si="71"/>
        <v/>
      </c>
      <c r="M800" s="38" t="str">
        <f t="shared" si="74"/>
        <v>0418</v>
      </c>
      <c r="N800" s="69">
        <f t="shared" si="73"/>
        <v>1048</v>
      </c>
      <c r="O800" s="96"/>
      <c r="P800" s="97"/>
      <c r="Q800" s="98"/>
      <c r="R800" s="135"/>
      <c r="U800" s="48" t="str">
        <f t="shared" si="72"/>
        <v/>
      </c>
      <c r="V800" s="16"/>
      <c r="W800" s="34"/>
      <c r="X800" s="35"/>
      <c r="Z800" s="74"/>
      <c r="AA800" s="130" t="str" cm="1">
        <f t="array" ref="AA800">HEX2ASCII(AB800)&amp;HEX2ASCII(AC800)&amp;HEX2ASCII(AD800)&amp;HEX2ASCII(AE800)&amp;HEX2ASCII(AF800)&amp;HEX2ASCII(AG800)&amp;HEX2ASCII(AH800)&amp;HEX2ASCII(AI800)</f>
        <v/>
      </c>
      <c r="AB800" s="147"/>
      <c r="AC800" s="148"/>
      <c r="AD800" s="148"/>
      <c r="AE800" s="148"/>
      <c r="AF800" s="148"/>
      <c r="AG800" s="148"/>
      <c r="AH800" s="148"/>
      <c r="AI800" s="149"/>
    </row>
    <row r="801" spans="11:35">
      <c r="K801" s="85"/>
      <c r="L801" s="54" t="str">
        <f t="shared" si="71"/>
        <v/>
      </c>
      <c r="M801" s="38" t="str">
        <f t="shared" si="74"/>
        <v>0419</v>
      </c>
      <c r="N801" s="69">
        <f t="shared" si="73"/>
        <v>1049</v>
      </c>
      <c r="O801" s="96"/>
      <c r="P801" s="97"/>
      <c r="Q801" s="98"/>
      <c r="R801" s="135"/>
      <c r="U801" s="48" t="str">
        <f t="shared" si="72"/>
        <v/>
      </c>
      <c r="V801" s="16"/>
      <c r="W801" s="34"/>
      <c r="X801" s="35"/>
      <c r="Z801" s="74"/>
      <c r="AA801" s="130" t="str" cm="1">
        <f t="array" ref="AA801">HEX2ASCII(AB801)&amp;HEX2ASCII(AC801)&amp;HEX2ASCII(AD801)&amp;HEX2ASCII(AE801)&amp;HEX2ASCII(AF801)&amp;HEX2ASCII(AG801)&amp;HEX2ASCII(AH801)&amp;HEX2ASCII(AI801)</f>
        <v/>
      </c>
      <c r="AB801" s="147"/>
      <c r="AC801" s="148"/>
      <c r="AD801" s="148"/>
      <c r="AE801" s="148"/>
      <c r="AF801" s="148"/>
      <c r="AG801" s="148"/>
      <c r="AH801" s="148"/>
      <c r="AI801" s="149"/>
    </row>
    <row r="802" spans="11:35">
      <c r="K802" s="85"/>
      <c r="L802" s="54" t="str">
        <f t="shared" si="71"/>
        <v/>
      </c>
      <c r="M802" s="38" t="str">
        <f t="shared" si="74"/>
        <v>041A</v>
      </c>
      <c r="N802" s="69">
        <f t="shared" si="73"/>
        <v>1050</v>
      </c>
      <c r="O802" s="96"/>
      <c r="P802" s="97"/>
      <c r="Q802" s="98"/>
      <c r="R802" s="135"/>
      <c r="U802" s="48" t="str">
        <f t="shared" si="72"/>
        <v/>
      </c>
      <c r="V802" s="16"/>
      <c r="W802" s="34"/>
      <c r="X802" s="35"/>
      <c r="Z802" s="74"/>
      <c r="AA802" s="130" t="str" cm="1">
        <f t="array" ref="AA802">HEX2ASCII(AB802)&amp;HEX2ASCII(AC802)&amp;HEX2ASCII(AD802)&amp;HEX2ASCII(AE802)&amp;HEX2ASCII(AF802)&amp;HEX2ASCII(AG802)&amp;HEX2ASCII(AH802)&amp;HEX2ASCII(AI802)</f>
        <v/>
      </c>
      <c r="AB802" s="147"/>
      <c r="AC802" s="148"/>
      <c r="AD802" s="148"/>
      <c r="AE802" s="148"/>
      <c r="AF802" s="148"/>
      <c r="AG802" s="148"/>
      <c r="AH802" s="148"/>
      <c r="AI802" s="149"/>
    </row>
    <row r="803" spans="11:35">
      <c r="K803" s="85"/>
      <c r="L803" s="54" t="str">
        <f t="shared" si="71"/>
        <v/>
      </c>
      <c r="M803" s="38" t="str">
        <f t="shared" si="74"/>
        <v>041B</v>
      </c>
      <c r="N803" s="69">
        <f t="shared" si="73"/>
        <v>1051</v>
      </c>
      <c r="O803" s="96"/>
      <c r="P803" s="97"/>
      <c r="Q803" s="98"/>
      <c r="R803" s="135"/>
      <c r="U803" s="48" t="str">
        <f t="shared" si="72"/>
        <v/>
      </c>
      <c r="V803" s="16"/>
      <c r="W803" s="34"/>
      <c r="X803" s="35"/>
      <c r="Z803" s="74"/>
      <c r="AA803" s="130" t="str" cm="1">
        <f t="array" ref="AA803">HEX2ASCII(AB803)&amp;HEX2ASCII(AC803)&amp;HEX2ASCII(AD803)&amp;HEX2ASCII(AE803)&amp;HEX2ASCII(AF803)&amp;HEX2ASCII(AG803)&amp;HEX2ASCII(AH803)&amp;HEX2ASCII(AI803)</f>
        <v/>
      </c>
      <c r="AB803" s="147"/>
      <c r="AC803" s="148"/>
      <c r="AD803" s="148"/>
      <c r="AE803" s="148"/>
      <c r="AF803" s="148"/>
      <c r="AG803" s="148"/>
      <c r="AH803" s="148"/>
      <c r="AI803" s="149"/>
    </row>
    <row r="804" spans="11:35">
      <c r="K804" s="85"/>
      <c r="L804" s="54" t="str">
        <f t="shared" si="71"/>
        <v/>
      </c>
      <c r="M804" s="38" t="str">
        <f t="shared" si="74"/>
        <v>041C</v>
      </c>
      <c r="N804" s="69">
        <f t="shared" si="73"/>
        <v>1052</v>
      </c>
      <c r="O804" s="96"/>
      <c r="P804" s="97"/>
      <c r="Q804" s="98"/>
      <c r="R804" s="135"/>
      <c r="U804" s="48" t="str">
        <f t="shared" si="72"/>
        <v/>
      </c>
      <c r="V804" s="16"/>
      <c r="W804" s="34"/>
      <c r="X804" s="35"/>
      <c r="Z804" s="74"/>
      <c r="AA804" s="130" t="str" cm="1">
        <f t="array" ref="AA804">HEX2ASCII(AB804)&amp;HEX2ASCII(AC804)&amp;HEX2ASCII(AD804)&amp;HEX2ASCII(AE804)&amp;HEX2ASCII(AF804)&amp;HEX2ASCII(AG804)&amp;HEX2ASCII(AH804)&amp;HEX2ASCII(AI804)</f>
        <v/>
      </c>
      <c r="AB804" s="147"/>
      <c r="AC804" s="148"/>
      <c r="AD804" s="148"/>
      <c r="AE804" s="148"/>
      <c r="AF804" s="148"/>
      <c r="AG804" s="148"/>
      <c r="AH804" s="148"/>
      <c r="AI804" s="149"/>
    </row>
    <row r="805" spans="11:35">
      <c r="K805" s="85"/>
      <c r="L805" s="54" t="str">
        <f t="shared" si="71"/>
        <v/>
      </c>
      <c r="M805" s="38" t="str">
        <f t="shared" si="74"/>
        <v>041D</v>
      </c>
      <c r="N805" s="69">
        <f t="shared" si="73"/>
        <v>1053</v>
      </c>
      <c r="O805" s="96"/>
      <c r="P805" s="97"/>
      <c r="Q805" s="98"/>
      <c r="R805" s="135"/>
      <c r="U805" s="48" t="str">
        <f t="shared" si="72"/>
        <v/>
      </c>
      <c r="V805" s="16"/>
      <c r="W805" s="34"/>
      <c r="X805" s="35"/>
      <c r="Z805" s="74"/>
      <c r="AA805" s="130" t="str" cm="1">
        <f t="array" ref="AA805">HEX2ASCII(AB805)&amp;HEX2ASCII(AC805)&amp;HEX2ASCII(AD805)&amp;HEX2ASCII(AE805)&amp;HEX2ASCII(AF805)&amp;HEX2ASCII(AG805)&amp;HEX2ASCII(AH805)&amp;HEX2ASCII(AI805)</f>
        <v/>
      </c>
      <c r="AB805" s="147"/>
      <c r="AC805" s="148"/>
      <c r="AD805" s="148"/>
      <c r="AE805" s="148"/>
      <c r="AF805" s="148"/>
      <c r="AG805" s="148"/>
      <c r="AH805" s="148"/>
      <c r="AI805" s="149"/>
    </row>
    <row r="806" spans="11:35">
      <c r="K806" s="85"/>
      <c r="L806" s="54" t="str">
        <f t="shared" si="71"/>
        <v/>
      </c>
      <c r="M806" s="38" t="str">
        <f t="shared" si="74"/>
        <v>041E</v>
      </c>
      <c r="N806" s="69">
        <f t="shared" si="73"/>
        <v>1054</v>
      </c>
      <c r="O806" s="96"/>
      <c r="P806" s="97"/>
      <c r="Q806" s="98"/>
      <c r="R806" s="135"/>
      <c r="U806" s="48" t="str">
        <f t="shared" si="72"/>
        <v/>
      </c>
      <c r="V806" s="16"/>
      <c r="W806" s="34"/>
      <c r="X806" s="35"/>
      <c r="Z806" s="74"/>
      <c r="AA806" s="130" t="str" cm="1">
        <f t="array" ref="AA806">HEX2ASCII(AB806)&amp;HEX2ASCII(AC806)&amp;HEX2ASCII(AD806)&amp;HEX2ASCII(AE806)&amp;HEX2ASCII(AF806)&amp;HEX2ASCII(AG806)&amp;HEX2ASCII(AH806)&amp;HEX2ASCII(AI806)</f>
        <v/>
      </c>
      <c r="AB806" s="147"/>
      <c r="AC806" s="148"/>
      <c r="AD806" s="148"/>
      <c r="AE806" s="148"/>
      <c r="AF806" s="148"/>
      <c r="AG806" s="148"/>
      <c r="AH806" s="148"/>
      <c r="AI806" s="149"/>
    </row>
    <row r="807" spans="11:35">
      <c r="K807" s="85"/>
      <c r="L807" s="54" t="str">
        <f t="shared" si="71"/>
        <v/>
      </c>
      <c r="M807" s="38" t="str">
        <f t="shared" si="74"/>
        <v>041F</v>
      </c>
      <c r="N807" s="69">
        <f t="shared" si="73"/>
        <v>1055</v>
      </c>
      <c r="O807" s="96"/>
      <c r="P807" s="97"/>
      <c r="Q807" s="98"/>
      <c r="R807" s="135"/>
      <c r="U807" s="48" t="str">
        <f t="shared" si="72"/>
        <v/>
      </c>
      <c r="V807" s="16"/>
      <c r="W807" s="34"/>
      <c r="X807" s="35"/>
      <c r="Z807" s="74"/>
      <c r="AA807" s="130" t="str" cm="1">
        <f t="array" ref="AA807">HEX2ASCII(AB807)&amp;HEX2ASCII(AC807)&amp;HEX2ASCII(AD807)&amp;HEX2ASCII(AE807)&amp;HEX2ASCII(AF807)&amp;HEX2ASCII(AG807)&amp;HEX2ASCII(AH807)&amp;HEX2ASCII(AI807)</f>
        <v/>
      </c>
      <c r="AB807" s="147"/>
      <c r="AC807" s="148"/>
      <c r="AD807" s="148"/>
      <c r="AE807" s="148"/>
      <c r="AF807" s="148"/>
      <c r="AG807" s="148"/>
      <c r="AH807" s="148"/>
      <c r="AI807" s="149"/>
    </row>
    <row r="808" spans="11:35">
      <c r="K808" s="85"/>
      <c r="L808" s="54" t="str">
        <f t="shared" si="71"/>
        <v/>
      </c>
      <c r="M808" s="38" t="str">
        <f t="shared" si="74"/>
        <v>0420</v>
      </c>
      <c r="N808" s="69">
        <f t="shared" si="73"/>
        <v>1056</v>
      </c>
      <c r="O808" s="96"/>
      <c r="P808" s="97"/>
      <c r="Q808" s="98"/>
      <c r="R808" s="135"/>
      <c r="U808" s="48" t="str">
        <f t="shared" si="72"/>
        <v/>
      </c>
      <c r="V808" s="16"/>
      <c r="W808" s="34"/>
      <c r="X808" s="35"/>
      <c r="Z808" s="74"/>
      <c r="AA808" s="130" t="str" cm="1">
        <f t="array" ref="AA808">HEX2ASCII(AB808)&amp;HEX2ASCII(AC808)&amp;HEX2ASCII(AD808)&amp;HEX2ASCII(AE808)&amp;HEX2ASCII(AF808)&amp;HEX2ASCII(AG808)&amp;HEX2ASCII(AH808)&amp;HEX2ASCII(AI808)</f>
        <v/>
      </c>
      <c r="AB808" s="147"/>
      <c r="AC808" s="148"/>
      <c r="AD808" s="148"/>
      <c r="AE808" s="148"/>
      <c r="AF808" s="148"/>
      <c r="AG808" s="148"/>
      <c r="AH808" s="148"/>
      <c r="AI808" s="149"/>
    </row>
    <row r="809" spans="11:35">
      <c r="K809" s="85"/>
      <c r="L809" s="54" t="str">
        <f t="shared" si="71"/>
        <v/>
      </c>
      <c r="M809" s="38" t="str">
        <f t="shared" si="74"/>
        <v>0421</v>
      </c>
      <c r="N809" s="69">
        <f t="shared" si="73"/>
        <v>1057</v>
      </c>
      <c r="O809" s="96"/>
      <c r="P809" s="97"/>
      <c r="Q809" s="98"/>
      <c r="R809" s="135"/>
      <c r="U809" s="48" t="str">
        <f t="shared" si="72"/>
        <v/>
      </c>
      <c r="V809" s="16"/>
      <c r="W809" s="34"/>
      <c r="X809" s="35"/>
      <c r="Z809" s="74"/>
      <c r="AA809" s="130" t="str" cm="1">
        <f t="array" ref="AA809">HEX2ASCII(AB809)&amp;HEX2ASCII(AC809)&amp;HEX2ASCII(AD809)&amp;HEX2ASCII(AE809)&amp;HEX2ASCII(AF809)&amp;HEX2ASCII(AG809)&amp;HEX2ASCII(AH809)&amp;HEX2ASCII(AI809)</f>
        <v/>
      </c>
      <c r="AB809" s="147"/>
      <c r="AC809" s="148"/>
      <c r="AD809" s="148"/>
      <c r="AE809" s="148"/>
      <c r="AF809" s="148"/>
      <c r="AG809" s="148"/>
      <c r="AH809" s="148"/>
      <c r="AI809" s="149"/>
    </row>
    <row r="810" spans="11:35">
      <c r="K810" s="85"/>
      <c r="L810" s="54" t="str">
        <f t="shared" si="71"/>
        <v/>
      </c>
      <c r="M810" s="38" t="str">
        <f t="shared" si="74"/>
        <v>0422</v>
      </c>
      <c r="N810" s="69">
        <f t="shared" si="73"/>
        <v>1058</v>
      </c>
      <c r="O810" s="96"/>
      <c r="P810" s="97"/>
      <c r="Q810" s="98"/>
      <c r="R810" s="135"/>
      <c r="U810" s="48" t="str">
        <f t="shared" si="72"/>
        <v/>
      </c>
      <c r="V810" s="16"/>
      <c r="W810" s="34"/>
      <c r="X810" s="35"/>
      <c r="Z810" s="74"/>
      <c r="AA810" s="130" t="str" cm="1">
        <f t="array" ref="AA810">HEX2ASCII(AB810)&amp;HEX2ASCII(AC810)&amp;HEX2ASCII(AD810)&amp;HEX2ASCII(AE810)&amp;HEX2ASCII(AF810)&amp;HEX2ASCII(AG810)&amp;HEX2ASCII(AH810)&amp;HEX2ASCII(AI810)</f>
        <v/>
      </c>
      <c r="AB810" s="147"/>
      <c r="AC810" s="148"/>
      <c r="AD810" s="148"/>
      <c r="AE810" s="148"/>
      <c r="AF810" s="148"/>
      <c r="AG810" s="148"/>
      <c r="AH810" s="148"/>
      <c r="AI810" s="149"/>
    </row>
    <row r="811" spans="11:35">
      <c r="K811" s="85"/>
      <c r="L811" s="54" t="str">
        <f t="shared" si="71"/>
        <v/>
      </c>
      <c r="M811" s="38" t="str">
        <f t="shared" si="74"/>
        <v>0423</v>
      </c>
      <c r="N811" s="69">
        <f t="shared" si="73"/>
        <v>1059</v>
      </c>
      <c r="O811" s="96"/>
      <c r="P811" s="97"/>
      <c r="Q811" s="98"/>
      <c r="R811" s="135"/>
      <c r="U811" s="48" t="str">
        <f t="shared" si="72"/>
        <v/>
      </c>
      <c r="V811" s="16"/>
      <c r="W811" s="34"/>
      <c r="X811" s="35"/>
      <c r="Z811" s="74"/>
      <c r="AA811" s="130" t="str" cm="1">
        <f t="array" ref="AA811">HEX2ASCII(AB811)&amp;HEX2ASCII(AC811)&amp;HEX2ASCII(AD811)&amp;HEX2ASCII(AE811)&amp;HEX2ASCII(AF811)&amp;HEX2ASCII(AG811)&amp;HEX2ASCII(AH811)&amp;HEX2ASCII(AI811)</f>
        <v/>
      </c>
      <c r="AB811" s="147"/>
      <c r="AC811" s="148"/>
      <c r="AD811" s="148"/>
      <c r="AE811" s="148"/>
      <c r="AF811" s="148"/>
      <c r="AG811" s="148"/>
      <c r="AH811" s="148"/>
      <c r="AI811" s="149"/>
    </row>
    <row r="812" spans="11:35">
      <c r="K812" s="85"/>
      <c r="L812" s="54" t="str">
        <f t="shared" si="71"/>
        <v/>
      </c>
      <c r="M812" s="38" t="str">
        <f t="shared" si="74"/>
        <v>0424</v>
      </c>
      <c r="N812" s="69">
        <f t="shared" si="73"/>
        <v>1060</v>
      </c>
      <c r="O812" s="96"/>
      <c r="P812" s="97"/>
      <c r="Q812" s="98"/>
      <c r="R812" s="135"/>
      <c r="U812" s="48" t="str">
        <f t="shared" si="72"/>
        <v/>
      </c>
      <c r="V812" s="16"/>
      <c r="W812" s="34"/>
      <c r="X812" s="35"/>
      <c r="Z812" s="74"/>
      <c r="AA812" s="130" t="str" cm="1">
        <f t="array" ref="AA812">HEX2ASCII(AB812)&amp;HEX2ASCII(AC812)&amp;HEX2ASCII(AD812)&amp;HEX2ASCII(AE812)&amp;HEX2ASCII(AF812)&amp;HEX2ASCII(AG812)&amp;HEX2ASCII(AH812)&amp;HEX2ASCII(AI812)</f>
        <v/>
      </c>
      <c r="AB812" s="147"/>
      <c r="AC812" s="148"/>
      <c r="AD812" s="148"/>
      <c r="AE812" s="148"/>
      <c r="AF812" s="148"/>
      <c r="AG812" s="148"/>
      <c r="AH812" s="148"/>
      <c r="AI812" s="149"/>
    </row>
    <row r="813" spans="11:35">
      <c r="K813" s="85"/>
      <c r="L813" s="54" t="str">
        <f t="shared" si="71"/>
        <v/>
      </c>
      <c r="M813" s="38" t="str">
        <f t="shared" si="74"/>
        <v>0425</v>
      </c>
      <c r="N813" s="69">
        <f t="shared" si="73"/>
        <v>1061</v>
      </c>
      <c r="O813" s="96"/>
      <c r="P813" s="97"/>
      <c r="Q813" s="98"/>
      <c r="R813" s="135"/>
      <c r="U813" s="48" t="str">
        <f t="shared" si="72"/>
        <v/>
      </c>
      <c r="V813" s="16"/>
      <c r="W813" s="34"/>
      <c r="X813" s="35"/>
      <c r="Z813" s="74"/>
      <c r="AA813" s="130" t="str" cm="1">
        <f t="array" ref="AA813">HEX2ASCII(AB813)&amp;HEX2ASCII(AC813)&amp;HEX2ASCII(AD813)&amp;HEX2ASCII(AE813)&amp;HEX2ASCII(AF813)&amp;HEX2ASCII(AG813)&amp;HEX2ASCII(AH813)&amp;HEX2ASCII(AI813)</f>
        <v/>
      </c>
      <c r="AB813" s="147"/>
      <c r="AC813" s="148"/>
      <c r="AD813" s="148"/>
      <c r="AE813" s="148"/>
      <c r="AF813" s="148"/>
      <c r="AG813" s="148"/>
      <c r="AH813" s="148"/>
      <c r="AI813" s="149"/>
    </row>
    <row r="814" spans="11:35">
      <c r="K814" s="85"/>
      <c r="L814" s="54" t="str">
        <f t="shared" si="71"/>
        <v/>
      </c>
      <c r="M814" s="38" t="str">
        <f t="shared" si="74"/>
        <v>0426</v>
      </c>
      <c r="N814" s="69">
        <f t="shared" si="73"/>
        <v>1062</v>
      </c>
      <c r="O814" s="96"/>
      <c r="P814" s="97"/>
      <c r="Q814" s="98"/>
      <c r="R814" s="135"/>
      <c r="U814" s="48" t="str">
        <f t="shared" si="72"/>
        <v/>
      </c>
      <c r="V814" s="16"/>
      <c r="W814" s="34"/>
      <c r="X814" s="35"/>
      <c r="Z814" s="74"/>
      <c r="AA814" s="130" t="str" cm="1">
        <f t="array" ref="AA814">HEX2ASCII(AB814)&amp;HEX2ASCII(AC814)&amp;HEX2ASCII(AD814)&amp;HEX2ASCII(AE814)&amp;HEX2ASCII(AF814)&amp;HEX2ASCII(AG814)&amp;HEX2ASCII(AH814)&amp;HEX2ASCII(AI814)</f>
        <v/>
      </c>
      <c r="AB814" s="147"/>
      <c r="AC814" s="148"/>
      <c r="AD814" s="148"/>
      <c r="AE814" s="148"/>
      <c r="AF814" s="148"/>
      <c r="AG814" s="148"/>
      <c r="AH814" s="148"/>
      <c r="AI814" s="149"/>
    </row>
    <row r="815" spans="11:35">
      <c r="K815" s="85"/>
      <c r="L815" s="54" t="str">
        <f t="shared" si="71"/>
        <v/>
      </c>
      <c r="M815" s="38" t="str">
        <f t="shared" si="74"/>
        <v>0427</v>
      </c>
      <c r="N815" s="69">
        <f t="shared" si="73"/>
        <v>1063</v>
      </c>
      <c r="O815" s="96"/>
      <c r="P815" s="97"/>
      <c r="Q815" s="98"/>
      <c r="R815" s="135"/>
      <c r="U815" s="48" t="str">
        <f t="shared" si="72"/>
        <v/>
      </c>
      <c r="V815" s="16"/>
      <c r="W815" s="34"/>
      <c r="X815" s="35"/>
      <c r="Z815" s="74"/>
      <c r="AA815" s="130" t="str" cm="1">
        <f t="array" ref="AA815">HEX2ASCII(AB815)&amp;HEX2ASCII(AC815)&amp;HEX2ASCII(AD815)&amp;HEX2ASCII(AE815)&amp;HEX2ASCII(AF815)&amp;HEX2ASCII(AG815)&amp;HEX2ASCII(AH815)&amp;HEX2ASCII(AI815)</f>
        <v/>
      </c>
      <c r="AB815" s="147"/>
      <c r="AC815" s="148"/>
      <c r="AD815" s="148"/>
      <c r="AE815" s="148"/>
      <c r="AF815" s="148"/>
      <c r="AG815" s="148"/>
      <c r="AH815" s="148"/>
      <c r="AI815" s="149"/>
    </row>
    <row r="816" spans="11:35">
      <c r="K816" s="85"/>
      <c r="L816" s="54" t="str">
        <f t="shared" si="71"/>
        <v/>
      </c>
      <c r="M816" s="38" t="str">
        <f t="shared" si="74"/>
        <v>0428</v>
      </c>
      <c r="N816" s="69">
        <f t="shared" si="73"/>
        <v>1064</v>
      </c>
      <c r="O816" s="96"/>
      <c r="P816" s="97"/>
      <c r="Q816" s="98"/>
      <c r="R816" s="135"/>
      <c r="U816" s="48" t="str">
        <f t="shared" si="72"/>
        <v/>
      </c>
      <c r="V816" s="16"/>
      <c r="W816" s="34"/>
      <c r="X816" s="35"/>
      <c r="Z816" s="74"/>
      <c r="AA816" s="130" t="str" cm="1">
        <f t="array" ref="AA816">HEX2ASCII(AB816)&amp;HEX2ASCII(AC816)&amp;HEX2ASCII(AD816)&amp;HEX2ASCII(AE816)&amp;HEX2ASCII(AF816)&amp;HEX2ASCII(AG816)&amp;HEX2ASCII(AH816)&amp;HEX2ASCII(AI816)</f>
        <v/>
      </c>
      <c r="AB816" s="147"/>
      <c r="AC816" s="148"/>
      <c r="AD816" s="148"/>
      <c r="AE816" s="148"/>
      <c r="AF816" s="148"/>
      <c r="AG816" s="148"/>
      <c r="AH816" s="148"/>
      <c r="AI816" s="149"/>
    </row>
    <row r="817" spans="11:35">
      <c r="K817" s="85"/>
      <c r="L817" s="54" t="str">
        <f t="shared" si="71"/>
        <v/>
      </c>
      <c r="M817" s="38" t="str">
        <f t="shared" si="74"/>
        <v>0429</v>
      </c>
      <c r="N817" s="69">
        <f t="shared" si="73"/>
        <v>1065</v>
      </c>
      <c r="O817" s="96"/>
      <c r="P817" s="97"/>
      <c r="Q817" s="98"/>
      <c r="R817" s="135"/>
      <c r="U817" s="48" t="str">
        <f t="shared" si="72"/>
        <v/>
      </c>
      <c r="V817" s="16"/>
      <c r="W817" s="34"/>
      <c r="X817" s="35"/>
      <c r="Z817" s="74"/>
      <c r="AA817" s="130" t="str" cm="1">
        <f t="array" ref="AA817">HEX2ASCII(AB817)&amp;HEX2ASCII(AC817)&amp;HEX2ASCII(AD817)&amp;HEX2ASCII(AE817)&amp;HEX2ASCII(AF817)&amp;HEX2ASCII(AG817)&amp;HEX2ASCII(AH817)&amp;HEX2ASCII(AI817)</f>
        <v/>
      </c>
      <c r="AB817" s="147"/>
      <c r="AC817" s="148"/>
      <c r="AD817" s="148"/>
      <c r="AE817" s="148"/>
      <c r="AF817" s="148"/>
      <c r="AG817" s="148"/>
      <c r="AH817" s="148"/>
      <c r="AI817" s="149"/>
    </row>
    <row r="818" spans="11:35">
      <c r="K818" s="85"/>
      <c r="L818" s="54" t="str">
        <f t="shared" si="71"/>
        <v/>
      </c>
      <c r="M818" s="38" t="str">
        <f t="shared" si="74"/>
        <v>042A</v>
      </c>
      <c r="N818" s="69">
        <f t="shared" si="73"/>
        <v>1066</v>
      </c>
      <c r="O818" s="96"/>
      <c r="P818" s="97"/>
      <c r="Q818" s="98"/>
      <c r="R818" s="135"/>
      <c r="U818" s="48" t="str">
        <f t="shared" si="72"/>
        <v/>
      </c>
      <c r="V818" s="16"/>
      <c r="W818" s="34"/>
      <c r="X818" s="35"/>
      <c r="Z818" s="74"/>
      <c r="AA818" s="130" t="str" cm="1">
        <f t="array" ref="AA818">HEX2ASCII(AB818)&amp;HEX2ASCII(AC818)&amp;HEX2ASCII(AD818)&amp;HEX2ASCII(AE818)&amp;HEX2ASCII(AF818)&amp;HEX2ASCII(AG818)&amp;HEX2ASCII(AH818)&amp;HEX2ASCII(AI818)</f>
        <v/>
      </c>
      <c r="AB818" s="147"/>
      <c r="AC818" s="148"/>
      <c r="AD818" s="148"/>
      <c r="AE818" s="148"/>
      <c r="AF818" s="148"/>
      <c r="AG818" s="148"/>
      <c r="AH818" s="148"/>
      <c r="AI818" s="149"/>
    </row>
    <row r="819" spans="11:35">
      <c r="K819" s="85"/>
      <c r="L819" s="54" t="str">
        <f t="shared" si="71"/>
        <v/>
      </c>
      <c r="M819" s="38" t="str">
        <f t="shared" si="74"/>
        <v>042B</v>
      </c>
      <c r="N819" s="69">
        <f t="shared" si="73"/>
        <v>1067</v>
      </c>
      <c r="O819" s="96"/>
      <c r="P819" s="97"/>
      <c r="Q819" s="98"/>
      <c r="R819" s="135"/>
      <c r="U819" s="48" t="str">
        <f t="shared" si="72"/>
        <v/>
      </c>
      <c r="V819" s="16"/>
      <c r="W819" s="34"/>
      <c r="X819" s="35"/>
      <c r="Z819" s="74"/>
      <c r="AA819" s="130" t="str" cm="1">
        <f t="array" ref="AA819">HEX2ASCII(AB819)&amp;HEX2ASCII(AC819)&amp;HEX2ASCII(AD819)&amp;HEX2ASCII(AE819)&amp;HEX2ASCII(AF819)&amp;HEX2ASCII(AG819)&amp;HEX2ASCII(AH819)&amp;HEX2ASCII(AI819)</f>
        <v/>
      </c>
      <c r="AB819" s="147"/>
      <c r="AC819" s="148"/>
      <c r="AD819" s="148"/>
      <c r="AE819" s="148"/>
      <c r="AF819" s="148"/>
      <c r="AG819" s="148"/>
      <c r="AH819" s="148"/>
      <c r="AI819" s="149"/>
    </row>
    <row r="820" spans="11:35">
      <c r="K820" s="85"/>
      <c r="L820" s="54" t="str">
        <f t="shared" si="71"/>
        <v/>
      </c>
      <c r="M820" s="38" t="str">
        <f t="shared" si="74"/>
        <v>042C</v>
      </c>
      <c r="N820" s="69">
        <f t="shared" si="73"/>
        <v>1068</v>
      </c>
      <c r="O820" s="96"/>
      <c r="P820" s="97"/>
      <c r="Q820" s="98"/>
      <c r="R820" s="135"/>
      <c r="U820" s="48" t="str">
        <f t="shared" si="72"/>
        <v/>
      </c>
      <c r="V820" s="16"/>
      <c r="W820" s="34"/>
      <c r="X820" s="35"/>
      <c r="Z820" s="74"/>
      <c r="AA820" s="130" t="str" cm="1">
        <f t="array" ref="AA820">HEX2ASCII(AB820)&amp;HEX2ASCII(AC820)&amp;HEX2ASCII(AD820)&amp;HEX2ASCII(AE820)&amp;HEX2ASCII(AF820)&amp;HEX2ASCII(AG820)&amp;HEX2ASCII(AH820)&amp;HEX2ASCII(AI820)</f>
        <v/>
      </c>
      <c r="AB820" s="147"/>
      <c r="AC820" s="148"/>
      <c r="AD820" s="148"/>
      <c r="AE820" s="148"/>
      <c r="AF820" s="148"/>
      <c r="AG820" s="148"/>
      <c r="AH820" s="148"/>
      <c r="AI820" s="149"/>
    </row>
    <row r="821" spans="11:35">
      <c r="K821" s="85"/>
      <c r="L821" s="54" t="str">
        <f t="shared" si="71"/>
        <v/>
      </c>
      <c r="M821" s="38" t="str">
        <f t="shared" si="74"/>
        <v>042D</v>
      </c>
      <c r="N821" s="69">
        <f t="shared" si="73"/>
        <v>1069</v>
      </c>
      <c r="O821" s="96"/>
      <c r="P821" s="97"/>
      <c r="Q821" s="98"/>
      <c r="R821" s="135"/>
      <c r="U821" s="48" t="str">
        <f t="shared" si="72"/>
        <v/>
      </c>
      <c r="V821" s="16"/>
      <c r="W821" s="34"/>
      <c r="X821" s="35"/>
      <c r="Z821" s="74"/>
      <c r="AA821" s="130" t="str" cm="1">
        <f t="array" ref="AA821">HEX2ASCII(AB821)&amp;HEX2ASCII(AC821)&amp;HEX2ASCII(AD821)&amp;HEX2ASCII(AE821)&amp;HEX2ASCII(AF821)&amp;HEX2ASCII(AG821)&amp;HEX2ASCII(AH821)&amp;HEX2ASCII(AI821)</f>
        <v/>
      </c>
      <c r="AB821" s="147"/>
      <c r="AC821" s="148"/>
      <c r="AD821" s="148"/>
      <c r="AE821" s="148"/>
      <c r="AF821" s="148"/>
      <c r="AG821" s="148"/>
      <c r="AH821" s="148"/>
      <c r="AI821" s="149"/>
    </row>
    <row r="822" spans="11:35">
      <c r="K822" s="85"/>
      <c r="L822" s="54" t="str">
        <f t="shared" si="71"/>
        <v/>
      </c>
      <c r="M822" s="38" t="str">
        <f t="shared" si="74"/>
        <v>042E</v>
      </c>
      <c r="N822" s="69">
        <f t="shared" si="73"/>
        <v>1070</v>
      </c>
      <c r="O822" s="96"/>
      <c r="P822" s="97"/>
      <c r="Q822" s="98"/>
      <c r="R822" s="135"/>
      <c r="U822" s="48" t="str">
        <f t="shared" si="72"/>
        <v/>
      </c>
      <c r="V822" s="16"/>
      <c r="W822" s="34"/>
      <c r="X822" s="35"/>
      <c r="Z822" s="74"/>
      <c r="AA822" s="130" t="str" cm="1">
        <f t="array" ref="AA822">HEX2ASCII(AB822)&amp;HEX2ASCII(AC822)&amp;HEX2ASCII(AD822)&amp;HEX2ASCII(AE822)&amp;HEX2ASCII(AF822)&amp;HEX2ASCII(AG822)&amp;HEX2ASCII(AH822)&amp;HEX2ASCII(AI822)</f>
        <v/>
      </c>
      <c r="AB822" s="147"/>
      <c r="AC822" s="148"/>
      <c r="AD822" s="148"/>
      <c r="AE822" s="148"/>
      <c r="AF822" s="148"/>
      <c r="AG822" s="148"/>
      <c r="AH822" s="148"/>
      <c r="AI822" s="149"/>
    </row>
    <row r="823" spans="11:35">
      <c r="K823" s="85"/>
      <c r="L823" s="54" t="str">
        <f t="shared" si="71"/>
        <v/>
      </c>
      <c r="M823" s="38" t="str">
        <f t="shared" si="74"/>
        <v>042F</v>
      </c>
      <c r="N823" s="69">
        <f t="shared" si="73"/>
        <v>1071</v>
      </c>
      <c r="O823" s="96"/>
      <c r="P823" s="97"/>
      <c r="Q823" s="98"/>
      <c r="R823" s="135"/>
      <c r="U823" s="48" t="str">
        <f t="shared" si="72"/>
        <v/>
      </c>
      <c r="V823" s="16"/>
      <c r="W823" s="34"/>
      <c r="X823" s="35"/>
      <c r="Z823" s="74"/>
      <c r="AA823" s="130" t="str" cm="1">
        <f t="array" ref="AA823">HEX2ASCII(AB823)&amp;HEX2ASCII(AC823)&amp;HEX2ASCII(AD823)&amp;HEX2ASCII(AE823)&amp;HEX2ASCII(AF823)&amp;HEX2ASCII(AG823)&amp;HEX2ASCII(AH823)&amp;HEX2ASCII(AI823)</f>
        <v/>
      </c>
      <c r="AB823" s="147"/>
      <c r="AC823" s="148"/>
      <c r="AD823" s="148"/>
      <c r="AE823" s="148"/>
      <c r="AF823" s="148"/>
      <c r="AG823" s="148"/>
      <c r="AH823" s="148"/>
      <c r="AI823" s="149"/>
    </row>
    <row r="824" spans="11:35">
      <c r="K824" s="85"/>
      <c r="L824" s="54" t="str">
        <f t="shared" si="71"/>
        <v/>
      </c>
      <c r="M824" s="38" t="str">
        <f t="shared" si="74"/>
        <v>0430</v>
      </c>
      <c r="N824" s="69">
        <f t="shared" si="73"/>
        <v>1072</v>
      </c>
      <c r="O824" s="96"/>
      <c r="P824" s="97"/>
      <c r="Q824" s="98"/>
      <c r="R824" s="135"/>
      <c r="U824" s="48" t="str">
        <f t="shared" si="72"/>
        <v/>
      </c>
      <c r="V824" s="16"/>
      <c r="W824" s="34"/>
      <c r="X824" s="35"/>
      <c r="Z824" s="74"/>
      <c r="AA824" s="130" t="str" cm="1">
        <f t="array" ref="AA824">HEX2ASCII(AB824)&amp;HEX2ASCII(AC824)&amp;HEX2ASCII(AD824)&amp;HEX2ASCII(AE824)&amp;HEX2ASCII(AF824)&amp;HEX2ASCII(AG824)&amp;HEX2ASCII(AH824)&amp;HEX2ASCII(AI824)</f>
        <v/>
      </c>
      <c r="AB824" s="147"/>
      <c r="AC824" s="148"/>
      <c r="AD824" s="148"/>
      <c r="AE824" s="148"/>
      <c r="AF824" s="148"/>
      <c r="AG824" s="148"/>
      <c r="AH824" s="148"/>
      <c r="AI824" s="149"/>
    </row>
    <row r="825" spans="11:35">
      <c r="K825" s="85"/>
      <c r="L825" s="54" t="str">
        <f t="shared" si="71"/>
        <v/>
      </c>
      <c r="M825" s="38" t="str">
        <f t="shared" si="74"/>
        <v>0431</v>
      </c>
      <c r="N825" s="69">
        <f t="shared" si="73"/>
        <v>1073</v>
      </c>
      <c r="O825" s="96"/>
      <c r="P825" s="97"/>
      <c r="Q825" s="98"/>
      <c r="R825" s="135"/>
      <c r="U825" s="48" t="str">
        <f t="shared" si="72"/>
        <v/>
      </c>
      <c r="V825" s="16"/>
      <c r="W825" s="34"/>
      <c r="X825" s="35"/>
      <c r="Z825" s="74"/>
      <c r="AA825" s="130" t="str" cm="1">
        <f t="array" ref="AA825">HEX2ASCII(AB825)&amp;HEX2ASCII(AC825)&amp;HEX2ASCII(AD825)&amp;HEX2ASCII(AE825)&amp;HEX2ASCII(AF825)&amp;HEX2ASCII(AG825)&amp;HEX2ASCII(AH825)&amp;HEX2ASCII(AI825)</f>
        <v/>
      </c>
      <c r="AB825" s="147"/>
      <c r="AC825" s="148"/>
      <c r="AD825" s="148"/>
      <c r="AE825" s="148"/>
      <c r="AF825" s="148"/>
      <c r="AG825" s="148"/>
      <c r="AH825" s="148"/>
      <c r="AI825" s="149"/>
    </row>
    <row r="826" spans="11:35">
      <c r="K826" s="85"/>
      <c r="L826" s="54" t="str">
        <f t="shared" si="71"/>
        <v/>
      </c>
      <c r="M826" s="38" t="str">
        <f t="shared" si="74"/>
        <v>0432</v>
      </c>
      <c r="N826" s="69">
        <f t="shared" si="73"/>
        <v>1074</v>
      </c>
      <c r="O826" s="96"/>
      <c r="P826" s="97"/>
      <c r="Q826" s="98"/>
      <c r="R826" s="135"/>
      <c r="U826" s="48" t="str">
        <f t="shared" si="72"/>
        <v/>
      </c>
      <c r="V826" s="16"/>
      <c r="W826" s="34"/>
      <c r="X826" s="35"/>
      <c r="Z826" s="74"/>
      <c r="AA826" s="130" t="str" cm="1">
        <f t="array" ref="AA826">HEX2ASCII(AB826)&amp;HEX2ASCII(AC826)&amp;HEX2ASCII(AD826)&amp;HEX2ASCII(AE826)&amp;HEX2ASCII(AF826)&amp;HEX2ASCII(AG826)&amp;HEX2ASCII(AH826)&amp;HEX2ASCII(AI826)</f>
        <v/>
      </c>
      <c r="AB826" s="147"/>
      <c r="AC826" s="148"/>
      <c r="AD826" s="148"/>
      <c r="AE826" s="148"/>
      <c r="AF826" s="148"/>
      <c r="AG826" s="148"/>
      <c r="AH826" s="148"/>
      <c r="AI826" s="149"/>
    </row>
    <row r="827" spans="11:35">
      <c r="K827" s="85"/>
      <c r="L827" s="54" t="str">
        <f t="shared" si="71"/>
        <v/>
      </c>
      <c r="M827" s="38" t="str">
        <f t="shared" si="74"/>
        <v>0433</v>
      </c>
      <c r="N827" s="69">
        <f t="shared" si="73"/>
        <v>1075</v>
      </c>
      <c r="O827" s="96"/>
      <c r="P827" s="97"/>
      <c r="Q827" s="98"/>
      <c r="R827" s="135"/>
      <c r="U827" s="48" t="str">
        <f t="shared" si="72"/>
        <v/>
      </c>
      <c r="V827" s="16"/>
      <c r="W827" s="34"/>
      <c r="X827" s="35"/>
      <c r="Z827" s="74"/>
      <c r="AA827" s="130" t="str" cm="1">
        <f t="array" ref="AA827">HEX2ASCII(AB827)&amp;HEX2ASCII(AC827)&amp;HEX2ASCII(AD827)&amp;HEX2ASCII(AE827)&amp;HEX2ASCII(AF827)&amp;HEX2ASCII(AG827)&amp;HEX2ASCII(AH827)&amp;HEX2ASCII(AI827)</f>
        <v/>
      </c>
      <c r="AB827" s="147"/>
      <c r="AC827" s="148"/>
      <c r="AD827" s="148"/>
      <c r="AE827" s="148"/>
      <c r="AF827" s="148"/>
      <c r="AG827" s="148"/>
      <c r="AH827" s="148"/>
      <c r="AI827" s="149"/>
    </row>
    <row r="828" spans="11:35">
      <c r="K828" s="85"/>
      <c r="L828" s="54" t="str">
        <f t="shared" si="71"/>
        <v/>
      </c>
      <c r="M828" s="38" t="str">
        <f t="shared" si="74"/>
        <v>0434</v>
      </c>
      <c r="N828" s="69">
        <f t="shared" si="73"/>
        <v>1076</v>
      </c>
      <c r="O828" s="96"/>
      <c r="P828" s="97"/>
      <c r="Q828" s="98"/>
      <c r="R828" s="135"/>
      <c r="U828" s="48" t="str">
        <f t="shared" si="72"/>
        <v/>
      </c>
      <c r="V828" s="16"/>
      <c r="W828" s="34"/>
      <c r="X828" s="35"/>
      <c r="Z828" s="74"/>
      <c r="AA828" s="130" t="str" cm="1">
        <f t="array" ref="AA828">HEX2ASCII(AB828)&amp;HEX2ASCII(AC828)&amp;HEX2ASCII(AD828)&amp;HEX2ASCII(AE828)&amp;HEX2ASCII(AF828)&amp;HEX2ASCII(AG828)&amp;HEX2ASCII(AH828)&amp;HEX2ASCII(AI828)</f>
        <v/>
      </c>
      <c r="AB828" s="147"/>
      <c r="AC828" s="148"/>
      <c r="AD828" s="148"/>
      <c r="AE828" s="148"/>
      <c r="AF828" s="148"/>
      <c r="AG828" s="148"/>
      <c r="AH828" s="148"/>
      <c r="AI828" s="149"/>
    </row>
    <row r="829" spans="11:35">
      <c r="K829" s="85"/>
      <c r="L829" s="54" t="str">
        <f t="shared" si="71"/>
        <v/>
      </c>
      <c r="M829" s="38" t="str">
        <f t="shared" si="74"/>
        <v>0435</v>
      </c>
      <c r="N829" s="69">
        <f t="shared" si="73"/>
        <v>1077</v>
      </c>
      <c r="O829" s="96"/>
      <c r="P829" s="97"/>
      <c r="Q829" s="98"/>
      <c r="R829" s="135"/>
      <c r="U829" s="48" t="str">
        <f t="shared" si="72"/>
        <v/>
      </c>
      <c r="V829" s="16"/>
      <c r="W829" s="34"/>
      <c r="X829" s="35"/>
      <c r="Z829" s="74"/>
      <c r="AA829" s="130" t="str" cm="1">
        <f t="array" ref="AA829">HEX2ASCII(AB829)&amp;HEX2ASCII(AC829)&amp;HEX2ASCII(AD829)&amp;HEX2ASCII(AE829)&amp;HEX2ASCII(AF829)&amp;HEX2ASCII(AG829)&amp;HEX2ASCII(AH829)&amp;HEX2ASCII(AI829)</f>
        <v/>
      </c>
      <c r="AB829" s="147"/>
      <c r="AC829" s="148"/>
      <c r="AD829" s="148"/>
      <c r="AE829" s="148"/>
      <c r="AF829" s="148"/>
      <c r="AG829" s="148"/>
      <c r="AH829" s="148"/>
      <c r="AI829" s="149"/>
    </row>
    <row r="830" spans="11:35">
      <c r="K830" s="85"/>
      <c r="L830" s="54" t="str">
        <f t="shared" si="71"/>
        <v/>
      </c>
      <c r="M830" s="38" t="str">
        <f t="shared" si="74"/>
        <v>0436</v>
      </c>
      <c r="N830" s="69">
        <f t="shared" si="73"/>
        <v>1078</v>
      </c>
      <c r="O830" s="96"/>
      <c r="P830" s="97"/>
      <c r="Q830" s="98"/>
      <c r="R830" s="135"/>
      <c r="U830" s="48" t="str">
        <f t="shared" si="72"/>
        <v/>
      </c>
      <c r="V830" s="16"/>
      <c r="W830" s="34"/>
      <c r="X830" s="35"/>
      <c r="Z830" s="74"/>
      <c r="AA830" s="130" t="str" cm="1">
        <f t="array" ref="AA830">HEX2ASCII(AB830)&amp;HEX2ASCII(AC830)&amp;HEX2ASCII(AD830)&amp;HEX2ASCII(AE830)&amp;HEX2ASCII(AF830)&amp;HEX2ASCII(AG830)&amp;HEX2ASCII(AH830)&amp;HEX2ASCII(AI830)</f>
        <v/>
      </c>
      <c r="AB830" s="147"/>
      <c r="AC830" s="148"/>
      <c r="AD830" s="148"/>
      <c r="AE830" s="148"/>
      <c r="AF830" s="148"/>
      <c r="AG830" s="148"/>
      <c r="AH830" s="148"/>
      <c r="AI830" s="149"/>
    </row>
    <row r="831" spans="11:35">
      <c r="K831" s="85"/>
      <c r="L831" s="54" t="str">
        <f t="shared" si="71"/>
        <v/>
      </c>
      <c r="M831" s="38" t="str">
        <f t="shared" si="74"/>
        <v>0437</v>
      </c>
      <c r="N831" s="69">
        <f t="shared" si="73"/>
        <v>1079</v>
      </c>
      <c r="O831" s="96"/>
      <c r="P831" s="97"/>
      <c r="Q831" s="98"/>
      <c r="R831" s="135"/>
      <c r="U831" s="48" t="str">
        <f t="shared" si="72"/>
        <v/>
      </c>
      <c r="V831" s="16"/>
      <c r="W831" s="34"/>
      <c r="X831" s="35"/>
      <c r="Z831" s="74"/>
      <c r="AA831" s="130" t="str" cm="1">
        <f t="array" ref="AA831">HEX2ASCII(AB831)&amp;HEX2ASCII(AC831)&amp;HEX2ASCII(AD831)&amp;HEX2ASCII(AE831)&amp;HEX2ASCII(AF831)&amp;HEX2ASCII(AG831)&amp;HEX2ASCII(AH831)&amp;HEX2ASCII(AI831)</f>
        <v/>
      </c>
      <c r="AB831" s="147"/>
      <c r="AC831" s="148"/>
      <c r="AD831" s="148"/>
      <c r="AE831" s="148"/>
      <c r="AF831" s="148"/>
      <c r="AG831" s="148"/>
      <c r="AH831" s="148"/>
      <c r="AI831" s="149"/>
    </row>
    <row r="832" spans="11:35">
      <c r="K832" s="85"/>
      <c r="L832" s="54" t="str">
        <f t="shared" si="71"/>
        <v/>
      </c>
      <c r="M832" s="38" t="str">
        <f t="shared" si="74"/>
        <v>0438</v>
      </c>
      <c r="N832" s="69">
        <f t="shared" si="73"/>
        <v>1080</v>
      </c>
      <c r="O832" s="96"/>
      <c r="P832" s="97"/>
      <c r="Q832" s="98"/>
      <c r="R832" s="135"/>
      <c r="U832" s="48" t="str">
        <f t="shared" si="72"/>
        <v/>
      </c>
      <c r="V832" s="16"/>
      <c r="W832" s="34"/>
      <c r="X832" s="35"/>
      <c r="Z832" s="74"/>
      <c r="AA832" s="130" t="str" cm="1">
        <f t="array" ref="AA832">HEX2ASCII(AB832)&amp;HEX2ASCII(AC832)&amp;HEX2ASCII(AD832)&amp;HEX2ASCII(AE832)&amp;HEX2ASCII(AF832)&amp;HEX2ASCII(AG832)&amp;HEX2ASCII(AH832)&amp;HEX2ASCII(AI832)</f>
        <v/>
      </c>
      <c r="AB832" s="147"/>
      <c r="AC832" s="148"/>
      <c r="AD832" s="148"/>
      <c r="AE832" s="148"/>
      <c r="AF832" s="148"/>
      <c r="AG832" s="148"/>
      <c r="AH832" s="148"/>
      <c r="AI832" s="149"/>
    </row>
    <row r="833" spans="11:35">
      <c r="K833" s="85"/>
      <c r="L833" s="54" t="str">
        <f t="shared" si="71"/>
        <v/>
      </c>
      <c r="M833" s="38" t="str">
        <f t="shared" si="74"/>
        <v>0439</v>
      </c>
      <c r="N833" s="69">
        <f t="shared" si="73"/>
        <v>1081</v>
      </c>
      <c r="O833" s="96"/>
      <c r="P833" s="97"/>
      <c r="Q833" s="98"/>
      <c r="R833" s="135"/>
      <c r="U833" s="48" t="str">
        <f t="shared" si="72"/>
        <v/>
      </c>
      <c r="V833" s="16"/>
      <c r="W833" s="34"/>
      <c r="X833" s="35"/>
      <c r="Z833" s="74"/>
      <c r="AA833" s="130" t="str" cm="1">
        <f t="array" ref="AA833">HEX2ASCII(AB833)&amp;HEX2ASCII(AC833)&amp;HEX2ASCII(AD833)&amp;HEX2ASCII(AE833)&amp;HEX2ASCII(AF833)&amp;HEX2ASCII(AG833)&amp;HEX2ASCII(AH833)&amp;HEX2ASCII(AI833)</f>
        <v/>
      </c>
      <c r="AB833" s="147"/>
      <c r="AC833" s="148"/>
      <c r="AD833" s="148"/>
      <c r="AE833" s="148"/>
      <c r="AF833" s="148"/>
      <c r="AG833" s="148"/>
      <c r="AH833" s="148"/>
      <c r="AI833" s="149"/>
    </row>
    <row r="834" spans="11:35">
      <c r="K834" s="85"/>
      <c r="L834" s="54" t="str">
        <f t="shared" si="71"/>
        <v/>
      </c>
      <c r="M834" s="38" t="str">
        <f t="shared" si="74"/>
        <v>043A</v>
      </c>
      <c r="N834" s="69">
        <f t="shared" si="73"/>
        <v>1082</v>
      </c>
      <c r="O834" s="96"/>
      <c r="P834" s="97"/>
      <c r="Q834" s="98"/>
      <c r="R834" s="135"/>
      <c r="U834" s="48" t="str">
        <f t="shared" si="72"/>
        <v/>
      </c>
      <c r="V834" s="16"/>
      <c r="W834" s="34"/>
      <c r="X834" s="35"/>
      <c r="Z834" s="74"/>
      <c r="AA834" s="130" t="str" cm="1">
        <f t="array" ref="AA834">HEX2ASCII(AB834)&amp;HEX2ASCII(AC834)&amp;HEX2ASCII(AD834)&amp;HEX2ASCII(AE834)&amp;HEX2ASCII(AF834)&amp;HEX2ASCII(AG834)&amp;HEX2ASCII(AH834)&amp;HEX2ASCII(AI834)</f>
        <v/>
      </c>
      <c r="AB834" s="147"/>
      <c r="AC834" s="148"/>
      <c r="AD834" s="148"/>
      <c r="AE834" s="148"/>
      <c r="AF834" s="148"/>
      <c r="AG834" s="148"/>
      <c r="AH834" s="148"/>
      <c r="AI834" s="149"/>
    </row>
    <row r="835" spans="11:35">
      <c r="K835" s="85"/>
      <c r="L835" s="54" t="str">
        <f t="shared" si="71"/>
        <v/>
      </c>
      <c r="M835" s="38" t="str">
        <f t="shared" si="74"/>
        <v>043B</v>
      </c>
      <c r="N835" s="69">
        <f t="shared" si="73"/>
        <v>1083</v>
      </c>
      <c r="O835" s="96"/>
      <c r="P835" s="97"/>
      <c r="Q835" s="98"/>
      <c r="R835" s="135"/>
      <c r="U835" s="48" t="str">
        <f t="shared" si="72"/>
        <v/>
      </c>
      <c r="V835" s="16"/>
      <c r="W835" s="34"/>
      <c r="X835" s="35"/>
      <c r="Z835" s="74"/>
      <c r="AA835" s="130" t="str" cm="1">
        <f t="array" ref="AA835">HEX2ASCII(AB835)&amp;HEX2ASCII(AC835)&amp;HEX2ASCII(AD835)&amp;HEX2ASCII(AE835)&amp;HEX2ASCII(AF835)&amp;HEX2ASCII(AG835)&amp;HEX2ASCII(AH835)&amp;HEX2ASCII(AI835)</f>
        <v/>
      </c>
      <c r="AB835" s="147"/>
      <c r="AC835" s="148"/>
      <c r="AD835" s="148"/>
      <c r="AE835" s="148"/>
      <c r="AF835" s="148"/>
      <c r="AG835" s="148"/>
      <c r="AH835" s="148"/>
      <c r="AI835" s="149"/>
    </row>
    <row r="836" spans="11:35">
      <c r="K836" s="85"/>
      <c r="L836" s="54" t="str">
        <f t="shared" si="71"/>
        <v/>
      </c>
      <c r="M836" s="38" t="str">
        <f t="shared" si="74"/>
        <v>043C</v>
      </c>
      <c r="N836" s="69">
        <f t="shared" si="73"/>
        <v>1084</v>
      </c>
      <c r="O836" s="96"/>
      <c r="P836" s="97"/>
      <c r="Q836" s="98"/>
      <c r="R836" s="135"/>
      <c r="U836" s="48" t="str">
        <f t="shared" si="72"/>
        <v/>
      </c>
      <c r="V836" s="16"/>
      <c r="W836" s="34"/>
      <c r="X836" s="35"/>
      <c r="Z836" s="74"/>
      <c r="AA836" s="130" t="str" cm="1">
        <f t="array" ref="AA836">HEX2ASCII(AB836)&amp;HEX2ASCII(AC836)&amp;HEX2ASCII(AD836)&amp;HEX2ASCII(AE836)&amp;HEX2ASCII(AF836)&amp;HEX2ASCII(AG836)&amp;HEX2ASCII(AH836)&amp;HEX2ASCII(AI836)</f>
        <v/>
      </c>
      <c r="AB836" s="147"/>
      <c r="AC836" s="148"/>
      <c r="AD836" s="148"/>
      <c r="AE836" s="148"/>
      <c r="AF836" s="148"/>
      <c r="AG836" s="148"/>
      <c r="AH836" s="148"/>
      <c r="AI836" s="149"/>
    </row>
    <row r="837" spans="11:35">
      <c r="K837" s="85"/>
      <c r="L837" s="54" t="str">
        <f t="shared" si="71"/>
        <v/>
      </c>
      <c r="M837" s="38" t="str">
        <f t="shared" si="74"/>
        <v>043D</v>
      </c>
      <c r="N837" s="69">
        <f t="shared" si="73"/>
        <v>1085</v>
      </c>
      <c r="O837" s="96"/>
      <c r="P837" s="97"/>
      <c r="Q837" s="98"/>
      <c r="R837" s="135"/>
      <c r="U837" s="48" t="str">
        <f t="shared" si="72"/>
        <v/>
      </c>
      <c r="V837" s="16"/>
      <c r="W837" s="34"/>
      <c r="X837" s="35"/>
      <c r="Z837" s="74"/>
      <c r="AA837" s="130" t="str" cm="1">
        <f t="array" ref="AA837">HEX2ASCII(AB837)&amp;HEX2ASCII(AC837)&amp;HEX2ASCII(AD837)&amp;HEX2ASCII(AE837)&amp;HEX2ASCII(AF837)&amp;HEX2ASCII(AG837)&amp;HEX2ASCII(AH837)&amp;HEX2ASCII(AI837)</f>
        <v/>
      </c>
      <c r="AB837" s="147"/>
      <c r="AC837" s="148"/>
      <c r="AD837" s="148"/>
      <c r="AE837" s="148"/>
      <c r="AF837" s="148"/>
      <c r="AG837" s="148"/>
      <c r="AH837" s="148"/>
      <c r="AI837" s="149"/>
    </row>
    <row r="838" spans="11:35">
      <c r="K838" s="85"/>
      <c r="L838" s="54" t="str">
        <f t="shared" si="71"/>
        <v/>
      </c>
      <c r="M838" s="38" t="str">
        <f t="shared" si="74"/>
        <v>043E</v>
      </c>
      <c r="N838" s="69">
        <f t="shared" si="73"/>
        <v>1086</v>
      </c>
      <c r="O838" s="96"/>
      <c r="P838" s="97"/>
      <c r="Q838" s="98"/>
      <c r="R838" s="135"/>
      <c r="U838" s="48" t="str">
        <f t="shared" si="72"/>
        <v/>
      </c>
      <c r="V838" s="16"/>
      <c r="W838" s="34"/>
      <c r="X838" s="35"/>
      <c r="Z838" s="74"/>
      <c r="AA838" s="130" t="str" cm="1">
        <f t="array" ref="AA838">HEX2ASCII(AB838)&amp;HEX2ASCII(AC838)&amp;HEX2ASCII(AD838)&amp;HEX2ASCII(AE838)&amp;HEX2ASCII(AF838)&amp;HEX2ASCII(AG838)&amp;HEX2ASCII(AH838)&amp;HEX2ASCII(AI838)</f>
        <v/>
      </c>
      <c r="AB838" s="147"/>
      <c r="AC838" s="148"/>
      <c r="AD838" s="148"/>
      <c r="AE838" s="148"/>
      <c r="AF838" s="148"/>
      <c r="AG838" s="148"/>
      <c r="AH838" s="148"/>
      <c r="AI838" s="149"/>
    </row>
    <row r="839" spans="11:35">
      <c r="K839" s="85"/>
      <c r="L839" s="54" t="str">
        <f t="shared" si="71"/>
        <v/>
      </c>
      <c r="M839" s="38" t="str">
        <f t="shared" si="74"/>
        <v>043F</v>
      </c>
      <c r="N839" s="69">
        <f t="shared" si="73"/>
        <v>1087</v>
      </c>
      <c r="O839" s="96"/>
      <c r="P839" s="97"/>
      <c r="Q839" s="98"/>
      <c r="R839" s="135"/>
      <c r="U839" s="48" t="str">
        <f t="shared" si="72"/>
        <v/>
      </c>
      <c r="V839" s="16"/>
      <c r="W839" s="34"/>
      <c r="X839" s="35"/>
      <c r="Z839" s="74"/>
      <c r="AA839" s="130" t="str" cm="1">
        <f t="array" ref="AA839">HEX2ASCII(AB839)&amp;HEX2ASCII(AC839)&amp;HEX2ASCII(AD839)&amp;HEX2ASCII(AE839)&amp;HEX2ASCII(AF839)&amp;HEX2ASCII(AG839)&amp;HEX2ASCII(AH839)&amp;HEX2ASCII(AI839)</f>
        <v/>
      </c>
      <c r="AB839" s="147"/>
      <c r="AC839" s="148"/>
      <c r="AD839" s="148"/>
      <c r="AE839" s="148"/>
      <c r="AF839" s="148"/>
      <c r="AG839" s="148"/>
      <c r="AH839" s="148"/>
      <c r="AI839" s="149"/>
    </row>
    <row r="840" spans="11:35">
      <c r="K840" s="85"/>
      <c r="L840" s="54" t="str">
        <f t="shared" si="71"/>
        <v/>
      </c>
      <c r="M840" s="38" t="str">
        <f t="shared" si="74"/>
        <v>0440</v>
      </c>
      <c r="N840" s="69">
        <f t="shared" si="73"/>
        <v>1088</v>
      </c>
      <c r="O840" s="96"/>
      <c r="P840" s="97"/>
      <c r="Q840" s="98"/>
      <c r="R840" s="135"/>
      <c r="U840" s="48" t="str">
        <f t="shared" si="72"/>
        <v/>
      </c>
      <c r="V840" s="16"/>
      <c r="W840" s="34"/>
      <c r="X840" s="35"/>
      <c r="Z840" s="74"/>
      <c r="AA840" s="130" t="str" cm="1">
        <f t="array" ref="AA840">HEX2ASCII(AB840)&amp;HEX2ASCII(AC840)&amp;HEX2ASCII(AD840)&amp;HEX2ASCII(AE840)&amp;HEX2ASCII(AF840)&amp;HEX2ASCII(AG840)&amp;HEX2ASCII(AH840)&amp;HEX2ASCII(AI840)</f>
        <v/>
      </c>
      <c r="AB840" s="147"/>
      <c r="AC840" s="148"/>
      <c r="AD840" s="148"/>
      <c r="AE840" s="148"/>
      <c r="AF840" s="148"/>
      <c r="AG840" s="148"/>
      <c r="AH840" s="148"/>
      <c r="AI840" s="149"/>
    </row>
    <row r="841" spans="11:35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0441</v>
      </c>
      <c r="N841" s="69">
        <f t="shared" si="73"/>
        <v>1089</v>
      </c>
      <c r="O841" s="96"/>
      <c r="P841" s="97"/>
      <c r="Q841" s="98"/>
      <c r="R841" s="135"/>
      <c r="U841" s="48" t="str">
        <f t="shared" ref="U841:U904" si="76">IF(V841&gt;0,RIGHT("0000"&amp;DEC2HEX(V841),4),"")</f>
        <v/>
      </c>
      <c r="V841" s="16"/>
      <c r="W841" s="34"/>
      <c r="X841" s="35"/>
      <c r="Z841" s="74"/>
      <c r="AA841" s="130" t="str" cm="1">
        <f t="array" ref="AA841">HEX2ASCII(AB841)&amp;HEX2ASCII(AC841)&amp;HEX2ASCII(AD841)&amp;HEX2ASCII(AE841)&amp;HEX2ASCII(AF841)&amp;HEX2ASCII(AG841)&amp;HEX2ASCII(AH841)&amp;HEX2ASCII(AI841)</f>
        <v/>
      </c>
      <c r="AB841" s="147"/>
      <c r="AC841" s="148"/>
      <c r="AD841" s="148"/>
      <c r="AE841" s="148"/>
      <c r="AF841" s="148"/>
      <c r="AG841" s="148"/>
      <c r="AH841" s="148"/>
      <c r="AI841" s="149"/>
    </row>
    <row r="842" spans="11:35">
      <c r="K842" s="85"/>
      <c r="L842" s="54" t="str">
        <f t="shared" si="75"/>
        <v/>
      </c>
      <c r="M842" s="38" t="str">
        <f t="shared" si="74"/>
        <v>0442</v>
      </c>
      <c r="N842" s="69">
        <f t="shared" ref="N842:N905" si="77">N841+0*COUNTA(P841:R841)+1</f>
        <v>1090</v>
      </c>
      <c r="O842" s="96"/>
      <c r="P842" s="97"/>
      <c r="Q842" s="98"/>
      <c r="R842" s="135"/>
      <c r="U842" s="48" t="str">
        <f t="shared" si="76"/>
        <v/>
      </c>
      <c r="V842" s="16"/>
      <c r="W842" s="34"/>
      <c r="X842" s="35"/>
      <c r="Z842" s="74"/>
      <c r="AA842" s="130" t="str" cm="1">
        <f t="array" ref="AA842">HEX2ASCII(AB842)&amp;HEX2ASCII(AC842)&amp;HEX2ASCII(AD842)&amp;HEX2ASCII(AE842)&amp;HEX2ASCII(AF842)&amp;HEX2ASCII(AG842)&amp;HEX2ASCII(AH842)&amp;HEX2ASCII(AI842)</f>
        <v/>
      </c>
      <c r="AB842" s="147"/>
      <c r="AC842" s="148"/>
      <c r="AD842" s="148"/>
      <c r="AE842" s="148"/>
      <c r="AF842" s="148"/>
      <c r="AG842" s="148"/>
      <c r="AH842" s="148"/>
      <c r="AI842" s="149"/>
    </row>
    <row r="843" spans="11:35">
      <c r="K843" s="85"/>
      <c r="L843" s="54" t="str">
        <f t="shared" si="75"/>
        <v/>
      </c>
      <c r="M843" s="38" t="str">
        <f t="shared" si="74"/>
        <v>0443</v>
      </c>
      <c r="N843" s="69">
        <f t="shared" si="77"/>
        <v>1091</v>
      </c>
      <c r="O843" s="96"/>
      <c r="P843" s="97"/>
      <c r="Q843" s="98"/>
      <c r="R843" s="135"/>
      <c r="U843" s="48" t="str">
        <f t="shared" si="76"/>
        <v/>
      </c>
      <c r="V843" s="16"/>
      <c r="W843" s="34"/>
      <c r="X843" s="35"/>
      <c r="Z843" s="74"/>
      <c r="AA843" s="130" t="str" cm="1">
        <f t="array" ref="AA843">HEX2ASCII(AB843)&amp;HEX2ASCII(AC843)&amp;HEX2ASCII(AD843)&amp;HEX2ASCII(AE843)&amp;HEX2ASCII(AF843)&amp;HEX2ASCII(AG843)&amp;HEX2ASCII(AH843)&amp;HEX2ASCII(AI843)</f>
        <v/>
      </c>
      <c r="AB843" s="147"/>
      <c r="AC843" s="148"/>
      <c r="AD843" s="148"/>
      <c r="AE843" s="148"/>
      <c r="AF843" s="148"/>
      <c r="AG843" s="148"/>
      <c r="AH843" s="148"/>
      <c r="AI843" s="149"/>
    </row>
    <row r="844" spans="11:35">
      <c r="K844" s="85"/>
      <c r="L844" s="54" t="str">
        <f t="shared" si="75"/>
        <v/>
      </c>
      <c r="M844" s="38" t="str">
        <f t="shared" si="74"/>
        <v>0444</v>
      </c>
      <c r="N844" s="69">
        <f t="shared" si="77"/>
        <v>1092</v>
      </c>
      <c r="O844" s="96"/>
      <c r="P844" s="97"/>
      <c r="Q844" s="98"/>
      <c r="R844" s="135"/>
      <c r="U844" s="48" t="str">
        <f t="shared" si="76"/>
        <v/>
      </c>
      <c r="V844" s="16"/>
      <c r="W844" s="34"/>
      <c r="X844" s="35"/>
      <c r="Z844" s="74"/>
      <c r="AA844" s="130" t="str" cm="1">
        <f t="array" ref="AA844">HEX2ASCII(AB844)&amp;HEX2ASCII(AC844)&amp;HEX2ASCII(AD844)&amp;HEX2ASCII(AE844)&amp;HEX2ASCII(AF844)&amp;HEX2ASCII(AG844)&amp;HEX2ASCII(AH844)&amp;HEX2ASCII(AI844)</f>
        <v/>
      </c>
      <c r="AB844" s="147"/>
      <c r="AC844" s="148"/>
      <c r="AD844" s="148"/>
      <c r="AE844" s="148"/>
      <c r="AF844" s="148"/>
      <c r="AG844" s="148"/>
      <c r="AH844" s="148"/>
      <c r="AI844" s="149"/>
    </row>
    <row r="845" spans="11:35">
      <c r="K845" s="85"/>
      <c r="L845" s="54" t="str">
        <f t="shared" si="75"/>
        <v/>
      </c>
      <c r="M845" s="38" t="str">
        <f t="shared" si="74"/>
        <v>0445</v>
      </c>
      <c r="N845" s="69">
        <f t="shared" si="77"/>
        <v>1093</v>
      </c>
      <c r="O845" s="96"/>
      <c r="P845" s="97"/>
      <c r="Q845" s="98"/>
      <c r="R845" s="135"/>
      <c r="U845" s="48" t="str">
        <f t="shared" si="76"/>
        <v/>
      </c>
      <c r="V845" s="16"/>
      <c r="W845" s="34"/>
      <c r="X845" s="35"/>
      <c r="Z845" s="74"/>
      <c r="AA845" s="130" t="str" cm="1">
        <f t="array" ref="AA845">HEX2ASCII(AB845)&amp;HEX2ASCII(AC845)&amp;HEX2ASCII(AD845)&amp;HEX2ASCII(AE845)&amp;HEX2ASCII(AF845)&amp;HEX2ASCII(AG845)&amp;HEX2ASCII(AH845)&amp;HEX2ASCII(AI845)</f>
        <v/>
      </c>
      <c r="AB845" s="147"/>
      <c r="AC845" s="148"/>
      <c r="AD845" s="148"/>
      <c r="AE845" s="148"/>
      <c r="AF845" s="148"/>
      <c r="AG845" s="148"/>
      <c r="AH845" s="148"/>
      <c r="AI845" s="149"/>
    </row>
    <row r="846" spans="11:35">
      <c r="K846" s="85"/>
      <c r="L846" s="54" t="str">
        <f t="shared" si="75"/>
        <v/>
      </c>
      <c r="M846" s="38" t="str">
        <f t="shared" si="74"/>
        <v>0446</v>
      </c>
      <c r="N846" s="69">
        <f t="shared" si="77"/>
        <v>1094</v>
      </c>
      <c r="O846" s="96"/>
      <c r="P846" s="97"/>
      <c r="Q846" s="98"/>
      <c r="R846" s="135"/>
      <c r="U846" s="48" t="str">
        <f t="shared" si="76"/>
        <v/>
      </c>
      <c r="V846" s="16"/>
      <c r="W846" s="34"/>
      <c r="X846" s="35"/>
      <c r="Z846" s="74"/>
      <c r="AA846" s="130" t="str" cm="1">
        <f t="array" ref="AA846">HEX2ASCII(AB846)&amp;HEX2ASCII(AC846)&amp;HEX2ASCII(AD846)&amp;HEX2ASCII(AE846)&amp;HEX2ASCII(AF846)&amp;HEX2ASCII(AG846)&amp;HEX2ASCII(AH846)&amp;HEX2ASCII(AI846)</f>
        <v/>
      </c>
      <c r="AB846" s="147"/>
      <c r="AC846" s="148"/>
      <c r="AD846" s="148"/>
      <c r="AE846" s="148"/>
      <c r="AF846" s="148"/>
      <c r="AG846" s="148"/>
      <c r="AH846" s="148"/>
      <c r="AI846" s="149"/>
    </row>
    <row r="847" spans="11:35">
      <c r="K847" s="85"/>
      <c r="L847" s="54" t="str">
        <f t="shared" si="75"/>
        <v/>
      </c>
      <c r="M847" s="38" t="str">
        <f t="shared" si="74"/>
        <v>0447</v>
      </c>
      <c r="N847" s="69">
        <f t="shared" si="77"/>
        <v>1095</v>
      </c>
      <c r="O847" s="96"/>
      <c r="P847" s="97"/>
      <c r="Q847" s="98"/>
      <c r="R847" s="135"/>
      <c r="U847" s="48" t="str">
        <f t="shared" si="76"/>
        <v/>
      </c>
      <c r="V847" s="16"/>
      <c r="W847" s="34"/>
      <c r="X847" s="35"/>
      <c r="Z847" s="74"/>
      <c r="AA847" s="130" t="str" cm="1">
        <f t="array" ref="AA847">HEX2ASCII(AB847)&amp;HEX2ASCII(AC847)&amp;HEX2ASCII(AD847)&amp;HEX2ASCII(AE847)&amp;HEX2ASCII(AF847)&amp;HEX2ASCII(AG847)&amp;HEX2ASCII(AH847)&amp;HEX2ASCII(AI847)</f>
        <v/>
      </c>
      <c r="AB847" s="147"/>
      <c r="AC847" s="148"/>
      <c r="AD847" s="148"/>
      <c r="AE847" s="148"/>
      <c r="AF847" s="148"/>
      <c r="AG847" s="148"/>
      <c r="AH847" s="148"/>
      <c r="AI847" s="149"/>
    </row>
    <row r="848" spans="11:35">
      <c r="K848" s="85"/>
      <c r="L848" s="54" t="str">
        <f t="shared" si="75"/>
        <v/>
      </c>
      <c r="M848" s="38" t="str">
        <f t="shared" si="74"/>
        <v>0448</v>
      </c>
      <c r="N848" s="69">
        <f t="shared" si="77"/>
        <v>1096</v>
      </c>
      <c r="O848" s="96"/>
      <c r="P848" s="97"/>
      <c r="Q848" s="98"/>
      <c r="R848" s="135"/>
      <c r="U848" s="48" t="str">
        <f t="shared" si="76"/>
        <v/>
      </c>
      <c r="V848" s="16"/>
      <c r="W848" s="34"/>
      <c r="X848" s="35"/>
      <c r="Z848" s="74"/>
      <c r="AA848" s="130" t="str" cm="1">
        <f t="array" ref="AA848">HEX2ASCII(AB848)&amp;HEX2ASCII(AC848)&amp;HEX2ASCII(AD848)&amp;HEX2ASCII(AE848)&amp;HEX2ASCII(AF848)&amp;HEX2ASCII(AG848)&amp;HEX2ASCII(AH848)&amp;HEX2ASCII(AI848)</f>
        <v/>
      </c>
      <c r="AB848" s="147"/>
      <c r="AC848" s="148"/>
      <c r="AD848" s="148"/>
      <c r="AE848" s="148"/>
      <c r="AF848" s="148"/>
      <c r="AG848" s="148"/>
      <c r="AH848" s="148"/>
      <c r="AI848" s="149"/>
    </row>
    <row r="849" spans="11:35">
      <c r="K849" s="85"/>
      <c r="L849" s="54" t="str">
        <f t="shared" si="75"/>
        <v/>
      </c>
      <c r="M849" s="38" t="str">
        <f t="shared" si="74"/>
        <v>0449</v>
      </c>
      <c r="N849" s="69">
        <f t="shared" si="77"/>
        <v>1097</v>
      </c>
      <c r="O849" s="96"/>
      <c r="P849" s="97"/>
      <c r="Q849" s="98"/>
      <c r="R849" s="135"/>
      <c r="U849" s="48" t="str">
        <f t="shared" si="76"/>
        <v/>
      </c>
      <c r="V849" s="16"/>
      <c r="W849" s="34"/>
      <c r="X849" s="35"/>
      <c r="Z849" s="74"/>
      <c r="AA849" s="130" t="str" cm="1">
        <f t="array" ref="AA849">HEX2ASCII(AB849)&amp;HEX2ASCII(AC849)&amp;HEX2ASCII(AD849)&amp;HEX2ASCII(AE849)&amp;HEX2ASCII(AF849)&amp;HEX2ASCII(AG849)&amp;HEX2ASCII(AH849)&amp;HEX2ASCII(AI849)</f>
        <v/>
      </c>
      <c r="AB849" s="147"/>
      <c r="AC849" s="148"/>
      <c r="AD849" s="148"/>
      <c r="AE849" s="148"/>
      <c r="AF849" s="148"/>
      <c r="AG849" s="148"/>
      <c r="AH849" s="148"/>
      <c r="AI849" s="149"/>
    </row>
    <row r="850" spans="11:35">
      <c r="K850" s="85"/>
      <c r="L850" s="54" t="str">
        <f t="shared" si="75"/>
        <v/>
      </c>
      <c r="M850" s="38" t="str">
        <f t="shared" si="74"/>
        <v>044A</v>
      </c>
      <c r="N850" s="69">
        <f t="shared" si="77"/>
        <v>1098</v>
      </c>
      <c r="O850" s="96"/>
      <c r="P850" s="97"/>
      <c r="Q850" s="98"/>
      <c r="R850" s="135"/>
      <c r="U850" s="48" t="str">
        <f t="shared" si="76"/>
        <v/>
      </c>
      <c r="V850" s="16"/>
      <c r="W850" s="34"/>
      <c r="X850" s="35"/>
      <c r="Z850" s="74"/>
      <c r="AA850" s="130" t="str" cm="1">
        <f t="array" ref="AA850">HEX2ASCII(AB850)&amp;HEX2ASCII(AC850)&amp;HEX2ASCII(AD850)&amp;HEX2ASCII(AE850)&amp;HEX2ASCII(AF850)&amp;HEX2ASCII(AG850)&amp;HEX2ASCII(AH850)&amp;HEX2ASCII(AI850)</f>
        <v/>
      </c>
      <c r="AB850" s="147"/>
      <c r="AC850" s="148"/>
      <c r="AD850" s="148"/>
      <c r="AE850" s="148"/>
      <c r="AF850" s="148"/>
      <c r="AG850" s="148"/>
      <c r="AH850" s="148"/>
      <c r="AI850" s="149"/>
    </row>
    <row r="851" spans="11:35">
      <c r="K851" s="85"/>
      <c r="L851" s="54" t="str">
        <f t="shared" si="75"/>
        <v/>
      </c>
      <c r="M851" s="38" t="str">
        <f t="shared" si="74"/>
        <v>044B</v>
      </c>
      <c r="N851" s="69">
        <f t="shared" si="77"/>
        <v>1099</v>
      </c>
      <c r="O851" s="96"/>
      <c r="P851" s="97"/>
      <c r="Q851" s="98"/>
      <c r="R851" s="135"/>
      <c r="U851" s="48" t="str">
        <f t="shared" si="76"/>
        <v/>
      </c>
      <c r="V851" s="16"/>
      <c r="W851" s="34"/>
      <c r="X851" s="35"/>
      <c r="Z851" s="74"/>
      <c r="AA851" s="130" t="str" cm="1">
        <f t="array" ref="AA851">HEX2ASCII(AB851)&amp;HEX2ASCII(AC851)&amp;HEX2ASCII(AD851)&amp;HEX2ASCII(AE851)&amp;HEX2ASCII(AF851)&amp;HEX2ASCII(AG851)&amp;HEX2ASCII(AH851)&amp;HEX2ASCII(AI851)</f>
        <v/>
      </c>
      <c r="AB851" s="147"/>
      <c r="AC851" s="148"/>
      <c r="AD851" s="148"/>
      <c r="AE851" s="148"/>
      <c r="AF851" s="148"/>
      <c r="AG851" s="148"/>
      <c r="AH851" s="148"/>
      <c r="AI851" s="149"/>
    </row>
    <row r="852" spans="11:35">
      <c r="K852" s="85"/>
      <c r="L852" s="54" t="str">
        <f t="shared" si="75"/>
        <v/>
      </c>
      <c r="M852" s="38" t="str">
        <f t="shared" si="74"/>
        <v>044C</v>
      </c>
      <c r="N852" s="69">
        <f t="shared" si="77"/>
        <v>1100</v>
      </c>
      <c r="O852" s="96"/>
      <c r="P852" s="97"/>
      <c r="Q852" s="98"/>
      <c r="R852" s="135"/>
      <c r="U852" s="48" t="str">
        <f t="shared" si="76"/>
        <v/>
      </c>
      <c r="V852" s="16"/>
      <c r="W852" s="34"/>
      <c r="X852" s="35"/>
      <c r="Z852" s="74"/>
      <c r="AA852" s="130" t="str" cm="1">
        <f t="array" ref="AA852">HEX2ASCII(AB852)&amp;HEX2ASCII(AC852)&amp;HEX2ASCII(AD852)&amp;HEX2ASCII(AE852)&amp;HEX2ASCII(AF852)&amp;HEX2ASCII(AG852)&amp;HEX2ASCII(AH852)&amp;HEX2ASCII(AI852)</f>
        <v/>
      </c>
      <c r="AB852" s="147"/>
      <c r="AC852" s="148"/>
      <c r="AD852" s="148"/>
      <c r="AE852" s="148"/>
      <c r="AF852" s="148"/>
      <c r="AG852" s="148"/>
      <c r="AH852" s="148"/>
      <c r="AI852" s="149"/>
    </row>
    <row r="853" spans="11:35">
      <c r="K853" s="85"/>
      <c r="L853" s="54" t="str">
        <f t="shared" si="75"/>
        <v/>
      </c>
      <c r="M853" s="38" t="str">
        <f t="shared" si="74"/>
        <v>044D</v>
      </c>
      <c r="N853" s="69">
        <f t="shared" si="77"/>
        <v>1101</v>
      </c>
      <c r="O853" s="96"/>
      <c r="P853" s="97"/>
      <c r="Q853" s="98"/>
      <c r="R853" s="135"/>
      <c r="U853" s="48" t="str">
        <f t="shared" si="76"/>
        <v/>
      </c>
      <c r="V853" s="16"/>
      <c r="W853" s="34"/>
      <c r="X853" s="35"/>
      <c r="Z853" s="74"/>
      <c r="AA853" s="130" t="str" cm="1">
        <f t="array" ref="AA853">HEX2ASCII(AB853)&amp;HEX2ASCII(AC853)&amp;HEX2ASCII(AD853)&amp;HEX2ASCII(AE853)&amp;HEX2ASCII(AF853)&amp;HEX2ASCII(AG853)&amp;HEX2ASCII(AH853)&amp;HEX2ASCII(AI853)</f>
        <v/>
      </c>
      <c r="AB853" s="147"/>
      <c r="AC853" s="148"/>
      <c r="AD853" s="148"/>
      <c r="AE853" s="148"/>
      <c r="AF853" s="148"/>
      <c r="AG853" s="148"/>
      <c r="AH853" s="148"/>
      <c r="AI853" s="149"/>
    </row>
    <row r="854" spans="11:35">
      <c r="K854" s="85"/>
      <c r="L854" s="54" t="str">
        <f t="shared" si="75"/>
        <v/>
      </c>
      <c r="M854" s="38" t="str">
        <f t="shared" si="74"/>
        <v>044E</v>
      </c>
      <c r="N854" s="69">
        <f t="shared" si="77"/>
        <v>1102</v>
      </c>
      <c r="O854" s="96"/>
      <c r="P854" s="97"/>
      <c r="Q854" s="98"/>
      <c r="R854" s="135"/>
      <c r="U854" s="48" t="str">
        <f t="shared" si="76"/>
        <v/>
      </c>
      <c r="V854" s="16"/>
      <c r="W854" s="34"/>
      <c r="X854" s="35"/>
      <c r="Z854" s="74"/>
      <c r="AA854" s="130" t="str" cm="1">
        <f t="array" ref="AA854">HEX2ASCII(AB854)&amp;HEX2ASCII(AC854)&amp;HEX2ASCII(AD854)&amp;HEX2ASCII(AE854)&amp;HEX2ASCII(AF854)&amp;HEX2ASCII(AG854)&amp;HEX2ASCII(AH854)&amp;HEX2ASCII(AI854)</f>
        <v/>
      </c>
      <c r="AB854" s="147"/>
      <c r="AC854" s="148"/>
      <c r="AD854" s="148"/>
      <c r="AE854" s="148"/>
      <c r="AF854" s="148"/>
      <c r="AG854" s="148"/>
      <c r="AH854" s="148"/>
      <c r="AI854" s="149"/>
    </row>
    <row r="855" spans="11:35">
      <c r="K855" s="85"/>
      <c r="L855" s="54" t="str">
        <f t="shared" si="75"/>
        <v/>
      </c>
      <c r="M855" s="38" t="str">
        <f t="shared" si="74"/>
        <v>044F</v>
      </c>
      <c r="N855" s="69">
        <f t="shared" si="77"/>
        <v>1103</v>
      </c>
      <c r="O855" s="96"/>
      <c r="P855" s="97"/>
      <c r="Q855" s="98"/>
      <c r="R855" s="135"/>
      <c r="U855" s="48" t="str">
        <f t="shared" si="76"/>
        <v/>
      </c>
      <c r="V855" s="16"/>
      <c r="W855" s="34"/>
      <c r="X855" s="35"/>
      <c r="Z855" s="74"/>
      <c r="AA855" s="130" t="str" cm="1">
        <f t="array" ref="AA855">HEX2ASCII(AB855)&amp;HEX2ASCII(AC855)&amp;HEX2ASCII(AD855)&amp;HEX2ASCII(AE855)&amp;HEX2ASCII(AF855)&amp;HEX2ASCII(AG855)&amp;HEX2ASCII(AH855)&amp;HEX2ASCII(AI855)</f>
        <v/>
      </c>
      <c r="AB855" s="147"/>
      <c r="AC855" s="148"/>
      <c r="AD855" s="148"/>
      <c r="AE855" s="148"/>
      <c r="AF855" s="148"/>
      <c r="AG855" s="148"/>
      <c r="AH855" s="148"/>
      <c r="AI855" s="149"/>
    </row>
    <row r="856" spans="11:35">
      <c r="K856" s="85"/>
      <c r="L856" s="54" t="str">
        <f t="shared" si="75"/>
        <v/>
      </c>
      <c r="M856" s="38" t="str">
        <f t="shared" si="74"/>
        <v>0450</v>
      </c>
      <c r="N856" s="69">
        <f t="shared" si="77"/>
        <v>1104</v>
      </c>
      <c r="O856" s="96"/>
      <c r="P856" s="97"/>
      <c r="Q856" s="98"/>
      <c r="R856" s="135"/>
      <c r="U856" s="48" t="str">
        <f t="shared" si="76"/>
        <v/>
      </c>
      <c r="V856" s="16"/>
      <c r="W856" s="34"/>
      <c r="X856" s="35"/>
      <c r="Z856" s="74"/>
      <c r="AA856" s="130" t="str" cm="1">
        <f t="array" ref="AA856">HEX2ASCII(AB856)&amp;HEX2ASCII(AC856)&amp;HEX2ASCII(AD856)&amp;HEX2ASCII(AE856)&amp;HEX2ASCII(AF856)&amp;HEX2ASCII(AG856)&amp;HEX2ASCII(AH856)&amp;HEX2ASCII(AI856)</f>
        <v/>
      </c>
      <c r="AB856" s="147"/>
      <c r="AC856" s="148"/>
      <c r="AD856" s="148"/>
      <c r="AE856" s="148"/>
      <c r="AF856" s="148"/>
      <c r="AG856" s="148"/>
      <c r="AH856" s="148"/>
      <c r="AI856" s="149"/>
    </row>
    <row r="857" spans="11:35">
      <c r="K857" s="85"/>
      <c r="L857" s="54" t="str">
        <f t="shared" si="75"/>
        <v/>
      </c>
      <c r="M857" s="38" t="str">
        <f t="shared" si="74"/>
        <v>0451</v>
      </c>
      <c r="N857" s="69">
        <f t="shared" si="77"/>
        <v>1105</v>
      </c>
      <c r="O857" s="96"/>
      <c r="P857" s="97"/>
      <c r="Q857" s="98"/>
      <c r="R857" s="135"/>
      <c r="U857" s="48" t="str">
        <f t="shared" si="76"/>
        <v/>
      </c>
      <c r="V857" s="16"/>
      <c r="W857" s="34"/>
      <c r="X857" s="35"/>
      <c r="Z857" s="74"/>
      <c r="AA857" s="130" t="str" cm="1">
        <f t="array" ref="AA857">HEX2ASCII(AB857)&amp;HEX2ASCII(AC857)&amp;HEX2ASCII(AD857)&amp;HEX2ASCII(AE857)&amp;HEX2ASCII(AF857)&amp;HEX2ASCII(AG857)&amp;HEX2ASCII(AH857)&amp;HEX2ASCII(AI857)</f>
        <v/>
      </c>
      <c r="AB857" s="147"/>
      <c r="AC857" s="148"/>
      <c r="AD857" s="148"/>
      <c r="AE857" s="148"/>
      <c r="AF857" s="148"/>
      <c r="AG857" s="148"/>
      <c r="AH857" s="148"/>
      <c r="AI857" s="149"/>
    </row>
    <row r="858" spans="11:35">
      <c r="K858" s="85"/>
      <c r="L858" s="54" t="str">
        <f t="shared" si="75"/>
        <v/>
      </c>
      <c r="M858" s="38" t="str">
        <f t="shared" si="74"/>
        <v>0452</v>
      </c>
      <c r="N858" s="69">
        <f t="shared" si="77"/>
        <v>1106</v>
      </c>
      <c r="O858" s="96"/>
      <c r="P858" s="97"/>
      <c r="Q858" s="98"/>
      <c r="R858" s="135"/>
      <c r="U858" s="48" t="str">
        <f t="shared" si="76"/>
        <v/>
      </c>
      <c r="V858" s="16"/>
      <c r="W858" s="34"/>
      <c r="X858" s="35"/>
      <c r="Z858" s="74"/>
      <c r="AA858" s="130" t="str" cm="1">
        <f t="array" ref="AA858">HEX2ASCII(AB858)&amp;HEX2ASCII(AC858)&amp;HEX2ASCII(AD858)&amp;HEX2ASCII(AE858)&amp;HEX2ASCII(AF858)&amp;HEX2ASCII(AG858)&amp;HEX2ASCII(AH858)&amp;HEX2ASCII(AI858)</f>
        <v/>
      </c>
      <c r="AB858" s="147"/>
      <c r="AC858" s="148"/>
      <c r="AD858" s="148"/>
      <c r="AE858" s="148"/>
      <c r="AF858" s="148"/>
      <c r="AG858" s="148"/>
      <c r="AH858" s="148"/>
      <c r="AI858" s="149"/>
    </row>
    <row r="859" spans="11:35">
      <c r="K859" s="85"/>
      <c r="L859" s="54" t="str">
        <f t="shared" si="75"/>
        <v/>
      </c>
      <c r="M859" s="38" t="str">
        <f t="shared" si="74"/>
        <v>0453</v>
      </c>
      <c r="N859" s="69">
        <f t="shared" si="77"/>
        <v>1107</v>
      </c>
      <c r="O859" s="96"/>
      <c r="P859" s="97"/>
      <c r="Q859" s="98"/>
      <c r="R859" s="135"/>
      <c r="U859" s="48" t="str">
        <f t="shared" si="76"/>
        <v/>
      </c>
      <c r="V859" s="16"/>
      <c r="W859" s="34"/>
      <c r="X859" s="35"/>
      <c r="Z859" s="74"/>
      <c r="AA859" s="130" t="str" cm="1">
        <f t="array" ref="AA859">HEX2ASCII(AB859)&amp;HEX2ASCII(AC859)&amp;HEX2ASCII(AD859)&amp;HEX2ASCII(AE859)&amp;HEX2ASCII(AF859)&amp;HEX2ASCII(AG859)&amp;HEX2ASCII(AH859)&amp;HEX2ASCII(AI859)</f>
        <v/>
      </c>
      <c r="AB859" s="147"/>
      <c r="AC859" s="148"/>
      <c r="AD859" s="148"/>
      <c r="AE859" s="148"/>
      <c r="AF859" s="148"/>
      <c r="AG859" s="148"/>
      <c r="AH859" s="148"/>
      <c r="AI859" s="149"/>
    </row>
    <row r="860" spans="11:35">
      <c r="K860" s="85"/>
      <c r="L860" s="54" t="str">
        <f t="shared" si="75"/>
        <v/>
      </c>
      <c r="M860" s="38" t="str">
        <f t="shared" si="74"/>
        <v>0454</v>
      </c>
      <c r="N860" s="69">
        <f t="shared" si="77"/>
        <v>1108</v>
      </c>
      <c r="O860" s="96"/>
      <c r="P860" s="97"/>
      <c r="Q860" s="98"/>
      <c r="R860" s="135"/>
      <c r="U860" s="48" t="str">
        <f t="shared" si="76"/>
        <v/>
      </c>
      <c r="V860" s="16"/>
      <c r="W860" s="34"/>
      <c r="X860" s="35"/>
      <c r="Z860" s="74"/>
      <c r="AA860" s="130" t="str" cm="1">
        <f t="array" ref="AA860">HEX2ASCII(AB860)&amp;HEX2ASCII(AC860)&amp;HEX2ASCII(AD860)&amp;HEX2ASCII(AE860)&amp;HEX2ASCII(AF860)&amp;HEX2ASCII(AG860)&amp;HEX2ASCII(AH860)&amp;HEX2ASCII(AI860)</f>
        <v/>
      </c>
      <c r="AB860" s="147"/>
      <c r="AC860" s="148"/>
      <c r="AD860" s="148"/>
      <c r="AE860" s="148"/>
      <c r="AF860" s="148"/>
      <c r="AG860" s="148"/>
      <c r="AH860" s="148"/>
      <c r="AI860" s="149"/>
    </row>
    <row r="861" spans="11:35">
      <c r="K861" s="85"/>
      <c r="L861" s="54" t="str">
        <f t="shared" si="75"/>
        <v/>
      </c>
      <c r="M861" s="38" t="str">
        <f t="shared" ref="M861:M924" si="78">IFERROR(RIGHT("0000"&amp;DEC2HEX(N861),4),"")</f>
        <v>0455</v>
      </c>
      <c r="N861" s="69">
        <f t="shared" si="77"/>
        <v>1109</v>
      </c>
      <c r="O861" s="96"/>
      <c r="P861" s="97"/>
      <c r="Q861" s="98"/>
      <c r="R861" s="135"/>
      <c r="U861" s="48" t="str">
        <f t="shared" si="76"/>
        <v/>
      </c>
      <c r="V861" s="16"/>
      <c r="W861" s="34"/>
      <c r="X861" s="35"/>
      <c r="Z861" s="74"/>
      <c r="AA861" s="130" t="str" cm="1">
        <f t="array" ref="AA861">HEX2ASCII(AB861)&amp;HEX2ASCII(AC861)&amp;HEX2ASCII(AD861)&amp;HEX2ASCII(AE861)&amp;HEX2ASCII(AF861)&amp;HEX2ASCII(AG861)&amp;HEX2ASCII(AH861)&amp;HEX2ASCII(AI861)</f>
        <v/>
      </c>
      <c r="AB861" s="147"/>
      <c r="AC861" s="148"/>
      <c r="AD861" s="148"/>
      <c r="AE861" s="148"/>
      <c r="AF861" s="148"/>
      <c r="AG861" s="148"/>
      <c r="AH861" s="148"/>
      <c r="AI861" s="149"/>
    </row>
    <row r="862" spans="11:35">
      <c r="K862" s="85"/>
      <c r="L862" s="54" t="str">
        <f t="shared" si="75"/>
        <v/>
      </c>
      <c r="M862" s="38" t="str">
        <f t="shared" si="78"/>
        <v>0456</v>
      </c>
      <c r="N862" s="69">
        <f t="shared" si="77"/>
        <v>1110</v>
      </c>
      <c r="O862" s="96"/>
      <c r="P862" s="97"/>
      <c r="Q862" s="98"/>
      <c r="R862" s="135"/>
      <c r="U862" s="48" t="str">
        <f t="shared" si="76"/>
        <v/>
      </c>
      <c r="V862" s="16"/>
      <c r="W862" s="34"/>
      <c r="X862" s="35"/>
      <c r="Z862" s="74"/>
      <c r="AA862" s="130" t="str" cm="1">
        <f t="array" ref="AA862">HEX2ASCII(AB862)&amp;HEX2ASCII(AC862)&amp;HEX2ASCII(AD862)&amp;HEX2ASCII(AE862)&amp;HEX2ASCII(AF862)&amp;HEX2ASCII(AG862)&amp;HEX2ASCII(AH862)&amp;HEX2ASCII(AI862)</f>
        <v/>
      </c>
      <c r="AB862" s="147"/>
      <c r="AC862" s="148"/>
      <c r="AD862" s="148"/>
      <c r="AE862" s="148"/>
      <c r="AF862" s="148"/>
      <c r="AG862" s="148"/>
      <c r="AH862" s="148"/>
      <c r="AI862" s="149"/>
    </row>
    <row r="863" spans="11:35">
      <c r="K863" s="85"/>
      <c r="L863" s="54" t="str">
        <f t="shared" si="75"/>
        <v/>
      </c>
      <c r="M863" s="38" t="str">
        <f t="shared" si="78"/>
        <v>0457</v>
      </c>
      <c r="N863" s="69">
        <f t="shared" si="77"/>
        <v>1111</v>
      </c>
      <c r="O863" s="96"/>
      <c r="P863" s="97"/>
      <c r="Q863" s="98"/>
      <c r="R863" s="135"/>
      <c r="U863" s="48" t="str">
        <f t="shared" si="76"/>
        <v/>
      </c>
      <c r="V863" s="16"/>
      <c r="W863" s="34"/>
      <c r="X863" s="35"/>
      <c r="Z863" s="74"/>
      <c r="AA863" s="130" t="str" cm="1">
        <f t="array" ref="AA863">HEX2ASCII(AB863)&amp;HEX2ASCII(AC863)&amp;HEX2ASCII(AD863)&amp;HEX2ASCII(AE863)&amp;HEX2ASCII(AF863)&amp;HEX2ASCII(AG863)&amp;HEX2ASCII(AH863)&amp;HEX2ASCII(AI863)</f>
        <v/>
      </c>
      <c r="AB863" s="147"/>
      <c r="AC863" s="148"/>
      <c r="AD863" s="148"/>
      <c r="AE863" s="148"/>
      <c r="AF863" s="148"/>
      <c r="AG863" s="148"/>
      <c r="AH863" s="148"/>
      <c r="AI863" s="149"/>
    </row>
    <row r="864" spans="11:35">
      <c r="K864" s="85"/>
      <c r="L864" s="54" t="str">
        <f t="shared" si="75"/>
        <v/>
      </c>
      <c r="M864" s="38" t="str">
        <f t="shared" si="78"/>
        <v>0458</v>
      </c>
      <c r="N864" s="69">
        <f t="shared" si="77"/>
        <v>1112</v>
      </c>
      <c r="O864" s="96"/>
      <c r="P864" s="97"/>
      <c r="Q864" s="98"/>
      <c r="R864" s="135"/>
      <c r="U864" s="48" t="str">
        <f t="shared" si="76"/>
        <v/>
      </c>
      <c r="V864" s="16"/>
      <c r="W864" s="34"/>
      <c r="X864" s="35"/>
      <c r="Z864" s="74"/>
      <c r="AA864" s="130" t="str" cm="1">
        <f t="array" ref="AA864">HEX2ASCII(AB864)&amp;HEX2ASCII(AC864)&amp;HEX2ASCII(AD864)&amp;HEX2ASCII(AE864)&amp;HEX2ASCII(AF864)&amp;HEX2ASCII(AG864)&amp;HEX2ASCII(AH864)&amp;HEX2ASCII(AI864)</f>
        <v/>
      </c>
      <c r="AB864" s="147"/>
      <c r="AC864" s="148"/>
      <c r="AD864" s="148"/>
      <c r="AE864" s="148"/>
      <c r="AF864" s="148"/>
      <c r="AG864" s="148"/>
      <c r="AH864" s="148"/>
      <c r="AI864" s="149"/>
    </row>
    <row r="865" spans="11:35">
      <c r="K865" s="85"/>
      <c r="L865" s="54" t="str">
        <f t="shared" si="75"/>
        <v/>
      </c>
      <c r="M865" s="38" t="str">
        <f t="shared" si="78"/>
        <v>0459</v>
      </c>
      <c r="N865" s="69">
        <f t="shared" si="77"/>
        <v>1113</v>
      </c>
      <c r="O865" s="96"/>
      <c r="P865" s="97"/>
      <c r="Q865" s="98"/>
      <c r="R865" s="135"/>
      <c r="U865" s="48" t="str">
        <f t="shared" si="76"/>
        <v/>
      </c>
      <c r="V865" s="16"/>
      <c r="W865" s="34"/>
      <c r="X865" s="35"/>
      <c r="Z865" s="74"/>
      <c r="AA865" s="130" t="str" cm="1">
        <f t="array" ref="AA865">HEX2ASCII(AB865)&amp;HEX2ASCII(AC865)&amp;HEX2ASCII(AD865)&amp;HEX2ASCII(AE865)&amp;HEX2ASCII(AF865)&amp;HEX2ASCII(AG865)&amp;HEX2ASCII(AH865)&amp;HEX2ASCII(AI865)</f>
        <v/>
      </c>
      <c r="AB865" s="147"/>
      <c r="AC865" s="148"/>
      <c r="AD865" s="148"/>
      <c r="AE865" s="148"/>
      <c r="AF865" s="148"/>
      <c r="AG865" s="148"/>
      <c r="AH865" s="148"/>
      <c r="AI865" s="149"/>
    </row>
    <row r="866" spans="11:35">
      <c r="K866" s="85"/>
      <c r="L866" s="54" t="str">
        <f t="shared" si="75"/>
        <v/>
      </c>
      <c r="M866" s="38" t="str">
        <f t="shared" si="78"/>
        <v>045A</v>
      </c>
      <c r="N866" s="69">
        <f t="shared" si="77"/>
        <v>1114</v>
      </c>
      <c r="O866" s="96"/>
      <c r="P866" s="97"/>
      <c r="Q866" s="98"/>
      <c r="R866" s="135"/>
      <c r="U866" s="48" t="str">
        <f t="shared" si="76"/>
        <v/>
      </c>
      <c r="V866" s="16"/>
      <c r="W866" s="34"/>
      <c r="X866" s="35"/>
      <c r="Z866" s="74"/>
      <c r="AA866" s="130" t="str" cm="1">
        <f t="array" ref="AA866">HEX2ASCII(AB866)&amp;HEX2ASCII(AC866)&amp;HEX2ASCII(AD866)&amp;HEX2ASCII(AE866)&amp;HEX2ASCII(AF866)&amp;HEX2ASCII(AG866)&amp;HEX2ASCII(AH866)&amp;HEX2ASCII(AI866)</f>
        <v/>
      </c>
      <c r="AB866" s="147"/>
      <c r="AC866" s="148"/>
      <c r="AD866" s="148"/>
      <c r="AE866" s="148"/>
      <c r="AF866" s="148"/>
      <c r="AG866" s="148"/>
      <c r="AH866" s="148"/>
      <c r="AI866" s="149"/>
    </row>
    <row r="867" spans="11:35">
      <c r="K867" s="85"/>
      <c r="L867" s="54" t="str">
        <f t="shared" si="75"/>
        <v/>
      </c>
      <c r="M867" s="38" t="str">
        <f t="shared" si="78"/>
        <v>045B</v>
      </c>
      <c r="N867" s="69">
        <f t="shared" si="77"/>
        <v>1115</v>
      </c>
      <c r="O867" s="96"/>
      <c r="P867" s="97"/>
      <c r="Q867" s="98"/>
      <c r="R867" s="135"/>
      <c r="U867" s="48" t="str">
        <f t="shared" si="76"/>
        <v/>
      </c>
      <c r="V867" s="16"/>
      <c r="W867" s="34"/>
      <c r="X867" s="35"/>
      <c r="Z867" s="74"/>
      <c r="AA867" s="130" t="str" cm="1">
        <f t="array" ref="AA867">HEX2ASCII(AB867)&amp;HEX2ASCII(AC867)&amp;HEX2ASCII(AD867)&amp;HEX2ASCII(AE867)&amp;HEX2ASCII(AF867)&amp;HEX2ASCII(AG867)&amp;HEX2ASCII(AH867)&amp;HEX2ASCII(AI867)</f>
        <v/>
      </c>
      <c r="AB867" s="147"/>
      <c r="AC867" s="148"/>
      <c r="AD867" s="148"/>
      <c r="AE867" s="148"/>
      <c r="AF867" s="148"/>
      <c r="AG867" s="148"/>
      <c r="AH867" s="148"/>
      <c r="AI867" s="149"/>
    </row>
    <row r="868" spans="11:35">
      <c r="K868" s="85"/>
      <c r="L868" s="54" t="str">
        <f t="shared" si="75"/>
        <v/>
      </c>
      <c r="M868" s="38" t="str">
        <f t="shared" si="78"/>
        <v>045C</v>
      </c>
      <c r="N868" s="69">
        <f t="shared" si="77"/>
        <v>1116</v>
      </c>
      <c r="O868" s="96"/>
      <c r="P868" s="97"/>
      <c r="Q868" s="98"/>
      <c r="R868" s="135"/>
      <c r="U868" s="48" t="str">
        <f t="shared" si="76"/>
        <v/>
      </c>
      <c r="V868" s="16"/>
      <c r="W868" s="34"/>
      <c r="X868" s="35"/>
      <c r="Z868" s="74"/>
      <c r="AA868" s="130" t="str" cm="1">
        <f t="array" ref="AA868">HEX2ASCII(AB868)&amp;HEX2ASCII(AC868)&amp;HEX2ASCII(AD868)&amp;HEX2ASCII(AE868)&amp;HEX2ASCII(AF868)&amp;HEX2ASCII(AG868)&amp;HEX2ASCII(AH868)&amp;HEX2ASCII(AI868)</f>
        <v/>
      </c>
      <c r="AB868" s="147"/>
      <c r="AC868" s="148"/>
      <c r="AD868" s="148"/>
      <c r="AE868" s="148"/>
      <c r="AF868" s="148"/>
      <c r="AG868" s="148"/>
      <c r="AH868" s="148"/>
      <c r="AI868" s="149"/>
    </row>
    <row r="869" spans="11:35">
      <c r="K869" s="85"/>
      <c r="L869" s="54" t="str">
        <f t="shared" si="75"/>
        <v/>
      </c>
      <c r="M869" s="38" t="str">
        <f t="shared" si="78"/>
        <v>045D</v>
      </c>
      <c r="N869" s="69">
        <f t="shared" si="77"/>
        <v>1117</v>
      </c>
      <c r="O869" s="96"/>
      <c r="P869" s="97"/>
      <c r="Q869" s="98"/>
      <c r="R869" s="135"/>
      <c r="U869" s="48" t="str">
        <f t="shared" si="76"/>
        <v/>
      </c>
      <c r="V869" s="16"/>
      <c r="W869" s="34"/>
      <c r="X869" s="35"/>
      <c r="Z869" s="74"/>
      <c r="AA869" s="130" t="str" cm="1">
        <f t="array" ref="AA869">HEX2ASCII(AB869)&amp;HEX2ASCII(AC869)&amp;HEX2ASCII(AD869)&amp;HEX2ASCII(AE869)&amp;HEX2ASCII(AF869)&amp;HEX2ASCII(AG869)&amp;HEX2ASCII(AH869)&amp;HEX2ASCII(AI869)</f>
        <v/>
      </c>
      <c r="AB869" s="147"/>
      <c r="AC869" s="148"/>
      <c r="AD869" s="148"/>
      <c r="AE869" s="148"/>
      <c r="AF869" s="148"/>
      <c r="AG869" s="148"/>
      <c r="AH869" s="148"/>
      <c r="AI869" s="149"/>
    </row>
    <row r="870" spans="11:35">
      <c r="K870" s="85"/>
      <c r="L870" s="54" t="str">
        <f t="shared" si="75"/>
        <v/>
      </c>
      <c r="M870" s="38" t="str">
        <f t="shared" si="78"/>
        <v>045E</v>
      </c>
      <c r="N870" s="69">
        <f t="shared" si="77"/>
        <v>1118</v>
      </c>
      <c r="O870" s="96"/>
      <c r="P870" s="97"/>
      <c r="Q870" s="98"/>
      <c r="R870" s="135"/>
      <c r="U870" s="48" t="str">
        <f t="shared" si="76"/>
        <v/>
      </c>
      <c r="V870" s="16"/>
      <c r="W870" s="34"/>
      <c r="X870" s="35"/>
      <c r="Z870" s="74"/>
      <c r="AA870" s="130" t="str" cm="1">
        <f t="array" ref="AA870">HEX2ASCII(AB870)&amp;HEX2ASCII(AC870)&amp;HEX2ASCII(AD870)&amp;HEX2ASCII(AE870)&amp;HEX2ASCII(AF870)&amp;HEX2ASCII(AG870)&amp;HEX2ASCII(AH870)&amp;HEX2ASCII(AI870)</f>
        <v/>
      </c>
      <c r="AB870" s="147"/>
      <c r="AC870" s="148"/>
      <c r="AD870" s="148"/>
      <c r="AE870" s="148"/>
      <c r="AF870" s="148"/>
      <c r="AG870" s="148"/>
      <c r="AH870" s="148"/>
      <c r="AI870" s="149"/>
    </row>
    <row r="871" spans="11:35">
      <c r="K871" s="85"/>
      <c r="L871" s="54" t="str">
        <f t="shared" si="75"/>
        <v/>
      </c>
      <c r="M871" s="38" t="str">
        <f t="shared" si="78"/>
        <v>045F</v>
      </c>
      <c r="N871" s="69">
        <f t="shared" si="77"/>
        <v>1119</v>
      </c>
      <c r="O871" s="96"/>
      <c r="P871" s="97"/>
      <c r="Q871" s="98"/>
      <c r="R871" s="135"/>
      <c r="U871" s="48" t="str">
        <f t="shared" si="76"/>
        <v/>
      </c>
      <c r="V871" s="16"/>
      <c r="W871" s="34"/>
      <c r="X871" s="35"/>
      <c r="Z871" s="74"/>
      <c r="AA871" s="130" t="str" cm="1">
        <f t="array" ref="AA871">HEX2ASCII(AB871)&amp;HEX2ASCII(AC871)&amp;HEX2ASCII(AD871)&amp;HEX2ASCII(AE871)&amp;HEX2ASCII(AF871)&amp;HEX2ASCII(AG871)&amp;HEX2ASCII(AH871)&amp;HEX2ASCII(AI871)</f>
        <v/>
      </c>
      <c r="AB871" s="147"/>
      <c r="AC871" s="148"/>
      <c r="AD871" s="148"/>
      <c r="AE871" s="148"/>
      <c r="AF871" s="148"/>
      <c r="AG871" s="148"/>
      <c r="AH871" s="148"/>
      <c r="AI871" s="149"/>
    </row>
    <row r="872" spans="11:35">
      <c r="K872" s="85"/>
      <c r="L872" s="54" t="str">
        <f t="shared" si="75"/>
        <v/>
      </c>
      <c r="M872" s="38" t="str">
        <f t="shared" si="78"/>
        <v>0460</v>
      </c>
      <c r="N872" s="69">
        <f t="shared" si="77"/>
        <v>1120</v>
      </c>
      <c r="O872" s="96"/>
      <c r="P872" s="97"/>
      <c r="Q872" s="98"/>
      <c r="R872" s="135"/>
      <c r="U872" s="48" t="str">
        <f t="shared" si="76"/>
        <v/>
      </c>
      <c r="V872" s="16"/>
      <c r="W872" s="34"/>
      <c r="X872" s="35"/>
      <c r="Z872" s="74"/>
      <c r="AA872" s="130" t="str" cm="1">
        <f t="array" ref="AA872">HEX2ASCII(AB872)&amp;HEX2ASCII(AC872)&amp;HEX2ASCII(AD872)&amp;HEX2ASCII(AE872)&amp;HEX2ASCII(AF872)&amp;HEX2ASCII(AG872)&amp;HEX2ASCII(AH872)&amp;HEX2ASCII(AI872)</f>
        <v/>
      </c>
      <c r="AB872" s="147"/>
      <c r="AC872" s="148"/>
      <c r="AD872" s="148"/>
      <c r="AE872" s="148"/>
      <c r="AF872" s="148"/>
      <c r="AG872" s="148"/>
      <c r="AH872" s="148"/>
      <c r="AI872" s="149"/>
    </row>
    <row r="873" spans="11:35">
      <c r="K873" s="85"/>
      <c r="L873" s="54" t="str">
        <f t="shared" si="75"/>
        <v/>
      </c>
      <c r="M873" s="38" t="str">
        <f t="shared" si="78"/>
        <v>0461</v>
      </c>
      <c r="N873" s="69">
        <f t="shared" si="77"/>
        <v>1121</v>
      </c>
      <c r="O873" s="96"/>
      <c r="P873" s="97"/>
      <c r="Q873" s="98"/>
      <c r="R873" s="135"/>
      <c r="U873" s="48" t="str">
        <f t="shared" si="76"/>
        <v/>
      </c>
      <c r="V873" s="16"/>
      <c r="W873" s="34"/>
      <c r="X873" s="35"/>
      <c r="Z873" s="74"/>
      <c r="AA873" s="130" t="str" cm="1">
        <f t="array" ref="AA873">HEX2ASCII(AB873)&amp;HEX2ASCII(AC873)&amp;HEX2ASCII(AD873)&amp;HEX2ASCII(AE873)&amp;HEX2ASCII(AF873)&amp;HEX2ASCII(AG873)&amp;HEX2ASCII(AH873)&amp;HEX2ASCII(AI873)</f>
        <v/>
      </c>
      <c r="AB873" s="147"/>
      <c r="AC873" s="148"/>
      <c r="AD873" s="148"/>
      <c r="AE873" s="148"/>
      <c r="AF873" s="148"/>
      <c r="AG873" s="148"/>
      <c r="AH873" s="148"/>
      <c r="AI873" s="149"/>
    </row>
    <row r="874" spans="11:35">
      <c r="K874" s="85"/>
      <c r="L874" s="54" t="str">
        <f t="shared" si="75"/>
        <v/>
      </c>
      <c r="M874" s="38" t="str">
        <f t="shared" si="78"/>
        <v>0462</v>
      </c>
      <c r="N874" s="69">
        <f t="shared" si="77"/>
        <v>1122</v>
      </c>
      <c r="O874" s="96"/>
      <c r="P874" s="97"/>
      <c r="Q874" s="98"/>
      <c r="R874" s="135"/>
      <c r="U874" s="48" t="str">
        <f t="shared" si="76"/>
        <v/>
      </c>
      <c r="V874" s="16"/>
      <c r="W874" s="34"/>
      <c r="X874" s="35"/>
      <c r="Z874" s="74"/>
      <c r="AA874" s="130" t="str" cm="1">
        <f t="array" ref="AA874">HEX2ASCII(AB874)&amp;HEX2ASCII(AC874)&amp;HEX2ASCII(AD874)&amp;HEX2ASCII(AE874)&amp;HEX2ASCII(AF874)&amp;HEX2ASCII(AG874)&amp;HEX2ASCII(AH874)&amp;HEX2ASCII(AI874)</f>
        <v/>
      </c>
      <c r="AB874" s="147"/>
      <c r="AC874" s="148"/>
      <c r="AD874" s="148"/>
      <c r="AE874" s="148"/>
      <c r="AF874" s="148"/>
      <c r="AG874" s="148"/>
      <c r="AH874" s="148"/>
      <c r="AI874" s="149"/>
    </row>
    <row r="875" spans="11:35">
      <c r="K875" s="85"/>
      <c r="L875" s="54" t="str">
        <f t="shared" si="75"/>
        <v/>
      </c>
      <c r="M875" s="38" t="str">
        <f t="shared" si="78"/>
        <v>0463</v>
      </c>
      <c r="N875" s="69">
        <f t="shared" si="77"/>
        <v>1123</v>
      </c>
      <c r="O875" s="96"/>
      <c r="P875" s="97"/>
      <c r="Q875" s="98"/>
      <c r="R875" s="135"/>
      <c r="U875" s="48" t="str">
        <f t="shared" si="76"/>
        <v/>
      </c>
      <c r="V875" s="16"/>
      <c r="W875" s="34"/>
      <c r="X875" s="35"/>
      <c r="Z875" s="74"/>
      <c r="AA875" s="130" t="str" cm="1">
        <f t="array" ref="AA875">HEX2ASCII(AB875)&amp;HEX2ASCII(AC875)&amp;HEX2ASCII(AD875)&amp;HEX2ASCII(AE875)&amp;HEX2ASCII(AF875)&amp;HEX2ASCII(AG875)&amp;HEX2ASCII(AH875)&amp;HEX2ASCII(AI875)</f>
        <v/>
      </c>
      <c r="AB875" s="147"/>
      <c r="AC875" s="148"/>
      <c r="AD875" s="148"/>
      <c r="AE875" s="148"/>
      <c r="AF875" s="148"/>
      <c r="AG875" s="148"/>
      <c r="AH875" s="148"/>
      <c r="AI875" s="149"/>
    </row>
    <row r="876" spans="11:35">
      <c r="K876" s="85"/>
      <c r="L876" s="54" t="str">
        <f t="shared" si="75"/>
        <v/>
      </c>
      <c r="M876" s="38" t="str">
        <f t="shared" si="78"/>
        <v>0464</v>
      </c>
      <c r="N876" s="69">
        <f t="shared" si="77"/>
        <v>1124</v>
      </c>
      <c r="O876" s="96"/>
      <c r="P876" s="97"/>
      <c r="Q876" s="98"/>
      <c r="R876" s="135"/>
      <c r="U876" s="48" t="str">
        <f t="shared" si="76"/>
        <v/>
      </c>
      <c r="V876" s="16"/>
      <c r="W876" s="34"/>
      <c r="X876" s="35"/>
      <c r="Z876" s="74"/>
      <c r="AA876" s="130" t="str" cm="1">
        <f t="array" ref="AA876">HEX2ASCII(AB876)&amp;HEX2ASCII(AC876)&amp;HEX2ASCII(AD876)&amp;HEX2ASCII(AE876)&amp;HEX2ASCII(AF876)&amp;HEX2ASCII(AG876)&amp;HEX2ASCII(AH876)&amp;HEX2ASCII(AI876)</f>
        <v/>
      </c>
      <c r="AB876" s="147"/>
      <c r="AC876" s="148"/>
      <c r="AD876" s="148"/>
      <c r="AE876" s="148"/>
      <c r="AF876" s="148"/>
      <c r="AG876" s="148"/>
      <c r="AH876" s="148"/>
      <c r="AI876" s="149"/>
    </row>
    <row r="877" spans="11:35">
      <c r="K877" s="85"/>
      <c r="L877" s="54" t="str">
        <f t="shared" si="75"/>
        <v/>
      </c>
      <c r="M877" s="38" t="str">
        <f t="shared" si="78"/>
        <v>0465</v>
      </c>
      <c r="N877" s="69">
        <f t="shared" si="77"/>
        <v>1125</v>
      </c>
      <c r="O877" s="96"/>
      <c r="P877" s="97"/>
      <c r="Q877" s="98"/>
      <c r="R877" s="135"/>
      <c r="U877" s="48" t="str">
        <f t="shared" si="76"/>
        <v/>
      </c>
      <c r="V877" s="16"/>
      <c r="W877" s="34"/>
      <c r="X877" s="35"/>
      <c r="Z877" s="74"/>
      <c r="AA877" s="130" t="str" cm="1">
        <f t="array" ref="AA877">HEX2ASCII(AB877)&amp;HEX2ASCII(AC877)&amp;HEX2ASCII(AD877)&amp;HEX2ASCII(AE877)&amp;HEX2ASCII(AF877)&amp;HEX2ASCII(AG877)&amp;HEX2ASCII(AH877)&amp;HEX2ASCII(AI877)</f>
        <v/>
      </c>
      <c r="AB877" s="147"/>
      <c r="AC877" s="148"/>
      <c r="AD877" s="148"/>
      <c r="AE877" s="148"/>
      <c r="AF877" s="148"/>
      <c r="AG877" s="148"/>
      <c r="AH877" s="148"/>
      <c r="AI877" s="149"/>
    </row>
    <row r="878" spans="11:35">
      <c r="K878" s="85"/>
      <c r="L878" s="54" t="str">
        <f t="shared" si="75"/>
        <v/>
      </c>
      <c r="M878" s="38" t="str">
        <f t="shared" si="78"/>
        <v>0466</v>
      </c>
      <c r="N878" s="69">
        <f t="shared" si="77"/>
        <v>1126</v>
      </c>
      <c r="O878" s="96"/>
      <c r="P878" s="97"/>
      <c r="Q878" s="98"/>
      <c r="R878" s="135"/>
      <c r="U878" s="48" t="str">
        <f t="shared" si="76"/>
        <v/>
      </c>
      <c r="V878" s="16"/>
      <c r="W878" s="34"/>
      <c r="X878" s="35"/>
      <c r="Z878" s="74"/>
      <c r="AA878" s="130" t="str" cm="1">
        <f t="array" ref="AA878">HEX2ASCII(AB878)&amp;HEX2ASCII(AC878)&amp;HEX2ASCII(AD878)&amp;HEX2ASCII(AE878)&amp;HEX2ASCII(AF878)&amp;HEX2ASCII(AG878)&amp;HEX2ASCII(AH878)&amp;HEX2ASCII(AI878)</f>
        <v/>
      </c>
      <c r="AB878" s="147"/>
      <c r="AC878" s="148"/>
      <c r="AD878" s="148"/>
      <c r="AE878" s="148"/>
      <c r="AF878" s="148"/>
      <c r="AG878" s="148"/>
      <c r="AH878" s="148"/>
      <c r="AI878" s="149"/>
    </row>
    <row r="879" spans="11:35">
      <c r="K879" s="85"/>
      <c r="L879" s="54" t="str">
        <f t="shared" si="75"/>
        <v/>
      </c>
      <c r="M879" s="38" t="str">
        <f t="shared" si="78"/>
        <v>0467</v>
      </c>
      <c r="N879" s="69">
        <f t="shared" si="77"/>
        <v>1127</v>
      </c>
      <c r="O879" s="96"/>
      <c r="P879" s="97"/>
      <c r="Q879" s="98"/>
      <c r="R879" s="135"/>
      <c r="U879" s="48" t="str">
        <f t="shared" si="76"/>
        <v/>
      </c>
      <c r="V879" s="16"/>
      <c r="W879" s="34"/>
      <c r="X879" s="35"/>
      <c r="Z879" s="74"/>
      <c r="AA879" s="130" t="str" cm="1">
        <f t="array" ref="AA879">HEX2ASCII(AB879)&amp;HEX2ASCII(AC879)&amp;HEX2ASCII(AD879)&amp;HEX2ASCII(AE879)&amp;HEX2ASCII(AF879)&amp;HEX2ASCII(AG879)&amp;HEX2ASCII(AH879)&amp;HEX2ASCII(AI879)</f>
        <v/>
      </c>
      <c r="AB879" s="147"/>
      <c r="AC879" s="148"/>
      <c r="AD879" s="148"/>
      <c r="AE879" s="148"/>
      <c r="AF879" s="148"/>
      <c r="AG879" s="148"/>
      <c r="AH879" s="148"/>
      <c r="AI879" s="149"/>
    </row>
    <row r="880" spans="11:35">
      <c r="K880" s="85"/>
      <c r="L880" s="54" t="str">
        <f t="shared" si="75"/>
        <v/>
      </c>
      <c r="M880" s="38" t="str">
        <f t="shared" si="78"/>
        <v>0468</v>
      </c>
      <c r="N880" s="69">
        <f t="shared" si="77"/>
        <v>1128</v>
      </c>
      <c r="O880" s="96"/>
      <c r="P880" s="97"/>
      <c r="Q880" s="98"/>
      <c r="R880" s="135"/>
      <c r="U880" s="48" t="str">
        <f t="shared" si="76"/>
        <v/>
      </c>
      <c r="V880" s="16"/>
      <c r="W880" s="34"/>
      <c r="X880" s="35"/>
      <c r="Z880" s="74"/>
      <c r="AA880" s="130" t="str" cm="1">
        <f t="array" ref="AA880">HEX2ASCII(AB880)&amp;HEX2ASCII(AC880)&amp;HEX2ASCII(AD880)&amp;HEX2ASCII(AE880)&amp;HEX2ASCII(AF880)&amp;HEX2ASCII(AG880)&amp;HEX2ASCII(AH880)&amp;HEX2ASCII(AI880)</f>
        <v/>
      </c>
      <c r="AB880" s="147"/>
      <c r="AC880" s="148"/>
      <c r="AD880" s="148"/>
      <c r="AE880" s="148"/>
      <c r="AF880" s="148"/>
      <c r="AG880" s="148"/>
      <c r="AH880" s="148"/>
      <c r="AI880" s="149"/>
    </row>
    <row r="881" spans="11:35">
      <c r="K881" s="85"/>
      <c r="L881" s="54" t="str">
        <f t="shared" si="75"/>
        <v/>
      </c>
      <c r="M881" s="38" t="str">
        <f t="shared" si="78"/>
        <v>0469</v>
      </c>
      <c r="N881" s="69">
        <f t="shared" si="77"/>
        <v>1129</v>
      </c>
      <c r="O881" s="96"/>
      <c r="P881" s="97"/>
      <c r="Q881" s="98"/>
      <c r="R881" s="135"/>
      <c r="U881" s="48" t="str">
        <f t="shared" si="76"/>
        <v/>
      </c>
      <c r="V881" s="16"/>
      <c r="W881" s="34"/>
      <c r="X881" s="35"/>
      <c r="Z881" s="74"/>
      <c r="AA881" s="130" t="str" cm="1">
        <f t="array" ref="AA881">HEX2ASCII(AB881)&amp;HEX2ASCII(AC881)&amp;HEX2ASCII(AD881)&amp;HEX2ASCII(AE881)&amp;HEX2ASCII(AF881)&amp;HEX2ASCII(AG881)&amp;HEX2ASCII(AH881)&amp;HEX2ASCII(AI881)</f>
        <v/>
      </c>
      <c r="AB881" s="147"/>
      <c r="AC881" s="148"/>
      <c r="AD881" s="148"/>
      <c r="AE881" s="148"/>
      <c r="AF881" s="148"/>
      <c r="AG881" s="148"/>
      <c r="AH881" s="148"/>
      <c r="AI881" s="149"/>
    </row>
    <row r="882" spans="11:35">
      <c r="K882" s="85"/>
      <c r="L882" s="54" t="str">
        <f t="shared" si="75"/>
        <v/>
      </c>
      <c r="M882" s="38" t="str">
        <f t="shared" si="78"/>
        <v>046A</v>
      </c>
      <c r="N882" s="69">
        <f t="shared" si="77"/>
        <v>1130</v>
      </c>
      <c r="O882" s="96"/>
      <c r="P882" s="97"/>
      <c r="Q882" s="98"/>
      <c r="R882" s="135"/>
      <c r="U882" s="48" t="str">
        <f t="shared" si="76"/>
        <v/>
      </c>
      <c r="V882" s="16"/>
      <c r="W882" s="34"/>
      <c r="X882" s="35"/>
      <c r="Z882" s="74"/>
      <c r="AA882" s="130" t="str" cm="1">
        <f t="array" ref="AA882">HEX2ASCII(AB882)&amp;HEX2ASCII(AC882)&amp;HEX2ASCII(AD882)&amp;HEX2ASCII(AE882)&amp;HEX2ASCII(AF882)&amp;HEX2ASCII(AG882)&amp;HEX2ASCII(AH882)&amp;HEX2ASCII(AI882)</f>
        <v/>
      </c>
      <c r="AB882" s="147"/>
      <c r="AC882" s="148"/>
      <c r="AD882" s="148"/>
      <c r="AE882" s="148"/>
      <c r="AF882" s="148"/>
      <c r="AG882" s="148"/>
      <c r="AH882" s="148"/>
      <c r="AI882" s="149"/>
    </row>
    <row r="883" spans="11:35">
      <c r="K883" s="85"/>
      <c r="L883" s="54" t="str">
        <f t="shared" si="75"/>
        <v/>
      </c>
      <c r="M883" s="38" t="str">
        <f t="shared" si="78"/>
        <v>046B</v>
      </c>
      <c r="N883" s="69">
        <f t="shared" si="77"/>
        <v>1131</v>
      </c>
      <c r="O883" s="96"/>
      <c r="P883" s="97"/>
      <c r="Q883" s="98"/>
      <c r="R883" s="135"/>
      <c r="U883" s="48" t="str">
        <f t="shared" si="76"/>
        <v/>
      </c>
      <c r="V883" s="16"/>
      <c r="W883" s="34"/>
      <c r="X883" s="35"/>
      <c r="Z883" s="74"/>
      <c r="AA883" s="130" t="str" cm="1">
        <f t="array" ref="AA883">HEX2ASCII(AB883)&amp;HEX2ASCII(AC883)&amp;HEX2ASCII(AD883)&amp;HEX2ASCII(AE883)&amp;HEX2ASCII(AF883)&amp;HEX2ASCII(AG883)&amp;HEX2ASCII(AH883)&amp;HEX2ASCII(AI883)</f>
        <v/>
      </c>
      <c r="AB883" s="147"/>
      <c r="AC883" s="148"/>
      <c r="AD883" s="148"/>
      <c r="AE883" s="148"/>
      <c r="AF883" s="148"/>
      <c r="AG883" s="148"/>
      <c r="AH883" s="148"/>
      <c r="AI883" s="149"/>
    </row>
    <row r="884" spans="11:35">
      <c r="K884" s="85"/>
      <c r="L884" s="54" t="str">
        <f t="shared" si="75"/>
        <v/>
      </c>
      <c r="M884" s="38" t="str">
        <f t="shared" si="78"/>
        <v>046C</v>
      </c>
      <c r="N884" s="69">
        <f t="shared" si="77"/>
        <v>1132</v>
      </c>
      <c r="O884" s="96"/>
      <c r="P884" s="97"/>
      <c r="Q884" s="98"/>
      <c r="R884" s="135"/>
      <c r="U884" s="48" t="str">
        <f t="shared" si="76"/>
        <v/>
      </c>
      <c r="V884" s="16"/>
      <c r="W884" s="34"/>
      <c r="X884" s="35"/>
      <c r="Z884" s="74"/>
      <c r="AA884" s="130" t="str" cm="1">
        <f t="array" ref="AA884">HEX2ASCII(AB884)&amp;HEX2ASCII(AC884)&amp;HEX2ASCII(AD884)&amp;HEX2ASCII(AE884)&amp;HEX2ASCII(AF884)&amp;HEX2ASCII(AG884)&amp;HEX2ASCII(AH884)&amp;HEX2ASCII(AI884)</f>
        <v/>
      </c>
      <c r="AB884" s="147"/>
      <c r="AC884" s="148"/>
      <c r="AD884" s="148"/>
      <c r="AE884" s="148"/>
      <c r="AF884" s="148"/>
      <c r="AG884" s="148"/>
      <c r="AH884" s="148"/>
      <c r="AI884" s="149"/>
    </row>
    <row r="885" spans="11:35">
      <c r="K885" s="85"/>
      <c r="L885" s="54" t="str">
        <f t="shared" si="75"/>
        <v/>
      </c>
      <c r="M885" s="38" t="str">
        <f t="shared" si="78"/>
        <v>046D</v>
      </c>
      <c r="N885" s="69">
        <f t="shared" si="77"/>
        <v>1133</v>
      </c>
      <c r="O885" s="96"/>
      <c r="P885" s="97"/>
      <c r="Q885" s="98"/>
      <c r="R885" s="135"/>
      <c r="U885" s="48" t="str">
        <f t="shared" si="76"/>
        <v/>
      </c>
      <c r="V885" s="16"/>
      <c r="W885" s="34"/>
      <c r="X885" s="35"/>
      <c r="Z885" s="74"/>
      <c r="AA885" s="130" t="str" cm="1">
        <f t="array" ref="AA885">HEX2ASCII(AB885)&amp;HEX2ASCII(AC885)&amp;HEX2ASCII(AD885)&amp;HEX2ASCII(AE885)&amp;HEX2ASCII(AF885)&amp;HEX2ASCII(AG885)&amp;HEX2ASCII(AH885)&amp;HEX2ASCII(AI885)</f>
        <v/>
      </c>
      <c r="AB885" s="147"/>
      <c r="AC885" s="148"/>
      <c r="AD885" s="148"/>
      <c r="AE885" s="148"/>
      <c r="AF885" s="148"/>
      <c r="AG885" s="148"/>
      <c r="AH885" s="148"/>
      <c r="AI885" s="149"/>
    </row>
    <row r="886" spans="11:35">
      <c r="K886" s="85"/>
      <c r="L886" s="54" t="str">
        <f t="shared" si="75"/>
        <v/>
      </c>
      <c r="M886" s="38" t="str">
        <f t="shared" si="78"/>
        <v>046E</v>
      </c>
      <c r="N886" s="69">
        <f t="shared" si="77"/>
        <v>1134</v>
      </c>
      <c r="O886" s="96"/>
      <c r="P886" s="97"/>
      <c r="Q886" s="98"/>
      <c r="R886" s="135"/>
      <c r="U886" s="48" t="str">
        <f t="shared" si="76"/>
        <v/>
      </c>
      <c r="V886" s="16"/>
      <c r="W886" s="34"/>
      <c r="X886" s="35"/>
      <c r="Z886" s="74"/>
      <c r="AA886" s="130" t="str" cm="1">
        <f t="array" ref="AA886">HEX2ASCII(AB886)&amp;HEX2ASCII(AC886)&amp;HEX2ASCII(AD886)&amp;HEX2ASCII(AE886)&amp;HEX2ASCII(AF886)&amp;HEX2ASCII(AG886)&amp;HEX2ASCII(AH886)&amp;HEX2ASCII(AI886)</f>
        <v/>
      </c>
      <c r="AB886" s="147"/>
      <c r="AC886" s="148"/>
      <c r="AD886" s="148"/>
      <c r="AE886" s="148"/>
      <c r="AF886" s="148"/>
      <c r="AG886" s="148"/>
      <c r="AH886" s="148"/>
      <c r="AI886" s="149"/>
    </row>
    <row r="887" spans="11:35">
      <c r="K887" s="85"/>
      <c r="L887" s="54" t="str">
        <f t="shared" si="75"/>
        <v/>
      </c>
      <c r="M887" s="38" t="str">
        <f t="shared" si="78"/>
        <v>046F</v>
      </c>
      <c r="N887" s="69">
        <f t="shared" si="77"/>
        <v>1135</v>
      </c>
      <c r="O887" s="96"/>
      <c r="P887" s="97"/>
      <c r="Q887" s="98"/>
      <c r="R887" s="135"/>
      <c r="U887" s="48" t="str">
        <f t="shared" si="76"/>
        <v/>
      </c>
      <c r="V887" s="16"/>
      <c r="W887" s="34"/>
      <c r="X887" s="35"/>
      <c r="Z887" s="74"/>
      <c r="AA887" s="130" t="str" cm="1">
        <f t="array" ref="AA887">HEX2ASCII(AB887)&amp;HEX2ASCII(AC887)&amp;HEX2ASCII(AD887)&amp;HEX2ASCII(AE887)&amp;HEX2ASCII(AF887)&amp;HEX2ASCII(AG887)&amp;HEX2ASCII(AH887)&amp;HEX2ASCII(AI887)</f>
        <v/>
      </c>
      <c r="AB887" s="147"/>
      <c r="AC887" s="148"/>
      <c r="AD887" s="148"/>
      <c r="AE887" s="148"/>
      <c r="AF887" s="148"/>
      <c r="AG887" s="148"/>
      <c r="AH887" s="148"/>
      <c r="AI887" s="149"/>
    </row>
    <row r="888" spans="11:35">
      <c r="K888" s="85"/>
      <c r="L888" s="54" t="str">
        <f t="shared" si="75"/>
        <v/>
      </c>
      <c r="M888" s="38" t="str">
        <f t="shared" si="78"/>
        <v>0470</v>
      </c>
      <c r="N888" s="69">
        <f t="shared" si="77"/>
        <v>1136</v>
      </c>
      <c r="O888" s="96"/>
      <c r="P888" s="97"/>
      <c r="Q888" s="98"/>
      <c r="R888" s="135"/>
      <c r="U888" s="48" t="str">
        <f t="shared" si="76"/>
        <v/>
      </c>
      <c r="V888" s="16"/>
      <c r="W888" s="34"/>
      <c r="X888" s="35"/>
      <c r="Z888" s="74"/>
      <c r="AA888" s="130" t="str" cm="1">
        <f t="array" ref="AA888">HEX2ASCII(AB888)&amp;HEX2ASCII(AC888)&amp;HEX2ASCII(AD888)&amp;HEX2ASCII(AE888)&amp;HEX2ASCII(AF888)&amp;HEX2ASCII(AG888)&amp;HEX2ASCII(AH888)&amp;HEX2ASCII(AI888)</f>
        <v/>
      </c>
      <c r="AB888" s="147"/>
      <c r="AC888" s="148"/>
      <c r="AD888" s="148"/>
      <c r="AE888" s="148"/>
      <c r="AF888" s="148"/>
      <c r="AG888" s="148"/>
      <c r="AH888" s="148"/>
      <c r="AI888" s="149"/>
    </row>
    <row r="889" spans="11:35">
      <c r="K889" s="85"/>
      <c r="L889" s="54" t="str">
        <f t="shared" si="75"/>
        <v/>
      </c>
      <c r="M889" s="38" t="str">
        <f t="shared" si="78"/>
        <v>0471</v>
      </c>
      <c r="N889" s="69">
        <f t="shared" si="77"/>
        <v>1137</v>
      </c>
      <c r="O889" s="96"/>
      <c r="P889" s="97"/>
      <c r="Q889" s="98"/>
      <c r="R889" s="135"/>
      <c r="U889" s="48" t="str">
        <f t="shared" si="76"/>
        <v/>
      </c>
      <c r="V889" s="16"/>
      <c r="W889" s="34"/>
      <c r="X889" s="35"/>
      <c r="Z889" s="74"/>
      <c r="AA889" s="130" t="str" cm="1">
        <f t="array" ref="AA889">HEX2ASCII(AB889)&amp;HEX2ASCII(AC889)&amp;HEX2ASCII(AD889)&amp;HEX2ASCII(AE889)&amp;HEX2ASCII(AF889)&amp;HEX2ASCII(AG889)&amp;HEX2ASCII(AH889)&amp;HEX2ASCII(AI889)</f>
        <v/>
      </c>
      <c r="AB889" s="147"/>
      <c r="AC889" s="148"/>
      <c r="AD889" s="148"/>
      <c r="AE889" s="148"/>
      <c r="AF889" s="148"/>
      <c r="AG889" s="148"/>
      <c r="AH889" s="148"/>
      <c r="AI889" s="149"/>
    </row>
    <row r="890" spans="11:35">
      <c r="K890" s="85"/>
      <c r="L890" s="54" t="str">
        <f t="shared" si="75"/>
        <v/>
      </c>
      <c r="M890" s="38" t="str">
        <f t="shared" si="78"/>
        <v>0472</v>
      </c>
      <c r="N890" s="69">
        <f t="shared" si="77"/>
        <v>1138</v>
      </c>
      <c r="O890" s="96"/>
      <c r="P890" s="97"/>
      <c r="Q890" s="98"/>
      <c r="R890" s="135"/>
      <c r="U890" s="48" t="str">
        <f t="shared" si="76"/>
        <v/>
      </c>
      <c r="V890" s="16"/>
      <c r="W890" s="34"/>
      <c r="X890" s="35"/>
      <c r="Z890" s="74"/>
      <c r="AA890" s="130" t="str" cm="1">
        <f t="array" ref="AA890">HEX2ASCII(AB890)&amp;HEX2ASCII(AC890)&amp;HEX2ASCII(AD890)&amp;HEX2ASCII(AE890)&amp;HEX2ASCII(AF890)&amp;HEX2ASCII(AG890)&amp;HEX2ASCII(AH890)&amp;HEX2ASCII(AI890)</f>
        <v/>
      </c>
      <c r="AB890" s="147"/>
      <c r="AC890" s="148"/>
      <c r="AD890" s="148"/>
      <c r="AE890" s="148"/>
      <c r="AF890" s="148"/>
      <c r="AG890" s="148"/>
      <c r="AH890" s="148"/>
      <c r="AI890" s="149"/>
    </row>
    <row r="891" spans="11:35">
      <c r="K891" s="85"/>
      <c r="L891" s="54" t="str">
        <f t="shared" si="75"/>
        <v/>
      </c>
      <c r="M891" s="38" t="str">
        <f t="shared" si="78"/>
        <v>0473</v>
      </c>
      <c r="N891" s="69">
        <f t="shared" si="77"/>
        <v>1139</v>
      </c>
      <c r="O891" s="96"/>
      <c r="P891" s="97"/>
      <c r="Q891" s="98"/>
      <c r="R891" s="135"/>
      <c r="U891" s="48" t="str">
        <f t="shared" si="76"/>
        <v/>
      </c>
      <c r="V891" s="16"/>
      <c r="W891" s="34"/>
      <c r="X891" s="35"/>
      <c r="Z891" s="74"/>
      <c r="AA891" s="130" t="str" cm="1">
        <f t="array" ref="AA891">HEX2ASCII(AB891)&amp;HEX2ASCII(AC891)&amp;HEX2ASCII(AD891)&amp;HEX2ASCII(AE891)&amp;HEX2ASCII(AF891)&amp;HEX2ASCII(AG891)&amp;HEX2ASCII(AH891)&amp;HEX2ASCII(AI891)</f>
        <v/>
      </c>
      <c r="AB891" s="147"/>
      <c r="AC891" s="148"/>
      <c r="AD891" s="148"/>
      <c r="AE891" s="148"/>
      <c r="AF891" s="148"/>
      <c r="AG891" s="148"/>
      <c r="AH891" s="148"/>
      <c r="AI891" s="149"/>
    </row>
    <row r="892" spans="11:35">
      <c r="K892" s="85"/>
      <c r="L892" s="54" t="str">
        <f t="shared" si="75"/>
        <v/>
      </c>
      <c r="M892" s="38" t="str">
        <f t="shared" si="78"/>
        <v>0474</v>
      </c>
      <c r="N892" s="69">
        <f t="shared" si="77"/>
        <v>1140</v>
      </c>
      <c r="O892" s="96"/>
      <c r="P892" s="97"/>
      <c r="Q892" s="98"/>
      <c r="R892" s="135"/>
      <c r="U892" s="48" t="str">
        <f t="shared" si="76"/>
        <v/>
      </c>
      <c r="V892" s="16"/>
      <c r="W892" s="34"/>
      <c r="X892" s="35"/>
      <c r="Z892" s="74"/>
      <c r="AA892" s="130" t="str" cm="1">
        <f t="array" ref="AA892">HEX2ASCII(AB892)&amp;HEX2ASCII(AC892)&amp;HEX2ASCII(AD892)&amp;HEX2ASCII(AE892)&amp;HEX2ASCII(AF892)&amp;HEX2ASCII(AG892)&amp;HEX2ASCII(AH892)&amp;HEX2ASCII(AI892)</f>
        <v/>
      </c>
      <c r="AB892" s="147"/>
      <c r="AC892" s="148"/>
      <c r="AD892" s="148"/>
      <c r="AE892" s="148"/>
      <c r="AF892" s="148"/>
      <c r="AG892" s="148"/>
      <c r="AH892" s="148"/>
      <c r="AI892" s="149"/>
    </row>
    <row r="893" spans="11:35">
      <c r="K893" s="85"/>
      <c r="L893" s="54" t="str">
        <f t="shared" si="75"/>
        <v/>
      </c>
      <c r="M893" s="38" t="str">
        <f t="shared" si="78"/>
        <v>0475</v>
      </c>
      <c r="N893" s="69">
        <f t="shared" si="77"/>
        <v>1141</v>
      </c>
      <c r="O893" s="96"/>
      <c r="P893" s="97"/>
      <c r="Q893" s="98"/>
      <c r="R893" s="135"/>
      <c r="U893" s="48" t="str">
        <f t="shared" si="76"/>
        <v/>
      </c>
      <c r="V893" s="16"/>
      <c r="W893" s="34"/>
      <c r="X893" s="35"/>
      <c r="Z893" s="74"/>
      <c r="AA893" s="130" t="str" cm="1">
        <f t="array" ref="AA893">HEX2ASCII(AB893)&amp;HEX2ASCII(AC893)&amp;HEX2ASCII(AD893)&amp;HEX2ASCII(AE893)&amp;HEX2ASCII(AF893)&amp;HEX2ASCII(AG893)&amp;HEX2ASCII(AH893)&amp;HEX2ASCII(AI893)</f>
        <v/>
      </c>
      <c r="AB893" s="147"/>
      <c r="AC893" s="148"/>
      <c r="AD893" s="148"/>
      <c r="AE893" s="148"/>
      <c r="AF893" s="148"/>
      <c r="AG893" s="148"/>
      <c r="AH893" s="148"/>
      <c r="AI893" s="149"/>
    </row>
    <row r="894" spans="11:35">
      <c r="K894" s="85"/>
      <c r="L894" s="54" t="str">
        <f t="shared" si="75"/>
        <v/>
      </c>
      <c r="M894" s="38" t="str">
        <f t="shared" si="78"/>
        <v>0476</v>
      </c>
      <c r="N894" s="69">
        <f t="shared" si="77"/>
        <v>1142</v>
      </c>
      <c r="O894" s="96"/>
      <c r="P894" s="97"/>
      <c r="Q894" s="98"/>
      <c r="R894" s="135"/>
      <c r="U894" s="48" t="str">
        <f t="shared" si="76"/>
        <v/>
      </c>
      <c r="V894" s="16"/>
      <c r="W894" s="34"/>
      <c r="X894" s="35"/>
      <c r="Z894" s="74"/>
      <c r="AA894" s="130" t="str" cm="1">
        <f t="array" ref="AA894">HEX2ASCII(AB894)&amp;HEX2ASCII(AC894)&amp;HEX2ASCII(AD894)&amp;HEX2ASCII(AE894)&amp;HEX2ASCII(AF894)&amp;HEX2ASCII(AG894)&amp;HEX2ASCII(AH894)&amp;HEX2ASCII(AI894)</f>
        <v/>
      </c>
      <c r="AB894" s="147"/>
      <c r="AC894" s="148"/>
      <c r="AD894" s="148"/>
      <c r="AE894" s="148"/>
      <c r="AF894" s="148"/>
      <c r="AG894" s="148"/>
      <c r="AH894" s="148"/>
      <c r="AI894" s="149"/>
    </row>
    <row r="895" spans="11:35">
      <c r="K895" s="85"/>
      <c r="L895" s="54" t="str">
        <f t="shared" si="75"/>
        <v/>
      </c>
      <c r="M895" s="38" t="str">
        <f t="shared" si="78"/>
        <v>0477</v>
      </c>
      <c r="N895" s="69">
        <f t="shared" si="77"/>
        <v>1143</v>
      </c>
      <c r="O895" s="96"/>
      <c r="P895" s="97"/>
      <c r="Q895" s="98"/>
      <c r="R895" s="135"/>
      <c r="U895" s="48" t="str">
        <f t="shared" si="76"/>
        <v/>
      </c>
      <c r="V895" s="16"/>
      <c r="W895" s="34"/>
      <c r="X895" s="35"/>
      <c r="Z895" s="74"/>
      <c r="AA895" s="130" t="str" cm="1">
        <f t="array" ref="AA895">HEX2ASCII(AB895)&amp;HEX2ASCII(AC895)&amp;HEX2ASCII(AD895)&amp;HEX2ASCII(AE895)&amp;HEX2ASCII(AF895)&amp;HEX2ASCII(AG895)&amp;HEX2ASCII(AH895)&amp;HEX2ASCII(AI895)</f>
        <v/>
      </c>
      <c r="AB895" s="147"/>
      <c r="AC895" s="148"/>
      <c r="AD895" s="148"/>
      <c r="AE895" s="148"/>
      <c r="AF895" s="148"/>
      <c r="AG895" s="148"/>
      <c r="AH895" s="148"/>
      <c r="AI895" s="149"/>
    </row>
    <row r="896" spans="11:35">
      <c r="K896" s="85"/>
      <c r="L896" s="54" t="str">
        <f t="shared" si="75"/>
        <v/>
      </c>
      <c r="M896" s="38" t="str">
        <f t="shared" si="78"/>
        <v>0478</v>
      </c>
      <c r="N896" s="69">
        <f t="shared" si="77"/>
        <v>1144</v>
      </c>
      <c r="O896" s="96"/>
      <c r="P896" s="97"/>
      <c r="Q896" s="98"/>
      <c r="R896" s="135"/>
      <c r="U896" s="48" t="str">
        <f t="shared" si="76"/>
        <v/>
      </c>
      <c r="V896" s="16"/>
      <c r="W896" s="34"/>
      <c r="X896" s="35"/>
      <c r="Z896" s="74"/>
      <c r="AA896" s="130" t="str" cm="1">
        <f t="array" ref="AA896">HEX2ASCII(AB896)&amp;HEX2ASCII(AC896)&amp;HEX2ASCII(AD896)&amp;HEX2ASCII(AE896)&amp;HEX2ASCII(AF896)&amp;HEX2ASCII(AG896)&amp;HEX2ASCII(AH896)&amp;HEX2ASCII(AI896)</f>
        <v/>
      </c>
      <c r="AB896" s="147"/>
      <c r="AC896" s="148"/>
      <c r="AD896" s="148"/>
      <c r="AE896" s="148"/>
      <c r="AF896" s="148"/>
      <c r="AG896" s="148"/>
      <c r="AH896" s="148"/>
      <c r="AI896" s="149"/>
    </row>
    <row r="897" spans="11:35">
      <c r="K897" s="85"/>
      <c r="L897" s="54" t="str">
        <f t="shared" si="75"/>
        <v/>
      </c>
      <c r="M897" s="38" t="str">
        <f t="shared" si="78"/>
        <v>0479</v>
      </c>
      <c r="N897" s="69">
        <f t="shared" si="77"/>
        <v>1145</v>
      </c>
      <c r="O897" s="96"/>
      <c r="P897" s="97"/>
      <c r="Q897" s="98"/>
      <c r="R897" s="135"/>
      <c r="U897" s="48" t="str">
        <f t="shared" si="76"/>
        <v/>
      </c>
      <c r="V897" s="16"/>
      <c r="W897" s="34"/>
      <c r="X897" s="35"/>
      <c r="Z897" s="74"/>
      <c r="AA897" s="130" t="str" cm="1">
        <f t="array" ref="AA897">HEX2ASCII(AB897)&amp;HEX2ASCII(AC897)&amp;HEX2ASCII(AD897)&amp;HEX2ASCII(AE897)&amp;HEX2ASCII(AF897)&amp;HEX2ASCII(AG897)&amp;HEX2ASCII(AH897)&amp;HEX2ASCII(AI897)</f>
        <v/>
      </c>
      <c r="AB897" s="147"/>
      <c r="AC897" s="148"/>
      <c r="AD897" s="148"/>
      <c r="AE897" s="148"/>
      <c r="AF897" s="148"/>
      <c r="AG897" s="148"/>
      <c r="AH897" s="148"/>
      <c r="AI897" s="149"/>
    </row>
    <row r="898" spans="11:35">
      <c r="K898" s="85"/>
      <c r="L898" s="54" t="str">
        <f t="shared" si="75"/>
        <v/>
      </c>
      <c r="M898" s="38" t="str">
        <f t="shared" si="78"/>
        <v>047A</v>
      </c>
      <c r="N898" s="69">
        <f t="shared" si="77"/>
        <v>1146</v>
      </c>
      <c r="O898" s="96"/>
      <c r="P898" s="97"/>
      <c r="Q898" s="98"/>
      <c r="R898" s="135"/>
      <c r="U898" s="48" t="str">
        <f t="shared" si="76"/>
        <v/>
      </c>
      <c r="V898" s="16"/>
      <c r="W898" s="34"/>
      <c r="X898" s="35"/>
      <c r="Z898" s="74"/>
      <c r="AA898" s="130" t="str" cm="1">
        <f t="array" ref="AA898">HEX2ASCII(AB898)&amp;HEX2ASCII(AC898)&amp;HEX2ASCII(AD898)&amp;HEX2ASCII(AE898)&amp;HEX2ASCII(AF898)&amp;HEX2ASCII(AG898)&amp;HEX2ASCII(AH898)&amp;HEX2ASCII(AI898)</f>
        <v/>
      </c>
      <c r="AB898" s="147"/>
      <c r="AC898" s="148"/>
      <c r="AD898" s="148"/>
      <c r="AE898" s="148"/>
      <c r="AF898" s="148"/>
      <c r="AG898" s="148"/>
      <c r="AH898" s="148"/>
      <c r="AI898" s="149"/>
    </row>
    <row r="899" spans="11:35">
      <c r="K899" s="85"/>
      <c r="L899" s="54" t="str">
        <f t="shared" si="75"/>
        <v/>
      </c>
      <c r="M899" s="38" t="str">
        <f t="shared" si="78"/>
        <v>047B</v>
      </c>
      <c r="N899" s="69">
        <f t="shared" si="77"/>
        <v>1147</v>
      </c>
      <c r="O899" s="96"/>
      <c r="P899" s="97"/>
      <c r="Q899" s="98"/>
      <c r="R899" s="135"/>
      <c r="U899" s="48" t="str">
        <f t="shared" si="76"/>
        <v/>
      </c>
      <c r="V899" s="16"/>
      <c r="W899" s="34"/>
      <c r="X899" s="35"/>
      <c r="Z899" s="74"/>
      <c r="AA899" s="130" t="str" cm="1">
        <f t="array" ref="AA899">HEX2ASCII(AB899)&amp;HEX2ASCII(AC899)&amp;HEX2ASCII(AD899)&amp;HEX2ASCII(AE899)&amp;HEX2ASCII(AF899)&amp;HEX2ASCII(AG899)&amp;HEX2ASCII(AH899)&amp;HEX2ASCII(AI899)</f>
        <v/>
      </c>
      <c r="AB899" s="147"/>
      <c r="AC899" s="148"/>
      <c r="AD899" s="148"/>
      <c r="AE899" s="148"/>
      <c r="AF899" s="148"/>
      <c r="AG899" s="148"/>
      <c r="AH899" s="148"/>
      <c r="AI899" s="149"/>
    </row>
    <row r="900" spans="11:35">
      <c r="K900" s="85"/>
      <c r="L900" s="54" t="str">
        <f t="shared" si="75"/>
        <v/>
      </c>
      <c r="M900" s="38" t="str">
        <f t="shared" si="78"/>
        <v>047C</v>
      </c>
      <c r="N900" s="69">
        <f t="shared" si="77"/>
        <v>1148</v>
      </c>
      <c r="O900" s="96"/>
      <c r="P900" s="97"/>
      <c r="Q900" s="98"/>
      <c r="R900" s="135"/>
      <c r="U900" s="48" t="str">
        <f t="shared" si="76"/>
        <v/>
      </c>
      <c r="V900" s="16"/>
      <c r="W900" s="34"/>
      <c r="X900" s="35"/>
      <c r="Z900" s="74"/>
      <c r="AA900" s="130" t="str" cm="1">
        <f t="array" ref="AA900">HEX2ASCII(AB900)&amp;HEX2ASCII(AC900)&amp;HEX2ASCII(AD900)&amp;HEX2ASCII(AE900)&amp;HEX2ASCII(AF900)&amp;HEX2ASCII(AG900)&amp;HEX2ASCII(AH900)&amp;HEX2ASCII(AI900)</f>
        <v/>
      </c>
      <c r="AB900" s="147"/>
      <c r="AC900" s="148"/>
      <c r="AD900" s="148"/>
      <c r="AE900" s="148"/>
      <c r="AF900" s="148"/>
      <c r="AG900" s="148"/>
      <c r="AH900" s="148"/>
      <c r="AI900" s="149"/>
    </row>
    <row r="901" spans="11:35">
      <c r="K901" s="85"/>
      <c r="L901" s="54" t="str">
        <f t="shared" si="75"/>
        <v/>
      </c>
      <c r="M901" s="38" t="str">
        <f t="shared" si="78"/>
        <v>047D</v>
      </c>
      <c r="N901" s="69">
        <f t="shared" si="77"/>
        <v>1149</v>
      </c>
      <c r="O901" s="96"/>
      <c r="P901" s="97"/>
      <c r="Q901" s="98"/>
      <c r="R901" s="135"/>
      <c r="U901" s="48" t="str">
        <f t="shared" si="76"/>
        <v/>
      </c>
      <c r="V901" s="16"/>
      <c r="W901" s="34"/>
      <c r="X901" s="35"/>
      <c r="Z901" s="74"/>
      <c r="AA901" s="130" t="str" cm="1">
        <f t="array" ref="AA901">HEX2ASCII(AB901)&amp;HEX2ASCII(AC901)&amp;HEX2ASCII(AD901)&amp;HEX2ASCII(AE901)&amp;HEX2ASCII(AF901)&amp;HEX2ASCII(AG901)&amp;HEX2ASCII(AH901)&amp;HEX2ASCII(AI901)</f>
        <v/>
      </c>
      <c r="AB901" s="147"/>
      <c r="AC901" s="148"/>
      <c r="AD901" s="148"/>
      <c r="AE901" s="148"/>
      <c r="AF901" s="148"/>
      <c r="AG901" s="148"/>
      <c r="AH901" s="148"/>
      <c r="AI901" s="149"/>
    </row>
    <row r="902" spans="11:35">
      <c r="K902" s="85"/>
      <c r="L902" s="54" t="str">
        <f t="shared" si="75"/>
        <v/>
      </c>
      <c r="M902" s="38" t="str">
        <f t="shared" si="78"/>
        <v>047E</v>
      </c>
      <c r="N902" s="69">
        <f t="shared" si="77"/>
        <v>1150</v>
      </c>
      <c r="O902" s="96"/>
      <c r="P902" s="97"/>
      <c r="Q902" s="98"/>
      <c r="R902" s="135"/>
      <c r="U902" s="48" t="str">
        <f t="shared" si="76"/>
        <v/>
      </c>
      <c r="V902" s="16"/>
      <c r="W902" s="34"/>
      <c r="X902" s="35"/>
      <c r="Z902" s="74"/>
      <c r="AA902" s="130" t="str" cm="1">
        <f t="array" ref="AA902">HEX2ASCII(AB902)&amp;HEX2ASCII(AC902)&amp;HEX2ASCII(AD902)&amp;HEX2ASCII(AE902)&amp;HEX2ASCII(AF902)&amp;HEX2ASCII(AG902)&amp;HEX2ASCII(AH902)&amp;HEX2ASCII(AI902)</f>
        <v/>
      </c>
      <c r="AB902" s="147"/>
      <c r="AC902" s="148"/>
      <c r="AD902" s="148"/>
      <c r="AE902" s="148"/>
      <c r="AF902" s="148"/>
      <c r="AG902" s="148"/>
      <c r="AH902" s="148"/>
      <c r="AI902" s="149"/>
    </row>
    <row r="903" spans="11:35">
      <c r="K903" s="85"/>
      <c r="L903" s="54" t="str">
        <f t="shared" si="75"/>
        <v/>
      </c>
      <c r="M903" s="38" t="str">
        <f t="shared" si="78"/>
        <v>047F</v>
      </c>
      <c r="N903" s="69">
        <f t="shared" si="77"/>
        <v>1151</v>
      </c>
      <c r="O903" s="96"/>
      <c r="P903" s="97"/>
      <c r="Q903" s="98"/>
      <c r="R903" s="135"/>
      <c r="U903" s="48" t="str">
        <f t="shared" si="76"/>
        <v/>
      </c>
      <c r="V903" s="16"/>
      <c r="W903" s="34"/>
      <c r="X903" s="35"/>
      <c r="Z903" s="74"/>
      <c r="AA903" s="130" t="str" cm="1">
        <f t="array" ref="AA903">HEX2ASCII(AB903)&amp;HEX2ASCII(AC903)&amp;HEX2ASCII(AD903)&amp;HEX2ASCII(AE903)&amp;HEX2ASCII(AF903)&amp;HEX2ASCII(AG903)&amp;HEX2ASCII(AH903)&amp;HEX2ASCII(AI903)</f>
        <v/>
      </c>
      <c r="AB903" s="147"/>
      <c r="AC903" s="148"/>
      <c r="AD903" s="148"/>
      <c r="AE903" s="148"/>
      <c r="AF903" s="148"/>
      <c r="AG903" s="148"/>
      <c r="AH903" s="148"/>
      <c r="AI903" s="149"/>
    </row>
    <row r="904" spans="11:35">
      <c r="K904" s="85"/>
      <c r="L904" s="54" t="str">
        <f t="shared" si="75"/>
        <v/>
      </c>
      <c r="M904" s="38" t="str">
        <f t="shared" si="78"/>
        <v>0480</v>
      </c>
      <c r="N904" s="69">
        <f t="shared" si="77"/>
        <v>1152</v>
      </c>
      <c r="O904" s="96"/>
      <c r="P904" s="97"/>
      <c r="Q904" s="98"/>
      <c r="R904" s="135"/>
      <c r="U904" s="48" t="str">
        <f t="shared" si="76"/>
        <v/>
      </c>
      <c r="V904" s="16"/>
      <c r="W904" s="34"/>
      <c r="X904" s="35"/>
      <c r="Z904" s="74"/>
      <c r="AA904" s="130" t="str" cm="1">
        <f t="array" ref="AA904">HEX2ASCII(AB904)&amp;HEX2ASCII(AC904)&amp;HEX2ASCII(AD904)&amp;HEX2ASCII(AE904)&amp;HEX2ASCII(AF904)&amp;HEX2ASCII(AG904)&amp;HEX2ASCII(AH904)&amp;HEX2ASCII(AI904)</f>
        <v/>
      </c>
      <c r="AB904" s="147"/>
      <c r="AC904" s="148"/>
      <c r="AD904" s="148"/>
      <c r="AE904" s="148"/>
      <c r="AF904" s="148"/>
      <c r="AG904" s="148"/>
      <c r="AH904" s="148"/>
      <c r="AI904" s="149"/>
    </row>
    <row r="905" spans="11:35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0481</v>
      </c>
      <c r="N905" s="69">
        <f t="shared" si="77"/>
        <v>1153</v>
      </c>
      <c r="O905" s="96"/>
      <c r="P905" s="97"/>
      <c r="Q905" s="98"/>
      <c r="R905" s="135"/>
      <c r="U905" s="48" t="str">
        <f t="shared" ref="U905:U968" si="80">IF(V905&gt;0,RIGHT("0000"&amp;DEC2HEX(V905),4),"")</f>
        <v/>
      </c>
      <c r="V905" s="16"/>
      <c r="W905" s="34"/>
      <c r="X905" s="35"/>
      <c r="Z905" s="74"/>
      <c r="AA905" s="130" t="str" cm="1">
        <f t="array" ref="AA905">HEX2ASCII(AB905)&amp;HEX2ASCII(AC905)&amp;HEX2ASCII(AD905)&amp;HEX2ASCII(AE905)&amp;HEX2ASCII(AF905)&amp;HEX2ASCII(AG905)&amp;HEX2ASCII(AH905)&amp;HEX2ASCII(AI905)</f>
        <v/>
      </c>
      <c r="AB905" s="147"/>
      <c r="AC905" s="148"/>
      <c r="AD905" s="148"/>
      <c r="AE905" s="148"/>
      <c r="AF905" s="148"/>
      <c r="AG905" s="148"/>
      <c r="AH905" s="148"/>
      <c r="AI905" s="149"/>
    </row>
    <row r="906" spans="11:35">
      <c r="K906" s="85"/>
      <c r="L906" s="54" t="str">
        <f t="shared" si="79"/>
        <v/>
      </c>
      <c r="M906" s="38" t="str">
        <f t="shared" si="78"/>
        <v>0482</v>
      </c>
      <c r="N906" s="69">
        <f t="shared" ref="N906:N969" si="81">N905+0*COUNTA(P905:R905)+1</f>
        <v>1154</v>
      </c>
      <c r="O906" s="96"/>
      <c r="P906" s="97"/>
      <c r="Q906" s="98"/>
      <c r="R906" s="135"/>
      <c r="U906" s="48" t="str">
        <f t="shared" si="80"/>
        <v/>
      </c>
      <c r="V906" s="16"/>
      <c r="W906" s="34"/>
      <c r="X906" s="35"/>
      <c r="Z906" s="74"/>
      <c r="AA906" s="130" t="str" cm="1">
        <f t="array" ref="AA906">HEX2ASCII(AB906)&amp;HEX2ASCII(AC906)&amp;HEX2ASCII(AD906)&amp;HEX2ASCII(AE906)&amp;HEX2ASCII(AF906)&amp;HEX2ASCII(AG906)&amp;HEX2ASCII(AH906)&amp;HEX2ASCII(AI906)</f>
        <v/>
      </c>
      <c r="AB906" s="147"/>
      <c r="AC906" s="148"/>
      <c r="AD906" s="148"/>
      <c r="AE906" s="148"/>
      <c r="AF906" s="148"/>
      <c r="AG906" s="148"/>
      <c r="AH906" s="148"/>
      <c r="AI906" s="149"/>
    </row>
    <row r="907" spans="11:35">
      <c r="K907" s="85"/>
      <c r="L907" s="54" t="str">
        <f t="shared" si="79"/>
        <v/>
      </c>
      <c r="M907" s="38" t="str">
        <f t="shared" si="78"/>
        <v>0483</v>
      </c>
      <c r="N907" s="69">
        <f t="shared" si="81"/>
        <v>1155</v>
      </c>
      <c r="O907" s="96"/>
      <c r="P907" s="97"/>
      <c r="Q907" s="98"/>
      <c r="R907" s="135"/>
      <c r="U907" s="48" t="str">
        <f t="shared" si="80"/>
        <v/>
      </c>
      <c r="V907" s="16"/>
      <c r="W907" s="34"/>
      <c r="X907" s="35"/>
      <c r="Z907" s="74"/>
      <c r="AA907" s="130" t="str" cm="1">
        <f t="array" ref="AA907">HEX2ASCII(AB907)&amp;HEX2ASCII(AC907)&amp;HEX2ASCII(AD907)&amp;HEX2ASCII(AE907)&amp;HEX2ASCII(AF907)&amp;HEX2ASCII(AG907)&amp;HEX2ASCII(AH907)&amp;HEX2ASCII(AI907)</f>
        <v/>
      </c>
      <c r="AB907" s="147"/>
      <c r="AC907" s="148"/>
      <c r="AD907" s="148"/>
      <c r="AE907" s="148"/>
      <c r="AF907" s="148"/>
      <c r="AG907" s="148"/>
      <c r="AH907" s="148"/>
      <c r="AI907" s="149"/>
    </row>
    <row r="908" spans="11:35">
      <c r="K908" s="85"/>
      <c r="L908" s="54" t="str">
        <f t="shared" si="79"/>
        <v/>
      </c>
      <c r="M908" s="38" t="str">
        <f t="shared" si="78"/>
        <v>0484</v>
      </c>
      <c r="N908" s="69">
        <f t="shared" si="81"/>
        <v>1156</v>
      </c>
      <c r="O908" s="96"/>
      <c r="P908" s="97"/>
      <c r="Q908" s="98"/>
      <c r="R908" s="135"/>
      <c r="U908" s="48" t="str">
        <f t="shared" si="80"/>
        <v/>
      </c>
      <c r="V908" s="16"/>
      <c r="W908" s="34"/>
      <c r="X908" s="35"/>
      <c r="Z908" s="74"/>
      <c r="AA908" s="130" t="str" cm="1">
        <f t="array" ref="AA908">HEX2ASCII(AB908)&amp;HEX2ASCII(AC908)&amp;HEX2ASCII(AD908)&amp;HEX2ASCII(AE908)&amp;HEX2ASCII(AF908)&amp;HEX2ASCII(AG908)&amp;HEX2ASCII(AH908)&amp;HEX2ASCII(AI908)</f>
        <v/>
      </c>
      <c r="AB908" s="147"/>
      <c r="AC908" s="148"/>
      <c r="AD908" s="148"/>
      <c r="AE908" s="148"/>
      <c r="AF908" s="148"/>
      <c r="AG908" s="148"/>
      <c r="AH908" s="148"/>
      <c r="AI908" s="149"/>
    </row>
    <row r="909" spans="11:35">
      <c r="K909" s="85"/>
      <c r="L909" s="54" t="str">
        <f t="shared" si="79"/>
        <v/>
      </c>
      <c r="M909" s="38" t="str">
        <f t="shared" si="78"/>
        <v>0485</v>
      </c>
      <c r="N909" s="69">
        <f t="shared" si="81"/>
        <v>1157</v>
      </c>
      <c r="O909" s="96"/>
      <c r="P909" s="97"/>
      <c r="Q909" s="98"/>
      <c r="R909" s="135"/>
      <c r="U909" s="48" t="str">
        <f t="shared" si="80"/>
        <v/>
      </c>
      <c r="V909" s="16"/>
      <c r="W909" s="34"/>
      <c r="X909" s="35"/>
      <c r="Z909" s="74"/>
      <c r="AA909" s="130" t="str" cm="1">
        <f t="array" ref="AA909">HEX2ASCII(AB909)&amp;HEX2ASCII(AC909)&amp;HEX2ASCII(AD909)&amp;HEX2ASCII(AE909)&amp;HEX2ASCII(AF909)&amp;HEX2ASCII(AG909)&amp;HEX2ASCII(AH909)&amp;HEX2ASCII(AI909)</f>
        <v/>
      </c>
      <c r="AB909" s="147"/>
      <c r="AC909" s="148"/>
      <c r="AD909" s="148"/>
      <c r="AE909" s="148"/>
      <c r="AF909" s="148"/>
      <c r="AG909" s="148"/>
      <c r="AH909" s="148"/>
      <c r="AI909" s="149"/>
    </row>
    <row r="910" spans="11:35">
      <c r="K910" s="85"/>
      <c r="L910" s="54" t="str">
        <f t="shared" si="79"/>
        <v/>
      </c>
      <c r="M910" s="38" t="str">
        <f t="shared" si="78"/>
        <v>0486</v>
      </c>
      <c r="N910" s="69">
        <f t="shared" si="81"/>
        <v>1158</v>
      </c>
      <c r="O910" s="96"/>
      <c r="P910" s="97"/>
      <c r="Q910" s="98"/>
      <c r="R910" s="135"/>
      <c r="U910" s="48" t="str">
        <f t="shared" si="80"/>
        <v/>
      </c>
      <c r="V910" s="16"/>
      <c r="W910" s="34"/>
      <c r="X910" s="35"/>
      <c r="Z910" s="74"/>
      <c r="AA910" s="130" t="str" cm="1">
        <f t="array" ref="AA910">HEX2ASCII(AB910)&amp;HEX2ASCII(AC910)&amp;HEX2ASCII(AD910)&amp;HEX2ASCII(AE910)&amp;HEX2ASCII(AF910)&amp;HEX2ASCII(AG910)&amp;HEX2ASCII(AH910)&amp;HEX2ASCII(AI910)</f>
        <v/>
      </c>
      <c r="AB910" s="147"/>
      <c r="AC910" s="148"/>
      <c r="AD910" s="148"/>
      <c r="AE910" s="148"/>
      <c r="AF910" s="148"/>
      <c r="AG910" s="148"/>
      <c r="AH910" s="148"/>
      <c r="AI910" s="149"/>
    </row>
    <row r="911" spans="11:35">
      <c r="K911" s="85"/>
      <c r="L911" s="54" t="str">
        <f t="shared" si="79"/>
        <v/>
      </c>
      <c r="M911" s="38" t="str">
        <f t="shared" si="78"/>
        <v>0487</v>
      </c>
      <c r="N911" s="69">
        <f t="shared" si="81"/>
        <v>1159</v>
      </c>
      <c r="O911" s="96"/>
      <c r="P911" s="97"/>
      <c r="Q911" s="98"/>
      <c r="R911" s="135"/>
      <c r="U911" s="48" t="str">
        <f t="shared" si="80"/>
        <v/>
      </c>
      <c r="V911" s="16"/>
      <c r="W911" s="34"/>
      <c r="X911" s="35"/>
      <c r="Z911" s="74"/>
      <c r="AA911" s="130" t="str" cm="1">
        <f t="array" ref="AA911">HEX2ASCII(AB911)&amp;HEX2ASCII(AC911)&amp;HEX2ASCII(AD911)&amp;HEX2ASCII(AE911)&amp;HEX2ASCII(AF911)&amp;HEX2ASCII(AG911)&amp;HEX2ASCII(AH911)&amp;HEX2ASCII(AI911)</f>
        <v/>
      </c>
      <c r="AB911" s="147"/>
      <c r="AC911" s="148"/>
      <c r="AD911" s="148"/>
      <c r="AE911" s="148"/>
      <c r="AF911" s="148"/>
      <c r="AG911" s="148"/>
      <c r="AH911" s="148"/>
      <c r="AI911" s="149"/>
    </row>
    <row r="912" spans="11:35">
      <c r="K912" s="85"/>
      <c r="L912" s="54" t="str">
        <f t="shared" si="79"/>
        <v/>
      </c>
      <c r="M912" s="38" t="str">
        <f t="shared" si="78"/>
        <v>0488</v>
      </c>
      <c r="N912" s="69">
        <f t="shared" si="81"/>
        <v>1160</v>
      </c>
      <c r="O912" s="96"/>
      <c r="P912" s="97"/>
      <c r="Q912" s="98"/>
      <c r="R912" s="135"/>
      <c r="U912" s="48" t="str">
        <f t="shared" si="80"/>
        <v/>
      </c>
      <c r="V912" s="16"/>
      <c r="W912" s="34"/>
      <c r="X912" s="35"/>
      <c r="Z912" s="74"/>
      <c r="AA912" s="130" t="str" cm="1">
        <f t="array" ref="AA912">HEX2ASCII(AB912)&amp;HEX2ASCII(AC912)&amp;HEX2ASCII(AD912)&amp;HEX2ASCII(AE912)&amp;HEX2ASCII(AF912)&amp;HEX2ASCII(AG912)&amp;HEX2ASCII(AH912)&amp;HEX2ASCII(AI912)</f>
        <v/>
      </c>
      <c r="AB912" s="147"/>
      <c r="AC912" s="148"/>
      <c r="AD912" s="148"/>
      <c r="AE912" s="148"/>
      <c r="AF912" s="148"/>
      <c r="AG912" s="148"/>
      <c r="AH912" s="148"/>
      <c r="AI912" s="149"/>
    </row>
    <row r="913" spans="11:35">
      <c r="K913" s="85"/>
      <c r="L913" s="54" t="str">
        <f t="shared" si="79"/>
        <v/>
      </c>
      <c r="M913" s="38" t="str">
        <f t="shared" si="78"/>
        <v>0489</v>
      </c>
      <c r="N913" s="69">
        <f t="shared" si="81"/>
        <v>1161</v>
      </c>
      <c r="O913" s="96"/>
      <c r="P913" s="97"/>
      <c r="Q913" s="98"/>
      <c r="R913" s="135"/>
      <c r="U913" s="48" t="str">
        <f t="shared" si="80"/>
        <v/>
      </c>
      <c r="V913" s="16"/>
      <c r="W913" s="34"/>
      <c r="X913" s="35"/>
      <c r="Z913" s="74"/>
      <c r="AA913" s="130" t="str" cm="1">
        <f t="array" ref="AA913">HEX2ASCII(AB913)&amp;HEX2ASCII(AC913)&amp;HEX2ASCII(AD913)&amp;HEX2ASCII(AE913)&amp;HEX2ASCII(AF913)&amp;HEX2ASCII(AG913)&amp;HEX2ASCII(AH913)&amp;HEX2ASCII(AI913)</f>
        <v/>
      </c>
      <c r="AB913" s="147"/>
      <c r="AC913" s="148"/>
      <c r="AD913" s="148"/>
      <c r="AE913" s="148"/>
      <c r="AF913" s="148"/>
      <c r="AG913" s="148"/>
      <c r="AH913" s="148"/>
      <c r="AI913" s="149"/>
    </row>
    <row r="914" spans="11:35">
      <c r="K914" s="85"/>
      <c r="L914" s="54" t="str">
        <f t="shared" si="79"/>
        <v/>
      </c>
      <c r="M914" s="38" t="str">
        <f t="shared" si="78"/>
        <v>048A</v>
      </c>
      <c r="N914" s="69">
        <f t="shared" si="81"/>
        <v>1162</v>
      </c>
      <c r="O914" s="96"/>
      <c r="P914" s="97"/>
      <c r="Q914" s="98"/>
      <c r="R914" s="135"/>
      <c r="U914" s="48" t="str">
        <f t="shared" si="80"/>
        <v/>
      </c>
      <c r="V914" s="16"/>
      <c r="W914" s="34"/>
      <c r="X914" s="35"/>
      <c r="Z914" s="74"/>
      <c r="AA914" s="130" t="str" cm="1">
        <f t="array" ref="AA914">HEX2ASCII(AB914)&amp;HEX2ASCII(AC914)&amp;HEX2ASCII(AD914)&amp;HEX2ASCII(AE914)&amp;HEX2ASCII(AF914)&amp;HEX2ASCII(AG914)&amp;HEX2ASCII(AH914)&amp;HEX2ASCII(AI914)</f>
        <v/>
      </c>
      <c r="AB914" s="147"/>
      <c r="AC914" s="148"/>
      <c r="AD914" s="148"/>
      <c r="AE914" s="148"/>
      <c r="AF914" s="148"/>
      <c r="AG914" s="148"/>
      <c r="AH914" s="148"/>
      <c r="AI914" s="149"/>
    </row>
    <row r="915" spans="11:35">
      <c r="K915" s="85"/>
      <c r="L915" s="54" t="str">
        <f t="shared" si="79"/>
        <v/>
      </c>
      <c r="M915" s="38" t="str">
        <f t="shared" si="78"/>
        <v>048B</v>
      </c>
      <c r="N915" s="69">
        <f t="shared" si="81"/>
        <v>1163</v>
      </c>
      <c r="O915" s="96"/>
      <c r="P915" s="97"/>
      <c r="Q915" s="98"/>
      <c r="R915" s="135"/>
      <c r="U915" s="48" t="str">
        <f t="shared" si="80"/>
        <v/>
      </c>
      <c r="V915" s="16"/>
      <c r="W915" s="34"/>
      <c r="X915" s="35"/>
      <c r="Z915" s="74"/>
      <c r="AA915" s="130" t="str" cm="1">
        <f t="array" ref="AA915">HEX2ASCII(AB915)&amp;HEX2ASCII(AC915)&amp;HEX2ASCII(AD915)&amp;HEX2ASCII(AE915)&amp;HEX2ASCII(AF915)&amp;HEX2ASCII(AG915)&amp;HEX2ASCII(AH915)&amp;HEX2ASCII(AI915)</f>
        <v/>
      </c>
      <c r="AB915" s="147"/>
      <c r="AC915" s="148"/>
      <c r="AD915" s="148"/>
      <c r="AE915" s="148"/>
      <c r="AF915" s="148"/>
      <c r="AG915" s="148"/>
      <c r="AH915" s="148"/>
      <c r="AI915" s="149"/>
    </row>
    <row r="916" spans="11:35">
      <c r="K916" s="85"/>
      <c r="L916" s="54" t="str">
        <f t="shared" si="79"/>
        <v/>
      </c>
      <c r="M916" s="38" t="str">
        <f t="shared" si="78"/>
        <v>048C</v>
      </c>
      <c r="N916" s="69">
        <f t="shared" si="81"/>
        <v>1164</v>
      </c>
      <c r="O916" s="96"/>
      <c r="P916" s="97"/>
      <c r="Q916" s="98"/>
      <c r="R916" s="135"/>
      <c r="U916" s="48" t="str">
        <f t="shared" si="80"/>
        <v/>
      </c>
      <c r="V916" s="16"/>
      <c r="W916" s="34"/>
      <c r="X916" s="35"/>
      <c r="Z916" s="74"/>
      <c r="AA916" s="130" t="str" cm="1">
        <f t="array" ref="AA916">HEX2ASCII(AB916)&amp;HEX2ASCII(AC916)&amp;HEX2ASCII(AD916)&amp;HEX2ASCII(AE916)&amp;HEX2ASCII(AF916)&amp;HEX2ASCII(AG916)&amp;HEX2ASCII(AH916)&amp;HEX2ASCII(AI916)</f>
        <v/>
      </c>
      <c r="AB916" s="147"/>
      <c r="AC916" s="148"/>
      <c r="AD916" s="148"/>
      <c r="AE916" s="148"/>
      <c r="AF916" s="148"/>
      <c r="AG916" s="148"/>
      <c r="AH916" s="148"/>
      <c r="AI916" s="149"/>
    </row>
    <row r="917" spans="11:35">
      <c r="K917" s="85"/>
      <c r="L917" s="54" t="str">
        <f t="shared" si="79"/>
        <v/>
      </c>
      <c r="M917" s="38" t="str">
        <f t="shared" si="78"/>
        <v>048D</v>
      </c>
      <c r="N917" s="69">
        <f t="shared" si="81"/>
        <v>1165</v>
      </c>
      <c r="O917" s="96"/>
      <c r="P917" s="97"/>
      <c r="Q917" s="98"/>
      <c r="R917" s="135"/>
      <c r="U917" s="48" t="str">
        <f t="shared" si="80"/>
        <v/>
      </c>
      <c r="V917" s="16"/>
      <c r="W917" s="34"/>
      <c r="X917" s="35"/>
      <c r="Z917" s="74"/>
      <c r="AA917" s="130" t="str" cm="1">
        <f t="array" ref="AA917">HEX2ASCII(AB917)&amp;HEX2ASCII(AC917)&amp;HEX2ASCII(AD917)&amp;HEX2ASCII(AE917)&amp;HEX2ASCII(AF917)&amp;HEX2ASCII(AG917)&amp;HEX2ASCII(AH917)&amp;HEX2ASCII(AI917)</f>
        <v/>
      </c>
      <c r="AB917" s="147"/>
      <c r="AC917" s="148"/>
      <c r="AD917" s="148"/>
      <c r="AE917" s="148"/>
      <c r="AF917" s="148"/>
      <c r="AG917" s="148"/>
      <c r="AH917" s="148"/>
      <c r="AI917" s="149"/>
    </row>
    <row r="918" spans="11:35">
      <c r="K918" s="85"/>
      <c r="L918" s="54" t="str">
        <f t="shared" si="79"/>
        <v/>
      </c>
      <c r="M918" s="38" t="str">
        <f t="shared" si="78"/>
        <v>048E</v>
      </c>
      <c r="N918" s="69">
        <f t="shared" si="81"/>
        <v>1166</v>
      </c>
      <c r="O918" s="96"/>
      <c r="P918" s="97"/>
      <c r="Q918" s="98"/>
      <c r="R918" s="135"/>
      <c r="U918" s="48" t="str">
        <f t="shared" si="80"/>
        <v/>
      </c>
      <c r="V918" s="16"/>
      <c r="W918" s="34"/>
      <c r="X918" s="35"/>
      <c r="Z918" s="74"/>
      <c r="AA918" s="130" t="str" cm="1">
        <f t="array" ref="AA918">HEX2ASCII(AB918)&amp;HEX2ASCII(AC918)&amp;HEX2ASCII(AD918)&amp;HEX2ASCII(AE918)&amp;HEX2ASCII(AF918)&amp;HEX2ASCII(AG918)&amp;HEX2ASCII(AH918)&amp;HEX2ASCII(AI918)</f>
        <v/>
      </c>
      <c r="AB918" s="147"/>
      <c r="AC918" s="148"/>
      <c r="AD918" s="148"/>
      <c r="AE918" s="148"/>
      <c r="AF918" s="148"/>
      <c r="AG918" s="148"/>
      <c r="AH918" s="148"/>
      <c r="AI918" s="149"/>
    </row>
    <row r="919" spans="11:35">
      <c r="K919" s="85"/>
      <c r="L919" s="54" t="str">
        <f t="shared" si="79"/>
        <v/>
      </c>
      <c r="M919" s="38" t="str">
        <f t="shared" si="78"/>
        <v>048F</v>
      </c>
      <c r="N919" s="69">
        <f t="shared" si="81"/>
        <v>1167</v>
      </c>
      <c r="O919" s="96"/>
      <c r="P919" s="97"/>
      <c r="Q919" s="98"/>
      <c r="R919" s="135"/>
      <c r="U919" s="48" t="str">
        <f t="shared" si="80"/>
        <v/>
      </c>
      <c r="V919" s="16"/>
      <c r="W919" s="34"/>
      <c r="X919" s="35"/>
      <c r="Z919" s="74"/>
      <c r="AA919" s="130" t="str" cm="1">
        <f t="array" ref="AA919">HEX2ASCII(AB919)&amp;HEX2ASCII(AC919)&amp;HEX2ASCII(AD919)&amp;HEX2ASCII(AE919)&amp;HEX2ASCII(AF919)&amp;HEX2ASCII(AG919)&amp;HEX2ASCII(AH919)&amp;HEX2ASCII(AI919)</f>
        <v/>
      </c>
      <c r="AB919" s="147"/>
      <c r="AC919" s="148"/>
      <c r="AD919" s="148"/>
      <c r="AE919" s="148"/>
      <c r="AF919" s="148"/>
      <c r="AG919" s="148"/>
      <c r="AH919" s="148"/>
      <c r="AI919" s="149"/>
    </row>
    <row r="920" spans="11:35">
      <c r="K920" s="85"/>
      <c r="L920" s="54" t="str">
        <f t="shared" si="79"/>
        <v/>
      </c>
      <c r="M920" s="38" t="str">
        <f t="shared" si="78"/>
        <v>0490</v>
      </c>
      <c r="N920" s="69">
        <f t="shared" si="81"/>
        <v>1168</v>
      </c>
      <c r="O920" s="96"/>
      <c r="P920" s="97"/>
      <c r="Q920" s="98"/>
      <c r="R920" s="135"/>
      <c r="U920" s="48" t="str">
        <f t="shared" si="80"/>
        <v/>
      </c>
      <c r="V920" s="16"/>
      <c r="W920" s="34"/>
      <c r="X920" s="35"/>
      <c r="Z920" s="74"/>
      <c r="AA920" s="130" t="str" cm="1">
        <f t="array" ref="AA920">HEX2ASCII(AB920)&amp;HEX2ASCII(AC920)&amp;HEX2ASCII(AD920)&amp;HEX2ASCII(AE920)&amp;HEX2ASCII(AF920)&amp;HEX2ASCII(AG920)&amp;HEX2ASCII(AH920)&amp;HEX2ASCII(AI920)</f>
        <v/>
      </c>
      <c r="AB920" s="147"/>
      <c r="AC920" s="148"/>
      <c r="AD920" s="148"/>
      <c r="AE920" s="148"/>
      <c r="AF920" s="148"/>
      <c r="AG920" s="148"/>
      <c r="AH920" s="148"/>
      <c r="AI920" s="149"/>
    </row>
    <row r="921" spans="11:35">
      <c r="K921" s="85"/>
      <c r="L921" s="54" t="str">
        <f t="shared" si="79"/>
        <v/>
      </c>
      <c r="M921" s="38" t="str">
        <f t="shared" si="78"/>
        <v>0491</v>
      </c>
      <c r="N921" s="69">
        <f t="shared" si="81"/>
        <v>1169</v>
      </c>
      <c r="O921" s="96"/>
      <c r="P921" s="97"/>
      <c r="Q921" s="98"/>
      <c r="R921" s="135"/>
      <c r="U921" s="48" t="str">
        <f t="shared" si="80"/>
        <v/>
      </c>
      <c r="V921" s="16"/>
      <c r="W921" s="34"/>
      <c r="X921" s="35"/>
      <c r="Z921" s="74"/>
      <c r="AA921" s="130" t="str" cm="1">
        <f t="array" ref="AA921">HEX2ASCII(AB921)&amp;HEX2ASCII(AC921)&amp;HEX2ASCII(AD921)&amp;HEX2ASCII(AE921)&amp;HEX2ASCII(AF921)&amp;HEX2ASCII(AG921)&amp;HEX2ASCII(AH921)&amp;HEX2ASCII(AI921)</f>
        <v/>
      </c>
      <c r="AB921" s="147"/>
      <c r="AC921" s="148"/>
      <c r="AD921" s="148"/>
      <c r="AE921" s="148"/>
      <c r="AF921" s="148"/>
      <c r="AG921" s="148"/>
      <c r="AH921" s="148"/>
      <c r="AI921" s="149"/>
    </row>
    <row r="922" spans="11:35">
      <c r="K922" s="85"/>
      <c r="L922" s="54" t="str">
        <f t="shared" si="79"/>
        <v/>
      </c>
      <c r="M922" s="38" t="str">
        <f t="shared" si="78"/>
        <v>0492</v>
      </c>
      <c r="N922" s="69">
        <f t="shared" si="81"/>
        <v>1170</v>
      </c>
      <c r="O922" s="96"/>
      <c r="P922" s="97"/>
      <c r="Q922" s="98"/>
      <c r="R922" s="135"/>
      <c r="U922" s="48" t="str">
        <f t="shared" si="80"/>
        <v/>
      </c>
      <c r="V922" s="16"/>
      <c r="W922" s="34"/>
      <c r="X922" s="35"/>
      <c r="Z922" s="74"/>
      <c r="AA922" s="130" t="str" cm="1">
        <f t="array" ref="AA922">HEX2ASCII(AB922)&amp;HEX2ASCII(AC922)&amp;HEX2ASCII(AD922)&amp;HEX2ASCII(AE922)&amp;HEX2ASCII(AF922)&amp;HEX2ASCII(AG922)&amp;HEX2ASCII(AH922)&amp;HEX2ASCII(AI922)</f>
        <v/>
      </c>
      <c r="AB922" s="147"/>
      <c r="AC922" s="148"/>
      <c r="AD922" s="148"/>
      <c r="AE922" s="148"/>
      <c r="AF922" s="148"/>
      <c r="AG922" s="148"/>
      <c r="AH922" s="148"/>
      <c r="AI922" s="149"/>
    </row>
    <row r="923" spans="11:35">
      <c r="K923" s="85"/>
      <c r="L923" s="54" t="str">
        <f t="shared" si="79"/>
        <v/>
      </c>
      <c r="M923" s="38" t="str">
        <f t="shared" si="78"/>
        <v>0493</v>
      </c>
      <c r="N923" s="69">
        <f t="shared" si="81"/>
        <v>1171</v>
      </c>
      <c r="O923" s="96"/>
      <c r="P923" s="97"/>
      <c r="Q923" s="98"/>
      <c r="R923" s="135"/>
      <c r="U923" s="48" t="str">
        <f t="shared" si="80"/>
        <v/>
      </c>
      <c r="V923" s="16"/>
      <c r="W923" s="34"/>
      <c r="X923" s="35"/>
      <c r="Z923" s="74"/>
      <c r="AA923" s="130" t="str" cm="1">
        <f t="array" ref="AA923">HEX2ASCII(AB923)&amp;HEX2ASCII(AC923)&amp;HEX2ASCII(AD923)&amp;HEX2ASCII(AE923)&amp;HEX2ASCII(AF923)&amp;HEX2ASCII(AG923)&amp;HEX2ASCII(AH923)&amp;HEX2ASCII(AI923)</f>
        <v/>
      </c>
      <c r="AB923" s="147"/>
      <c r="AC923" s="148"/>
      <c r="AD923" s="148"/>
      <c r="AE923" s="148"/>
      <c r="AF923" s="148"/>
      <c r="AG923" s="148"/>
      <c r="AH923" s="148"/>
      <c r="AI923" s="149"/>
    </row>
    <row r="924" spans="11:35">
      <c r="K924" s="85"/>
      <c r="L924" s="54" t="str">
        <f t="shared" si="79"/>
        <v/>
      </c>
      <c r="M924" s="38" t="str">
        <f t="shared" si="78"/>
        <v>0494</v>
      </c>
      <c r="N924" s="69">
        <f t="shared" si="81"/>
        <v>1172</v>
      </c>
      <c r="O924" s="96"/>
      <c r="P924" s="97"/>
      <c r="Q924" s="98"/>
      <c r="R924" s="135"/>
      <c r="U924" s="48" t="str">
        <f t="shared" si="80"/>
        <v/>
      </c>
      <c r="V924" s="16"/>
      <c r="W924" s="34"/>
      <c r="X924" s="35"/>
      <c r="Z924" s="74"/>
      <c r="AA924" s="130" t="str" cm="1">
        <f t="array" ref="AA924">HEX2ASCII(AB924)&amp;HEX2ASCII(AC924)&amp;HEX2ASCII(AD924)&amp;HEX2ASCII(AE924)&amp;HEX2ASCII(AF924)&amp;HEX2ASCII(AG924)&amp;HEX2ASCII(AH924)&amp;HEX2ASCII(AI924)</f>
        <v/>
      </c>
      <c r="AB924" s="147"/>
      <c r="AC924" s="148"/>
      <c r="AD924" s="148"/>
      <c r="AE924" s="148"/>
      <c r="AF924" s="148"/>
      <c r="AG924" s="148"/>
      <c r="AH924" s="148"/>
      <c r="AI924" s="149"/>
    </row>
    <row r="925" spans="11:35">
      <c r="K925" s="85"/>
      <c r="L925" s="54" t="str">
        <f t="shared" si="79"/>
        <v/>
      </c>
      <c r="M925" s="38" t="str">
        <f t="shared" ref="M925:M988" si="82">IFERROR(RIGHT("0000"&amp;DEC2HEX(N925),4),"")</f>
        <v>0495</v>
      </c>
      <c r="N925" s="69">
        <f t="shared" si="81"/>
        <v>1173</v>
      </c>
      <c r="O925" s="96"/>
      <c r="P925" s="97"/>
      <c r="Q925" s="98"/>
      <c r="R925" s="135"/>
      <c r="U925" s="48" t="str">
        <f t="shared" si="80"/>
        <v/>
      </c>
      <c r="V925" s="16"/>
      <c r="W925" s="34"/>
      <c r="X925" s="35"/>
      <c r="Z925" s="74"/>
      <c r="AA925" s="130" t="str" cm="1">
        <f t="array" ref="AA925">HEX2ASCII(AB925)&amp;HEX2ASCII(AC925)&amp;HEX2ASCII(AD925)&amp;HEX2ASCII(AE925)&amp;HEX2ASCII(AF925)&amp;HEX2ASCII(AG925)&amp;HEX2ASCII(AH925)&amp;HEX2ASCII(AI925)</f>
        <v/>
      </c>
      <c r="AB925" s="147"/>
      <c r="AC925" s="148"/>
      <c r="AD925" s="148"/>
      <c r="AE925" s="148"/>
      <c r="AF925" s="148"/>
      <c r="AG925" s="148"/>
      <c r="AH925" s="148"/>
      <c r="AI925" s="149"/>
    </row>
    <row r="926" spans="11:35">
      <c r="K926" s="85"/>
      <c r="L926" s="54" t="str">
        <f t="shared" si="79"/>
        <v/>
      </c>
      <c r="M926" s="38" t="str">
        <f t="shared" si="82"/>
        <v>0496</v>
      </c>
      <c r="N926" s="69">
        <f t="shared" si="81"/>
        <v>1174</v>
      </c>
      <c r="O926" s="96"/>
      <c r="P926" s="97"/>
      <c r="Q926" s="98"/>
      <c r="R926" s="135"/>
      <c r="U926" s="48" t="str">
        <f t="shared" si="80"/>
        <v/>
      </c>
      <c r="V926" s="16"/>
      <c r="W926" s="34"/>
      <c r="X926" s="35"/>
      <c r="Z926" s="74"/>
      <c r="AA926" s="130" t="str" cm="1">
        <f t="array" ref="AA926">HEX2ASCII(AB926)&amp;HEX2ASCII(AC926)&amp;HEX2ASCII(AD926)&amp;HEX2ASCII(AE926)&amp;HEX2ASCII(AF926)&amp;HEX2ASCII(AG926)&amp;HEX2ASCII(AH926)&amp;HEX2ASCII(AI926)</f>
        <v/>
      </c>
      <c r="AB926" s="147"/>
      <c r="AC926" s="148"/>
      <c r="AD926" s="148"/>
      <c r="AE926" s="148"/>
      <c r="AF926" s="148"/>
      <c r="AG926" s="148"/>
      <c r="AH926" s="148"/>
      <c r="AI926" s="149"/>
    </row>
    <row r="927" spans="11:35">
      <c r="K927" s="85"/>
      <c r="L927" s="54" t="str">
        <f t="shared" si="79"/>
        <v/>
      </c>
      <c r="M927" s="38" t="str">
        <f t="shared" si="82"/>
        <v>0497</v>
      </c>
      <c r="N927" s="69">
        <f t="shared" si="81"/>
        <v>1175</v>
      </c>
      <c r="O927" s="96"/>
      <c r="P927" s="97"/>
      <c r="Q927" s="98"/>
      <c r="R927" s="135"/>
      <c r="U927" s="48" t="str">
        <f t="shared" si="80"/>
        <v/>
      </c>
      <c r="V927" s="16"/>
      <c r="W927" s="34"/>
      <c r="X927" s="35"/>
      <c r="Z927" s="74"/>
      <c r="AA927" s="130" t="str" cm="1">
        <f t="array" ref="AA927">HEX2ASCII(AB927)&amp;HEX2ASCII(AC927)&amp;HEX2ASCII(AD927)&amp;HEX2ASCII(AE927)&amp;HEX2ASCII(AF927)&amp;HEX2ASCII(AG927)&amp;HEX2ASCII(AH927)&amp;HEX2ASCII(AI927)</f>
        <v/>
      </c>
      <c r="AB927" s="147"/>
      <c r="AC927" s="148"/>
      <c r="AD927" s="148"/>
      <c r="AE927" s="148"/>
      <c r="AF927" s="148"/>
      <c r="AG927" s="148"/>
      <c r="AH927" s="148"/>
      <c r="AI927" s="149"/>
    </row>
    <row r="928" spans="11:35">
      <c r="K928" s="85"/>
      <c r="L928" s="54" t="str">
        <f t="shared" si="79"/>
        <v/>
      </c>
      <c r="M928" s="38" t="str">
        <f t="shared" si="82"/>
        <v>0498</v>
      </c>
      <c r="N928" s="69">
        <f t="shared" si="81"/>
        <v>1176</v>
      </c>
      <c r="O928" s="96"/>
      <c r="P928" s="97"/>
      <c r="Q928" s="98"/>
      <c r="R928" s="135"/>
      <c r="U928" s="48" t="str">
        <f t="shared" si="80"/>
        <v/>
      </c>
      <c r="V928" s="16"/>
      <c r="W928" s="34"/>
      <c r="X928" s="35"/>
      <c r="Z928" s="74"/>
      <c r="AA928" s="130" t="str" cm="1">
        <f t="array" ref="AA928">HEX2ASCII(AB928)&amp;HEX2ASCII(AC928)&amp;HEX2ASCII(AD928)&amp;HEX2ASCII(AE928)&amp;HEX2ASCII(AF928)&amp;HEX2ASCII(AG928)&amp;HEX2ASCII(AH928)&amp;HEX2ASCII(AI928)</f>
        <v/>
      </c>
      <c r="AB928" s="147"/>
      <c r="AC928" s="148"/>
      <c r="AD928" s="148"/>
      <c r="AE928" s="148"/>
      <c r="AF928" s="148"/>
      <c r="AG928" s="148"/>
      <c r="AH928" s="148"/>
      <c r="AI928" s="149"/>
    </row>
    <row r="929" spans="11:35">
      <c r="K929" s="85"/>
      <c r="L929" s="54" t="str">
        <f t="shared" si="79"/>
        <v/>
      </c>
      <c r="M929" s="38" t="str">
        <f t="shared" si="82"/>
        <v>0499</v>
      </c>
      <c r="N929" s="69">
        <f t="shared" si="81"/>
        <v>1177</v>
      </c>
      <c r="O929" s="96"/>
      <c r="P929" s="97"/>
      <c r="Q929" s="98"/>
      <c r="R929" s="135"/>
      <c r="U929" s="48" t="str">
        <f t="shared" si="80"/>
        <v/>
      </c>
      <c r="V929" s="16"/>
      <c r="W929" s="34"/>
      <c r="X929" s="35"/>
      <c r="Z929" s="74"/>
      <c r="AA929" s="130" t="str" cm="1">
        <f t="array" ref="AA929">HEX2ASCII(AB929)&amp;HEX2ASCII(AC929)&amp;HEX2ASCII(AD929)&amp;HEX2ASCII(AE929)&amp;HEX2ASCII(AF929)&amp;HEX2ASCII(AG929)&amp;HEX2ASCII(AH929)&amp;HEX2ASCII(AI929)</f>
        <v/>
      </c>
      <c r="AB929" s="147"/>
      <c r="AC929" s="148"/>
      <c r="AD929" s="148"/>
      <c r="AE929" s="148"/>
      <c r="AF929" s="148"/>
      <c r="AG929" s="148"/>
      <c r="AH929" s="148"/>
      <c r="AI929" s="149"/>
    </row>
    <row r="930" spans="11:35">
      <c r="K930" s="85"/>
      <c r="L930" s="54" t="str">
        <f t="shared" si="79"/>
        <v/>
      </c>
      <c r="M930" s="38" t="str">
        <f t="shared" si="82"/>
        <v>049A</v>
      </c>
      <c r="N930" s="69">
        <f t="shared" si="81"/>
        <v>1178</v>
      </c>
      <c r="O930" s="96"/>
      <c r="P930" s="97"/>
      <c r="Q930" s="98"/>
      <c r="R930" s="135"/>
      <c r="U930" s="48" t="str">
        <f t="shared" si="80"/>
        <v/>
      </c>
      <c r="V930" s="16"/>
      <c r="W930" s="34"/>
      <c r="X930" s="35"/>
      <c r="Z930" s="74"/>
      <c r="AA930" s="130" t="str" cm="1">
        <f t="array" ref="AA930">HEX2ASCII(AB930)&amp;HEX2ASCII(AC930)&amp;HEX2ASCII(AD930)&amp;HEX2ASCII(AE930)&amp;HEX2ASCII(AF930)&amp;HEX2ASCII(AG930)&amp;HEX2ASCII(AH930)&amp;HEX2ASCII(AI930)</f>
        <v/>
      </c>
      <c r="AB930" s="147"/>
      <c r="AC930" s="148"/>
      <c r="AD930" s="148"/>
      <c r="AE930" s="148"/>
      <c r="AF930" s="148"/>
      <c r="AG930" s="148"/>
      <c r="AH930" s="148"/>
      <c r="AI930" s="149"/>
    </row>
    <row r="931" spans="11:35">
      <c r="K931" s="85"/>
      <c r="L931" s="54" t="str">
        <f t="shared" si="79"/>
        <v/>
      </c>
      <c r="M931" s="38" t="str">
        <f t="shared" si="82"/>
        <v>049B</v>
      </c>
      <c r="N931" s="69">
        <f t="shared" si="81"/>
        <v>1179</v>
      </c>
      <c r="O931" s="96"/>
      <c r="P931" s="97"/>
      <c r="Q931" s="98"/>
      <c r="R931" s="135"/>
      <c r="U931" s="48" t="str">
        <f t="shared" si="80"/>
        <v/>
      </c>
      <c r="V931" s="16"/>
      <c r="W931" s="34"/>
      <c r="X931" s="35"/>
      <c r="Z931" s="74"/>
      <c r="AA931" s="130" t="str" cm="1">
        <f t="array" ref="AA931">HEX2ASCII(AB931)&amp;HEX2ASCII(AC931)&amp;HEX2ASCII(AD931)&amp;HEX2ASCII(AE931)&amp;HEX2ASCII(AF931)&amp;HEX2ASCII(AG931)&amp;HEX2ASCII(AH931)&amp;HEX2ASCII(AI931)</f>
        <v/>
      </c>
      <c r="AB931" s="147"/>
      <c r="AC931" s="148"/>
      <c r="AD931" s="148"/>
      <c r="AE931" s="148"/>
      <c r="AF931" s="148"/>
      <c r="AG931" s="148"/>
      <c r="AH931" s="148"/>
      <c r="AI931" s="149"/>
    </row>
    <row r="932" spans="11:35">
      <c r="K932" s="85"/>
      <c r="L932" s="54" t="str">
        <f t="shared" si="79"/>
        <v/>
      </c>
      <c r="M932" s="38" t="str">
        <f t="shared" si="82"/>
        <v>049C</v>
      </c>
      <c r="N932" s="69">
        <f t="shared" si="81"/>
        <v>1180</v>
      </c>
      <c r="O932" s="96"/>
      <c r="P932" s="97"/>
      <c r="Q932" s="98"/>
      <c r="R932" s="135"/>
      <c r="U932" s="48" t="str">
        <f t="shared" si="80"/>
        <v/>
      </c>
      <c r="V932" s="16"/>
      <c r="W932" s="34"/>
      <c r="X932" s="35"/>
      <c r="Z932" s="74"/>
      <c r="AA932" s="130" t="str" cm="1">
        <f t="array" ref="AA932">HEX2ASCII(AB932)&amp;HEX2ASCII(AC932)&amp;HEX2ASCII(AD932)&amp;HEX2ASCII(AE932)&amp;HEX2ASCII(AF932)&amp;HEX2ASCII(AG932)&amp;HEX2ASCII(AH932)&amp;HEX2ASCII(AI932)</f>
        <v/>
      </c>
      <c r="AB932" s="147"/>
      <c r="AC932" s="148"/>
      <c r="AD932" s="148"/>
      <c r="AE932" s="148"/>
      <c r="AF932" s="148"/>
      <c r="AG932" s="148"/>
      <c r="AH932" s="148"/>
      <c r="AI932" s="149"/>
    </row>
    <row r="933" spans="11:35">
      <c r="K933" s="85"/>
      <c r="L933" s="54" t="str">
        <f t="shared" si="79"/>
        <v/>
      </c>
      <c r="M933" s="38" t="str">
        <f t="shared" si="82"/>
        <v>049D</v>
      </c>
      <c r="N933" s="69">
        <f t="shared" si="81"/>
        <v>1181</v>
      </c>
      <c r="O933" s="96"/>
      <c r="P933" s="97"/>
      <c r="Q933" s="98"/>
      <c r="R933" s="135"/>
      <c r="U933" s="48" t="str">
        <f t="shared" si="80"/>
        <v/>
      </c>
      <c r="V933" s="16"/>
      <c r="W933" s="34"/>
      <c r="X933" s="35"/>
      <c r="Z933" s="74"/>
      <c r="AA933" s="130" t="str" cm="1">
        <f t="array" ref="AA933">HEX2ASCII(AB933)&amp;HEX2ASCII(AC933)&amp;HEX2ASCII(AD933)&amp;HEX2ASCII(AE933)&amp;HEX2ASCII(AF933)&amp;HEX2ASCII(AG933)&amp;HEX2ASCII(AH933)&amp;HEX2ASCII(AI933)</f>
        <v/>
      </c>
      <c r="AB933" s="147"/>
      <c r="AC933" s="148"/>
      <c r="AD933" s="148"/>
      <c r="AE933" s="148"/>
      <c r="AF933" s="148"/>
      <c r="AG933" s="148"/>
      <c r="AH933" s="148"/>
      <c r="AI933" s="149"/>
    </row>
    <row r="934" spans="11:35">
      <c r="K934" s="85"/>
      <c r="L934" s="54" t="str">
        <f t="shared" si="79"/>
        <v/>
      </c>
      <c r="M934" s="38" t="str">
        <f t="shared" si="82"/>
        <v>049E</v>
      </c>
      <c r="N934" s="69">
        <f t="shared" si="81"/>
        <v>1182</v>
      </c>
      <c r="O934" s="96"/>
      <c r="P934" s="97"/>
      <c r="Q934" s="98"/>
      <c r="R934" s="135"/>
      <c r="U934" s="48" t="str">
        <f t="shared" si="80"/>
        <v/>
      </c>
      <c r="V934" s="16"/>
      <c r="W934" s="34"/>
      <c r="X934" s="35"/>
      <c r="Z934" s="74"/>
      <c r="AA934" s="130" t="str" cm="1">
        <f t="array" ref="AA934">HEX2ASCII(AB934)&amp;HEX2ASCII(AC934)&amp;HEX2ASCII(AD934)&amp;HEX2ASCII(AE934)&amp;HEX2ASCII(AF934)&amp;HEX2ASCII(AG934)&amp;HEX2ASCII(AH934)&amp;HEX2ASCII(AI934)</f>
        <v/>
      </c>
      <c r="AB934" s="147"/>
      <c r="AC934" s="148"/>
      <c r="AD934" s="148"/>
      <c r="AE934" s="148"/>
      <c r="AF934" s="148"/>
      <c r="AG934" s="148"/>
      <c r="AH934" s="148"/>
      <c r="AI934" s="149"/>
    </row>
    <row r="935" spans="11:35">
      <c r="K935" s="85"/>
      <c r="L935" s="54" t="str">
        <f t="shared" si="79"/>
        <v/>
      </c>
      <c r="M935" s="38" t="str">
        <f t="shared" si="82"/>
        <v>049F</v>
      </c>
      <c r="N935" s="69">
        <f t="shared" si="81"/>
        <v>1183</v>
      </c>
      <c r="O935" s="96"/>
      <c r="P935" s="97"/>
      <c r="Q935" s="98"/>
      <c r="R935" s="135"/>
      <c r="U935" s="48" t="str">
        <f t="shared" si="80"/>
        <v/>
      </c>
      <c r="V935" s="16"/>
      <c r="W935" s="34"/>
      <c r="X935" s="35"/>
      <c r="Z935" s="74"/>
      <c r="AA935" s="130" t="str" cm="1">
        <f t="array" ref="AA935">HEX2ASCII(AB935)&amp;HEX2ASCII(AC935)&amp;HEX2ASCII(AD935)&amp;HEX2ASCII(AE935)&amp;HEX2ASCII(AF935)&amp;HEX2ASCII(AG935)&amp;HEX2ASCII(AH935)&amp;HEX2ASCII(AI935)</f>
        <v/>
      </c>
      <c r="AB935" s="147"/>
      <c r="AC935" s="148"/>
      <c r="AD935" s="148"/>
      <c r="AE935" s="148"/>
      <c r="AF935" s="148"/>
      <c r="AG935" s="148"/>
      <c r="AH935" s="148"/>
      <c r="AI935" s="149"/>
    </row>
    <row r="936" spans="11:35">
      <c r="K936" s="85"/>
      <c r="L936" s="54" t="str">
        <f t="shared" si="79"/>
        <v/>
      </c>
      <c r="M936" s="38" t="str">
        <f t="shared" si="82"/>
        <v>04A0</v>
      </c>
      <c r="N936" s="69">
        <f t="shared" si="81"/>
        <v>1184</v>
      </c>
      <c r="O936" s="96"/>
      <c r="P936" s="97"/>
      <c r="Q936" s="98"/>
      <c r="R936" s="135"/>
      <c r="U936" s="48" t="str">
        <f t="shared" si="80"/>
        <v/>
      </c>
      <c r="V936" s="16"/>
      <c r="W936" s="34"/>
      <c r="X936" s="35"/>
      <c r="Z936" s="74"/>
      <c r="AA936" s="130" t="str" cm="1">
        <f t="array" ref="AA936">HEX2ASCII(AB936)&amp;HEX2ASCII(AC936)&amp;HEX2ASCII(AD936)&amp;HEX2ASCII(AE936)&amp;HEX2ASCII(AF936)&amp;HEX2ASCII(AG936)&amp;HEX2ASCII(AH936)&amp;HEX2ASCII(AI936)</f>
        <v/>
      </c>
      <c r="AB936" s="147"/>
      <c r="AC936" s="148"/>
      <c r="AD936" s="148"/>
      <c r="AE936" s="148"/>
      <c r="AF936" s="148"/>
      <c r="AG936" s="148"/>
      <c r="AH936" s="148"/>
      <c r="AI936" s="149"/>
    </row>
    <row r="937" spans="11:35">
      <c r="K937" s="85"/>
      <c r="L937" s="54" t="str">
        <f t="shared" si="79"/>
        <v/>
      </c>
      <c r="M937" s="38" t="str">
        <f t="shared" si="82"/>
        <v>04A1</v>
      </c>
      <c r="N937" s="69">
        <f t="shared" si="81"/>
        <v>1185</v>
      </c>
      <c r="O937" s="96"/>
      <c r="P937" s="97"/>
      <c r="Q937" s="98"/>
      <c r="R937" s="135"/>
      <c r="U937" s="48" t="str">
        <f t="shared" si="80"/>
        <v/>
      </c>
      <c r="V937" s="16"/>
      <c r="W937" s="34"/>
      <c r="X937" s="35"/>
      <c r="Z937" s="74"/>
      <c r="AA937" s="130" t="str" cm="1">
        <f t="array" ref="AA937">HEX2ASCII(AB937)&amp;HEX2ASCII(AC937)&amp;HEX2ASCII(AD937)&amp;HEX2ASCII(AE937)&amp;HEX2ASCII(AF937)&amp;HEX2ASCII(AG937)&amp;HEX2ASCII(AH937)&amp;HEX2ASCII(AI937)</f>
        <v/>
      </c>
      <c r="AB937" s="147"/>
      <c r="AC937" s="148"/>
      <c r="AD937" s="148"/>
      <c r="AE937" s="148"/>
      <c r="AF937" s="148"/>
      <c r="AG937" s="148"/>
      <c r="AH937" s="148"/>
      <c r="AI937" s="149"/>
    </row>
    <row r="938" spans="11:35">
      <c r="K938" s="85"/>
      <c r="L938" s="54" t="str">
        <f t="shared" si="79"/>
        <v/>
      </c>
      <c r="M938" s="38" t="str">
        <f t="shared" si="82"/>
        <v>04A2</v>
      </c>
      <c r="N938" s="69">
        <f t="shared" si="81"/>
        <v>1186</v>
      </c>
      <c r="O938" s="96"/>
      <c r="P938" s="97"/>
      <c r="Q938" s="98"/>
      <c r="R938" s="135"/>
      <c r="U938" s="48" t="str">
        <f t="shared" si="80"/>
        <v/>
      </c>
      <c r="V938" s="16"/>
      <c r="W938" s="34"/>
      <c r="X938" s="35"/>
      <c r="Z938" s="74"/>
      <c r="AA938" s="130" t="str" cm="1">
        <f t="array" ref="AA938">HEX2ASCII(AB938)&amp;HEX2ASCII(AC938)&amp;HEX2ASCII(AD938)&amp;HEX2ASCII(AE938)&amp;HEX2ASCII(AF938)&amp;HEX2ASCII(AG938)&amp;HEX2ASCII(AH938)&amp;HEX2ASCII(AI938)</f>
        <v/>
      </c>
      <c r="AB938" s="147"/>
      <c r="AC938" s="148"/>
      <c r="AD938" s="148"/>
      <c r="AE938" s="148"/>
      <c r="AF938" s="148"/>
      <c r="AG938" s="148"/>
      <c r="AH938" s="148"/>
      <c r="AI938" s="149"/>
    </row>
    <row r="939" spans="11:35">
      <c r="K939" s="85"/>
      <c r="L939" s="54" t="str">
        <f t="shared" si="79"/>
        <v/>
      </c>
      <c r="M939" s="38" t="str">
        <f t="shared" si="82"/>
        <v>04A3</v>
      </c>
      <c r="N939" s="69">
        <f t="shared" si="81"/>
        <v>1187</v>
      </c>
      <c r="O939" s="96"/>
      <c r="P939" s="97"/>
      <c r="Q939" s="98"/>
      <c r="R939" s="135"/>
      <c r="U939" s="48" t="str">
        <f t="shared" si="80"/>
        <v/>
      </c>
      <c r="V939" s="16"/>
      <c r="W939" s="34"/>
      <c r="X939" s="35"/>
      <c r="Z939" s="74"/>
      <c r="AA939" s="130" t="str" cm="1">
        <f t="array" ref="AA939">HEX2ASCII(AB939)&amp;HEX2ASCII(AC939)&amp;HEX2ASCII(AD939)&amp;HEX2ASCII(AE939)&amp;HEX2ASCII(AF939)&amp;HEX2ASCII(AG939)&amp;HEX2ASCII(AH939)&amp;HEX2ASCII(AI939)</f>
        <v/>
      </c>
      <c r="AB939" s="147"/>
      <c r="AC939" s="148"/>
      <c r="AD939" s="148"/>
      <c r="AE939" s="148"/>
      <c r="AF939" s="148"/>
      <c r="AG939" s="148"/>
      <c r="AH939" s="148"/>
      <c r="AI939" s="149"/>
    </row>
    <row r="940" spans="11:35">
      <c r="K940" s="85"/>
      <c r="L940" s="54" t="str">
        <f t="shared" si="79"/>
        <v/>
      </c>
      <c r="M940" s="38" t="str">
        <f t="shared" si="82"/>
        <v>04A4</v>
      </c>
      <c r="N940" s="69">
        <f t="shared" si="81"/>
        <v>1188</v>
      </c>
      <c r="O940" s="96"/>
      <c r="P940" s="97"/>
      <c r="Q940" s="98"/>
      <c r="R940" s="135"/>
      <c r="U940" s="48" t="str">
        <f t="shared" si="80"/>
        <v/>
      </c>
      <c r="V940" s="16"/>
      <c r="W940" s="34"/>
      <c r="X940" s="35"/>
      <c r="Z940" s="74"/>
      <c r="AA940" s="130" t="str" cm="1">
        <f t="array" ref="AA940">HEX2ASCII(AB940)&amp;HEX2ASCII(AC940)&amp;HEX2ASCII(AD940)&amp;HEX2ASCII(AE940)&amp;HEX2ASCII(AF940)&amp;HEX2ASCII(AG940)&amp;HEX2ASCII(AH940)&amp;HEX2ASCII(AI940)</f>
        <v/>
      </c>
      <c r="AB940" s="147"/>
      <c r="AC940" s="148"/>
      <c r="AD940" s="148"/>
      <c r="AE940" s="148"/>
      <c r="AF940" s="148"/>
      <c r="AG940" s="148"/>
      <c r="AH940" s="148"/>
      <c r="AI940" s="149"/>
    </row>
    <row r="941" spans="11:35">
      <c r="K941" s="85"/>
      <c r="L941" s="54" t="str">
        <f t="shared" si="79"/>
        <v/>
      </c>
      <c r="M941" s="38" t="str">
        <f t="shared" si="82"/>
        <v>04A5</v>
      </c>
      <c r="N941" s="69">
        <f t="shared" si="81"/>
        <v>1189</v>
      </c>
      <c r="O941" s="96"/>
      <c r="P941" s="97"/>
      <c r="Q941" s="98"/>
      <c r="R941" s="135"/>
      <c r="U941" s="48" t="str">
        <f t="shared" si="80"/>
        <v/>
      </c>
      <c r="V941" s="16"/>
      <c r="W941" s="34"/>
      <c r="X941" s="35"/>
      <c r="Z941" s="74"/>
      <c r="AA941" s="130" t="str" cm="1">
        <f t="array" ref="AA941">HEX2ASCII(AB941)&amp;HEX2ASCII(AC941)&amp;HEX2ASCII(AD941)&amp;HEX2ASCII(AE941)&amp;HEX2ASCII(AF941)&amp;HEX2ASCII(AG941)&amp;HEX2ASCII(AH941)&amp;HEX2ASCII(AI941)</f>
        <v/>
      </c>
      <c r="AB941" s="147"/>
      <c r="AC941" s="148"/>
      <c r="AD941" s="148"/>
      <c r="AE941" s="148"/>
      <c r="AF941" s="148"/>
      <c r="AG941" s="148"/>
      <c r="AH941" s="148"/>
      <c r="AI941" s="149"/>
    </row>
    <row r="942" spans="11:35">
      <c r="K942" s="85"/>
      <c r="L942" s="54" t="str">
        <f t="shared" si="79"/>
        <v/>
      </c>
      <c r="M942" s="38" t="str">
        <f t="shared" si="82"/>
        <v>04A6</v>
      </c>
      <c r="N942" s="69">
        <f t="shared" si="81"/>
        <v>1190</v>
      </c>
      <c r="O942" s="96"/>
      <c r="P942" s="97"/>
      <c r="Q942" s="98"/>
      <c r="R942" s="135"/>
      <c r="U942" s="48" t="str">
        <f t="shared" si="80"/>
        <v/>
      </c>
      <c r="V942" s="16"/>
      <c r="W942" s="34"/>
      <c r="X942" s="35"/>
      <c r="Z942" s="74"/>
      <c r="AA942" s="130" t="str" cm="1">
        <f t="array" ref="AA942">HEX2ASCII(AB942)&amp;HEX2ASCII(AC942)&amp;HEX2ASCII(AD942)&amp;HEX2ASCII(AE942)&amp;HEX2ASCII(AF942)&amp;HEX2ASCII(AG942)&amp;HEX2ASCII(AH942)&amp;HEX2ASCII(AI942)</f>
        <v/>
      </c>
      <c r="AB942" s="147"/>
      <c r="AC942" s="148"/>
      <c r="AD942" s="148"/>
      <c r="AE942" s="148"/>
      <c r="AF942" s="148"/>
      <c r="AG942" s="148"/>
      <c r="AH942" s="148"/>
      <c r="AI942" s="149"/>
    </row>
    <row r="943" spans="11:35">
      <c r="K943" s="85"/>
      <c r="L943" s="54" t="str">
        <f t="shared" si="79"/>
        <v/>
      </c>
      <c r="M943" s="38" t="str">
        <f t="shared" si="82"/>
        <v>04A7</v>
      </c>
      <c r="N943" s="69">
        <f t="shared" si="81"/>
        <v>1191</v>
      </c>
      <c r="O943" s="96"/>
      <c r="P943" s="97"/>
      <c r="Q943" s="98"/>
      <c r="R943" s="135"/>
      <c r="U943" s="48" t="str">
        <f t="shared" si="80"/>
        <v/>
      </c>
      <c r="V943" s="16"/>
      <c r="W943" s="34"/>
      <c r="X943" s="35"/>
      <c r="Z943" s="74"/>
      <c r="AA943" s="130" t="str" cm="1">
        <f t="array" ref="AA943">HEX2ASCII(AB943)&amp;HEX2ASCII(AC943)&amp;HEX2ASCII(AD943)&amp;HEX2ASCII(AE943)&amp;HEX2ASCII(AF943)&amp;HEX2ASCII(AG943)&amp;HEX2ASCII(AH943)&amp;HEX2ASCII(AI943)</f>
        <v/>
      </c>
      <c r="AB943" s="147"/>
      <c r="AC943" s="148"/>
      <c r="AD943" s="148"/>
      <c r="AE943" s="148"/>
      <c r="AF943" s="148"/>
      <c r="AG943" s="148"/>
      <c r="AH943" s="148"/>
      <c r="AI943" s="149"/>
    </row>
    <row r="944" spans="11:35">
      <c r="K944" s="85"/>
      <c r="L944" s="54" t="str">
        <f t="shared" si="79"/>
        <v/>
      </c>
      <c r="M944" s="38" t="str">
        <f t="shared" si="82"/>
        <v>04A8</v>
      </c>
      <c r="N944" s="69">
        <f t="shared" si="81"/>
        <v>1192</v>
      </c>
      <c r="O944" s="96"/>
      <c r="P944" s="97"/>
      <c r="Q944" s="98"/>
      <c r="R944" s="135"/>
      <c r="U944" s="48" t="str">
        <f t="shared" si="80"/>
        <v/>
      </c>
      <c r="V944" s="16"/>
      <c r="W944" s="34"/>
      <c r="X944" s="35"/>
      <c r="Z944" s="74"/>
      <c r="AA944" s="130" t="str" cm="1">
        <f t="array" ref="AA944">HEX2ASCII(AB944)&amp;HEX2ASCII(AC944)&amp;HEX2ASCII(AD944)&amp;HEX2ASCII(AE944)&amp;HEX2ASCII(AF944)&amp;HEX2ASCII(AG944)&amp;HEX2ASCII(AH944)&amp;HEX2ASCII(AI944)</f>
        <v/>
      </c>
      <c r="AB944" s="147"/>
      <c r="AC944" s="148"/>
      <c r="AD944" s="148"/>
      <c r="AE944" s="148"/>
      <c r="AF944" s="148"/>
      <c r="AG944" s="148"/>
      <c r="AH944" s="148"/>
      <c r="AI944" s="149"/>
    </row>
    <row r="945" spans="11:35">
      <c r="K945" s="85"/>
      <c r="L945" s="54" t="str">
        <f t="shared" si="79"/>
        <v/>
      </c>
      <c r="M945" s="38" t="str">
        <f t="shared" si="82"/>
        <v>04A9</v>
      </c>
      <c r="N945" s="69">
        <f t="shared" si="81"/>
        <v>1193</v>
      </c>
      <c r="O945" s="96"/>
      <c r="P945" s="97"/>
      <c r="Q945" s="98"/>
      <c r="R945" s="135"/>
      <c r="U945" s="48" t="str">
        <f t="shared" si="80"/>
        <v/>
      </c>
      <c r="V945" s="16"/>
      <c r="W945" s="34"/>
      <c r="X945" s="35"/>
      <c r="Z945" s="74"/>
      <c r="AA945" s="130" t="str" cm="1">
        <f t="array" ref="AA945">HEX2ASCII(AB945)&amp;HEX2ASCII(AC945)&amp;HEX2ASCII(AD945)&amp;HEX2ASCII(AE945)&amp;HEX2ASCII(AF945)&amp;HEX2ASCII(AG945)&amp;HEX2ASCII(AH945)&amp;HEX2ASCII(AI945)</f>
        <v/>
      </c>
      <c r="AB945" s="147"/>
      <c r="AC945" s="148"/>
      <c r="AD945" s="148"/>
      <c r="AE945" s="148"/>
      <c r="AF945" s="148"/>
      <c r="AG945" s="148"/>
      <c r="AH945" s="148"/>
      <c r="AI945" s="149"/>
    </row>
    <row r="946" spans="11:35">
      <c r="K946" s="85"/>
      <c r="L946" s="54" t="str">
        <f t="shared" si="79"/>
        <v/>
      </c>
      <c r="M946" s="38" t="str">
        <f t="shared" si="82"/>
        <v>04AA</v>
      </c>
      <c r="N946" s="69">
        <f t="shared" si="81"/>
        <v>1194</v>
      </c>
      <c r="O946" s="96"/>
      <c r="P946" s="97"/>
      <c r="Q946" s="98"/>
      <c r="R946" s="135"/>
      <c r="U946" s="48" t="str">
        <f t="shared" si="80"/>
        <v/>
      </c>
      <c r="V946" s="16"/>
      <c r="W946" s="34"/>
      <c r="X946" s="35"/>
      <c r="Z946" s="74"/>
      <c r="AA946" s="130" t="str" cm="1">
        <f t="array" ref="AA946">HEX2ASCII(AB946)&amp;HEX2ASCII(AC946)&amp;HEX2ASCII(AD946)&amp;HEX2ASCII(AE946)&amp;HEX2ASCII(AF946)&amp;HEX2ASCII(AG946)&amp;HEX2ASCII(AH946)&amp;HEX2ASCII(AI946)</f>
        <v/>
      </c>
      <c r="AB946" s="147"/>
      <c r="AC946" s="148"/>
      <c r="AD946" s="148"/>
      <c r="AE946" s="148"/>
      <c r="AF946" s="148"/>
      <c r="AG946" s="148"/>
      <c r="AH946" s="148"/>
      <c r="AI946" s="149"/>
    </row>
    <row r="947" spans="11:35">
      <c r="K947" s="85"/>
      <c r="L947" s="54" t="str">
        <f t="shared" si="79"/>
        <v/>
      </c>
      <c r="M947" s="38" t="str">
        <f t="shared" si="82"/>
        <v>04AB</v>
      </c>
      <c r="N947" s="69">
        <f t="shared" si="81"/>
        <v>1195</v>
      </c>
      <c r="O947" s="96"/>
      <c r="P947" s="97"/>
      <c r="Q947" s="98"/>
      <c r="R947" s="135"/>
      <c r="U947" s="48" t="str">
        <f t="shared" si="80"/>
        <v/>
      </c>
      <c r="V947" s="16"/>
      <c r="W947" s="34"/>
      <c r="X947" s="35"/>
      <c r="Z947" s="74"/>
      <c r="AA947" s="130" t="str" cm="1">
        <f t="array" ref="AA947">HEX2ASCII(AB947)&amp;HEX2ASCII(AC947)&amp;HEX2ASCII(AD947)&amp;HEX2ASCII(AE947)&amp;HEX2ASCII(AF947)&amp;HEX2ASCII(AG947)&amp;HEX2ASCII(AH947)&amp;HEX2ASCII(AI947)</f>
        <v/>
      </c>
      <c r="AB947" s="147"/>
      <c r="AC947" s="148"/>
      <c r="AD947" s="148"/>
      <c r="AE947" s="148"/>
      <c r="AF947" s="148"/>
      <c r="AG947" s="148"/>
      <c r="AH947" s="148"/>
      <c r="AI947" s="149"/>
    </row>
    <row r="948" spans="11:35">
      <c r="K948" s="85"/>
      <c r="L948" s="54" t="str">
        <f t="shared" si="79"/>
        <v/>
      </c>
      <c r="M948" s="38" t="str">
        <f t="shared" si="82"/>
        <v>04AC</v>
      </c>
      <c r="N948" s="69">
        <f t="shared" si="81"/>
        <v>1196</v>
      </c>
      <c r="O948" s="96"/>
      <c r="P948" s="97"/>
      <c r="Q948" s="98"/>
      <c r="R948" s="135"/>
      <c r="U948" s="48" t="str">
        <f t="shared" si="80"/>
        <v/>
      </c>
      <c r="V948" s="16"/>
      <c r="W948" s="34"/>
      <c r="X948" s="35"/>
      <c r="Z948" s="74"/>
      <c r="AA948" s="130" t="str" cm="1">
        <f t="array" ref="AA948">HEX2ASCII(AB948)&amp;HEX2ASCII(AC948)&amp;HEX2ASCII(AD948)&amp;HEX2ASCII(AE948)&amp;HEX2ASCII(AF948)&amp;HEX2ASCII(AG948)&amp;HEX2ASCII(AH948)&amp;HEX2ASCII(AI948)</f>
        <v/>
      </c>
      <c r="AB948" s="147"/>
      <c r="AC948" s="148"/>
      <c r="AD948" s="148"/>
      <c r="AE948" s="148"/>
      <c r="AF948" s="148"/>
      <c r="AG948" s="148"/>
      <c r="AH948" s="148"/>
      <c r="AI948" s="149"/>
    </row>
    <row r="949" spans="11:35">
      <c r="K949" s="85"/>
      <c r="L949" s="54" t="str">
        <f t="shared" si="79"/>
        <v/>
      </c>
      <c r="M949" s="38" t="str">
        <f t="shared" si="82"/>
        <v>04AD</v>
      </c>
      <c r="N949" s="69">
        <f t="shared" si="81"/>
        <v>1197</v>
      </c>
      <c r="O949" s="96"/>
      <c r="P949" s="97"/>
      <c r="Q949" s="98"/>
      <c r="R949" s="135"/>
      <c r="U949" s="48" t="str">
        <f t="shared" si="80"/>
        <v/>
      </c>
      <c r="V949" s="16"/>
      <c r="W949" s="34"/>
      <c r="X949" s="35"/>
      <c r="Z949" s="74"/>
      <c r="AA949" s="130" t="str" cm="1">
        <f t="array" ref="AA949">HEX2ASCII(AB949)&amp;HEX2ASCII(AC949)&amp;HEX2ASCII(AD949)&amp;HEX2ASCII(AE949)&amp;HEX2ASCII(AF949)&amp;HEX2ASCII(AG949)&amp;HEX2ASCII(AH949)&amp;HEX2ASCII(AI949)</f>
        <v/>
      </c>
      <c r="AB949" s="147"/>
      <c r="AC949" s="148"/>
      <c r="AD949" s="148"/>
      <c r="AE949" s="148"/>
      <c r="AF949" s="148"/>
      <c r="AG949" s="148"/>
      <c r="AH949" s="148"/>
      <c r="AI949" s="149"/>
    </row>
    <row r="950" spans="11:35">
      <c r="K950" s="85"/>
      <c r="L950" s="54" t="str">
        <f t="shared" si="79"/>
        <v/>
      </c>
      <c r="M950" s="38" t="str">
        <f t="shared" si="82"/>
        <v>04AE</v>
      </c>
      <c r="N950" s="69">
        <f t="shared" si="81"/>
        <v>1198</v>
      </c>
      <c r="O950" s="96"/>
      <c r="P950" s="97"/>
      <c r="Q950" s="98"/>
      <c r="R950" s="135"/>
      <c r="U950" s="48" t="str">
        <f t="shared" si="80"/>
        <v/>
      </c>
      <c r="V950" s="16"/>
      <c r="W950" s="34"/>
      <c r="X950" s="35"/>
      <c r="Z950" s="74"/>
      <c r="AA950" s="130" t="str" cm="1">
        <f t="array" ref="AA950">HEX2ASCII(AB950)&amp;HEX2ASCII(AC950)&amp;HEX2ASCII(AD950)&amp;HEX2ASCII(AE950)&amp;HEX2ASCII(AF950)&amp;HEX2ASCII(AG950)&amp;HEX2ASCII(AH950)&amp;HEX2ASCII(AI950)</f>
        <v/>
      </c>
      <c r="AB950" s="147"/>
      <c r="AC950" s="148"/>
      <c r="AD950" s="148"/>
      <c r="AE950" s="148"/>
      <c r="AF950" s="148"/>
      <c r="AG950" s="148"/>
      <c r="AH950" s="148"/>
      <c r="AI950" s="149"/>
    </row>
    <row r="951" spans="11:35">
      <c r="K951" s="85"/>
      <c r="L951" s="54" t="str">
        <f t="shared" si="79"/>
        <v/>
      </c>
      <c r="M951" s="38" t="str">
        <f t="shared" si="82"/>
        <v>04AF</v>
      </c>
      <c r="N951" s="69">
        <f t="shared" si="81"/>
        <v>1199</v>
      </c>
      <c r="O951" s="96"/>
      <c r="P951" s="97"/>
      <c r="Q951" s="98"/>
      <c r="R951" s="135"/>
      <c r="U951" s="48" t="str">
        <f t="shared" si="80"/>
        <v/>
      </c>
      <c r="V951" s="16"/>
      <c r="W951" s="34"/>
      <c r="X951" s="35"/>
      <c r="Z951" s="74"/>
      <c r="AA951" s="130" t="str" cm="1">
        <f t="array" ref="AA951">HEX2ASCII(AB951)&amp;HEX2ASCII(AC951)&amp;HEX2ASCII(AD951)&amp;HEX2ASCII(AE951)&amp;HEX2ASCII(AF951)&amp;HEX2ASCII(AG951)&amp;HEX2ASCII(AH951)&amp;HEX2ASCII(AI951)</f>
        <v/>
      </c>
      <c r="AB951" s="147"/>
      <c r="AC951" s="148"/>
      <c r="AD951" s="148"/>
      <c r="AE951" s="148"/>
      <c r="AF951" s="148"/>
      <c r="AG951" s="148"/>
      <c r="AH951" s="148"/>
      <c r="AI951" s="149"/>
    </row>
    <row r="952" spans="11:35">
      <c r="K952" s="85"/>
      <c r="L952" s="54" t="str">
        <f t="shared" si="79"/>
        <v/>
      </c>
      <c r="M952" s="38" t="str">
        <f t="shared" si="82"/>
        <v>04B0</v>
      </c>
      <c r="N952" s="69">
        <f t="shared" si="81"/>
        <v>1200</v>
      </c>
      <c r="O952" s="96"/>
      <c r="P952" s="97"/>
      <c r="Q952" s="98"/>
      <c r="R952" s="135"/>
      <c r="U952" s="48" t="str">
        <f t="shared" si="80"/>
        <v/>
      </c>
      <c r="V952" s="16"/>
      <c r="W952" s="34"/>
      <c r="X952" s="35"/>
      <c r="Z952" s="74"/>
      <c r="AA952" s="130" t="str" cm="1">
        <f t="array" ref="AA952">HEX2ASCII(AB952)&amp;HEX2ASCII(AC952)&amp;HEX2ASCII(AD952)&amp;HEX2ASCII(AE952)&amp;HEX2ASCII(AF952)&amp;HEX2ASCII(AG952)&amp;HEX2ASCII(AH952)&amp;HEX2ASCII(AI952)</f>
        <v/>
      </c>
      <c r="AB952" s="147"/>
      <c r="AC952" s="148"/>
      <c r="AD952" s="148"/>
      <c r="AE952" s="148"/>
      <c r="AF952" s="148"/>
      <c r="AG952" s="148"/>
      <c r="AH952" s="148"/>
      <c r="AI952" s="149"/>
    </row>
    <row r="953" spans="11:35">
      <c r="K953" s="85"/>
      <c r="L953" s="54" t="str">
        <f t="shared" si="79"/>
        <v/>
      </c>
      <c r="M953" s="38" t="str">
        <f t="shared" si="82"/>
        <v>04B1</v>
      </c>
      <c r="N953" s="69">
        <f t="shared" si="81"/>
        <v>1201</v>
      </c>
      <c r="O953" s="96"/>
      <c r="P953" s="97"/>
      <c r="Q953" s="98"/>
      <c r="R953" s="135"/>
      <c r="U953" s="48" t="str">
        <f t="shared" si="80"/>
        <v/>
      </c>
      <c r="V953" s="16"/>
      <c r="W953" s="34"/>
      <c r="X953" s="35"/>
      <c r="Z953" s="74"/>
      <c r="AA953" s="130" t="str" cm="1">
        <f t="array" ref="AA953">HEX2ASCII(AB953)&amp;HEX2ASCII(AC953)&amp;HEX2ASCII(AD953)&amp;HEX2ASCII(AE953)&amp;HEX2ASCII(AF953)&amp;HEX2ASCII(AG953)&amp;HEX2ASCII(AH953)&amp;HEX2ASCII(AI953)</f>
        <v/>
      </c>
      <c r="AB953" s="147"/>
      <c r="AC953" s="148"/>
      <c r="AD953" s="148"/>
      <c r="AE953" s="148"/>
      <c r="AF953" s="148"/>
      <c r="AG953" s="148"/>
      <c r="AH953" s="148"/>
      <c r="AI953" s="149"/>
    </row>
    <row r="954" spans="11:35">
      <c r="K954" s="85"/>
      <c r="L954" s="54" t="str">
        <f t="shared" si="79"/>
        <v/>
      </c>
      <c r="M954" s="38" t="str">
        <f t="shared" si="82"/>
        <v>04B2</v>
      </c>
      <c r="N954" s="69">
        <f t="shared" si="81"/>
        <v>1202</v>
      </c>
      <c r="O954" s="96"/>
      <c r="P954" s="97"/>
      <c r="Q954" s="98"/>
      <c r="R954" s="135"/>
      <c r="U954" s="48" t="str">
        <f t="shared" si="80"/>
        <v/>
      </c>
      <c r="V954" s="16"/>
      <c r="W954" s="34"/>
      <c r="X954" s="35"/>
      <c r="Z954" s="74"/>
      <c r="AA954" s="130" t="str" cm="1">
        <f t="array" ref="AA954">HEX2ASCII(AB954)&amp;HEX2ASCII(AC954)&amp;HEX2ASCII(AD954)&amp;HEX2ASCII(AE954)&amp;HEX2ASCII(AF954)&amp;HEX2ASCII(AG954)&amp;HEX2ASCII(AH954)&amp;HEX2ASCII(AI954)</f>
        <v/>
      </c>
      <c r="AB954" s="147"/>
      <c r="AC954" s="148"/>
      <c r="AD954" s="148"/>
      <c r="AE954" s="148"/>
      <c r="AF954" s="148"/>
      <c r="AG954" s="148"/>
      <c r="AH954" s="148"/>
      <c r="AI954" s="149"/>
    </row>
    <row r="955" spans="11:35">
      <c r="K955" s="85"/>
      <c r="L955" s="54" t="str">
        <f t="shared" si="79"/>
        <v/>
      </c>
      <c r="M955" s="38" t="str">
        <f t="shared" si="82"/>
        <v>04B3</v>
      </c>
      <c r="N955" s="69">
        <f t="shared" si="81"/>
        <v>1203</v>
      </c>
      <c r="O955" s="96"/>
      <c r="P955" s="97"/>
      <c r="Q955" s="98"/>
      <c r="R955" s="135"/>
      <c r="U955" s="48" t="str">
        <f t="shared" si="80"/>
        <v/>
      </c>
      <c r="V955" s="16"/>
      <c r="W955" s="34"/>
      <c r="X955" s="35"/>
      <c r="Z955" s="74"/>
      <c r="AA955" s="130" t="str" cm="1">
        <f t="array" ref="AA955">HEX2ASCII(AB955)&amp;HEX2ASCII(AC955)&amp;HEX2ASCII(AD955)&amp;HEX2ASCII(AE955)&amp;HEX2ASCII(AF955)&amp;HEX2ASCII(AG955)&amp;HEX2ASCII(AH955)&amp;HEX2ASCII(AI955)</f>
        <v/>
      </c>
      <c r="AB955" s="147"/>
      <c r="AC955" s="148"/>
      <c r="AD955" s="148"/>
      <c r="AE955" s="148"/>
      <c r="AF955" s="148"/>
      <c r="AG955" s="148"/>
      <c r="AH955" s="148"/>
      <c r="AI955" s="149"/>
    </row>
    <row r="956" spans="11:35">
      <c r="K956" s="85"/>
      <c r="L956" s="54" t="str">
        <f t="shared" si="79"/>
        <v/>
      </c>
      <c r="M956" s="38" t="str">
        <f t="shared" si="82"/>
        <v>04B4</v>
      </c>
      <c r="N956" s="69">
        <f t="shared" si="81"/>
        <v>1204</v>
      </c>
      <c r="O956" s="96"/>
      <c r="P956" s="97"/>
      <c r="Q956" s="98"/>
      <c r="R956" s="135"/>
      <c r="U956" s="48" t="str">
        <f t="shared" si="80"/>
        <v/>
      </c>
      <c r="V956" s="16"/>
      <c r="W956" s="34"/>
      <c r="X956" s="35"/>
      <c r="Z956" s="74"/>
      <c r="AA956" s="130" t="str" cm="1">
        <f t="array" ref="AA956">HEX2ASCII(AB956)&amp;HEX2ASCII(AC956)&amp;HEX2ASCII(AD956)&amp;HEX2ASCII(AE956)&amp;HEX2ASCII(AF956)&amp;HEX2ASCII(AG956)&amp;HEX2ASCII(AH956)&amp;HEX2ASCII(AI956)</f>
        <v/>
      </c>
      <c r="AB956" s="147"/>
      <c r="AC956" s="148"/>
      <c r="AD956" s="148"/>
      <c r="AE956" s="148"/>
      <c r="AF956" s="148"/>
      <c r="AG956" s="148"/>
      <c r="AH956" s="148"/>
      <c r="AI956" s="149"/>
    </row>
    <row r="957" spans="11:35">
      <c r="K957" s="85"/>
      <c r="L957" s="54" t="str">
        <f t="shared" si="79"/>
        <v/>
      </c>
      <c r="M957" s="38" t="str">
        <f t="shared" si="82"/>
        <v>04B5</v>
      </c>
      <c r="N957" s="69">
        <f t="shared" si="81"/>
        <v>1205</v>
      </c>
      <c r="O957" s="96"/>
      <c r="P957" s="97"/>
      <c r="Q957" s="98"/>
      <c r="R957" s="135"/>
      <c r="U957" s="48" t="str">
        <f t="shared" si="80"/>
        <v/>
      </c>
      <c r="V957" s="16"/>
      <c r="W957" s="34"/>
      <c r="X957" s="35"/>
      <c r="Z957" s="74"/>
      <c r="AA957" s="130" t="str" cm="1">
        <f t="array" ref="AA957">HEX2ASCII(AB957)&amp;HEX2ASCII(AC957)&amp;HEX2ASCII(AD957)&amp;HEX2ASCII(AE957)&amp;HEX2ASCII(AF957)&amp;HEX2ASCII(AG957)&amp;HEX2ASCII(AH957)&amp;HEX2ASCII(AI957)</f>
        <v/>
      </c>
      <c r="AB957" s="147"/>
      <c r="AC957" s="148"/>
      <c r="AD957" s="148"/>
      <c r="AE957" s="148"/>
      <c r="AF957" s="148"/>
      <c r="AG957" s="148"/>
      <c r="AH957" s="148"/>
      <c r="AI957" s="149"/>
    </row>
    <row r="958" spans="11:35">
      <c r="K958" s="85"/>
      <c r="L958" s="54" t="str">
        <f t="shared" si="79"/>
        <v/>
      </c>
      <c r="M958" s="38" t="str">
        <f t="shared" si="82"/>
        <v>04B6</v>
      </c>
      <c r="N958" s="69">
        <f t="shared" si="81"/>
        <v>1206</v>
      </c>
      <c r="O958" s="96"/>
      <c r="P958" s="97"/>
      <c r="Q958" s="98"/>
      <c r="R958" s="135"/>
      <c r="U958" s="48" t="str">
        <f t="shared" si="80"/>
        <v/>
      </c>
      <c r="V958" s="16"/>
      <c r="W958" s="34"/>
      <c r="X958" s="35"/>
      <c r="Z958" s="74"/>
      <c r="AA958" s="130" t="str" cm="1">
        <f t="array" ref="AA958">HEX2ASCII(AB958)&amp;HEX2ASCII(AC958)&amp;HEX2ASCII(AD958)&amp;HEX2ASCII(AE958)&amp;HEX2ASCII(AF958)&amp;HEX2ASCII(AG958)&amp;HEX2ASCII(AH958)&amp;HEX2ASCII(AI958)</f>
        <v/>
      </c>
      <c r="AB958" s="147"/>
      <c r="AC958" s="148"/>
      <c r="AD958" s="148"/>
      <c r="AE958" s="148"/>
      <c r="AF958" s="148"/>
      <c r="AG958" s="148"/>
      <c r="AH958" s="148"/>
      <c r="AI958" s="149"/>
    </row>
    <row r="959" spans="11:35">
      <c r="K959" s="85"/>
      <c r="L959" s="54" t="str">
        <f t="shared" si="79"/>
        <v/>
      </c>
      <c r="M959" s="38" t="str">
        <f t="shared" si="82"/>
        <v>04B7</v>
      </c>
      <c r="N959" s="69">
        <f t="shared" si="81"/>
        <v>1207</v>
      </c>
      <c r="O959" s="96"/>
      <c r="P959" s="97"/>
      <c r="Q959" s="98"/>
      <c r="R959" s="135"/>
      <c r="U959" s="48" t="str">
        <f t="shared" si="80"/>
        <v/>
      </c>
      <c r="V959" s="16"/>
      <c r="W959" s="34"/>
      <c r="X959" s="35"/>
      <c r="Z959" s="74"/>
      <c r="AA959" s="130" t="str" cm="1">
        <f t="array" ref="AA959">HEX2ASCII(AB959)&amp;HEX2ASCII(AC959)&amp;HEX2ASCII(AD959)&amp;HEX2ASCII(AE959)&amp;HEX2ASCII(AF959)&amp;HEX2ASCII(AG959)&amp;HEX2ASCII(AH959)&amp;HEX2ASCII(AI959)</f>
        <v/>
      </c>
      <c r="AB959" s="147"/>
      <c r="AC959" s="148"/>
      <c r="AD959" s="148"/>
      <c r="AE959" s="148"/>
      <c r="AF959" s="148"/>
      <c r="AG959" s="148"/>
      <c r="AH959" s="148"/>
      <c r="AI959" s="149"/>
    </row>
    <row r="960" spans="11:35">
      <c r="K960" s="85"/>
      <c r="L960" s="54" t="str">
        <f t="shared" si="79"/>
        <v/>
      </c>
      <c r="M960" s="38" t="str">
        <f t="shared" si="82"/>
        <v>04B8</v>
      </c>
      <c r="N960" s="69">
        <f t="shared" si="81"/>
        <v>1208</v>
      </c>
      <c r="O960" s="96"/>
      <c r="P960" s="97"/>
      <c r="Q960" s="98"/>
      <c r="R960" s="135"/>
      <c r="U960" s="48" t="str">
        <f t="shared" si="80"/>
        <v/>
      </c>
      <c r="V960" s="16"/>
      <c r="W960" s="34"/>
      <c r="X960" s="35"/>
      <c r="Z960" s="74"/>
      <c r="AA960" s="130" t="str" cm="1">
        <f t="array" ref="AA960">HEX2ASCII(AB960)&amp;HEX2ASCII(AC960)&amp;HEX2ASCII(AD960)&amp;HEX2ASCII(AE960)&amp;HEX2ASCII(AF960)&amp;HEX2ASCII(AG960)&amp;HEX2ASCII(AH960)&amp;HEX2ASCII(AI960)</f>
        <v/>
      </c>
      <c r="AB960" s="147"/>
      <c r="AC960" s="148"/>
      <c r="AD960" s="148"/>
      <c r="AE960" s="148"/>
      <c r="AF960" s="148"/>
      <c r="AG960" s="148"/>
      <c r="AH960" s="148"/>
      <c r="AI960" s="149"/>
    </row>
    <row r="961" spans="11:35">
      <c r="K961" s="85"/>
      <c r="L961" s="54" t="str">
        <f t="shared" si="79"/>
        <v/>
      </c>
      <c r="M961" s="38" t="str">
        <f t="shared" si="82"/>
        <v>04B9</v>
      </c>
      <c r="N961" s="69">
        <f t="shared" si="81"/>
        <v>1209</v>
      </c>
      <c r="O961" s="96"/>
      <c r="P961" s="97"/>
      <c r="Q961" s="98"/>
      <c r="R961" s="135"/>
      <c r="U961" s="48" t="str">
        <f t="shared" si="80"/>
        <v/>
      </c>
      <c r="V961" s="16"/>
      <c r="W961" s="34"/>
      <c r="X961" s="35"/>
      <c r="Z961" s="74"/>
      <c r="AA961" s="130" t="str" cm="1">
        <f t="array" ref="AA961">HEX2ASCII(AB961)&amp;HEX2ASCII(AC961)&amp;HEX2ASCII(AD961)&amp;HEX2ASCII(AE961)&amp;HEX2ASCII(AF961)&amp;HEX2ASCII(AG961)&amp;HEX2ASCII(AH961)&amp;HEX2ASCII(AI961)</f>
        <v/>
      </c>
      <c r="AB961" s="147"/>
      <c r="AC961" s="148"/>
      <c r="AD961" s="148"/>
      <c r="AE961" s="148"/>
      <c r="AF961" s="148"/>
      <c r="AG961" s="148"/>
      <c r="AH961" s="148"/>
      <c r="AI961" s="149"/>
    </row>
    <row r="962" spans="11:35">
      <c r="K962" s="85"/>
      <c r="L962" s="54" t="str">
        <f t="shared" si="79"/>
        <v/>
      </c>
      <c r="M962" s="38" t="str">
        <f t="shared" si="82"/>
        <v>04BA</v>
      </c>
      <c r="N962" s="69">
        <f t="shared" si="81"/>
        <v>1210</v>
      </c>
      <c r="O962" s="96"/>
      <c r="P962" s="97"/>
      <c r="Q962" s="98"/>
      <c r="R962" s="135"/>
      <c r="U962" s="48" t="str">
        <f t="shared" si="80"/>
        <v/>
      </c>
      <c r="V962" s="16"/>
      <c r="W962" s="34"/>
      <c r="X962" s="35"/>
      <c r="Z962" s="74"/>
      <c r="AA962" s="130" t="str" cm="1">
        <f t="array" ref="AA962">HEX2ASCII(AB962)&amp;HEX2ASCII(AC962)&amp;HEX2ASCII(AD962)&amp;HEX2ASCII(AE962)&amp;HEX2ASCII(AF962)&amp;HEX2ASCII(AG962)&amp;HEX2ASCII(AH962)&amp;HEX2ASCII(AI962)</f>
        <v/>
      </c>
      <c r="AB962" s="147"/>
      <c r="AC962" s="148"/>
      <c r="AD962" s="148"/>
      <c r="AE962" s="148"/>
      <c r="AF962" s="148"/>
      <c r="AG962" s="148"/>
      <c r="AH962" s="148"/>
      <c r="AI962" s="149"/>
    </row>
    <row r="963" spans="11:35">
      <c r="K963" s="85"/>
      <c r="L963" s="54" t="str">
        <f t="shared" si="79"/>
        <v/>
      </c>
      <c r="M963" s="38" t="str">
        <f t="shared" si="82"/>
        <v>04BB</v>
      </c>
      <c r="N963" s="69">
        <f t="shared" si="81"/>
        <v>1211</v>
      </c>
      <c r="O963" s="96"/>
      <c r="P963" s="97"/>
      <c r="Q963" s="98"/>
      <c r="R963" s="135"/>
      <c r="U963" s="48" t="str">
        <f t="shared" si="80"/>
        <v/>
      </c>
      <c r="V963" s="16"/>
      <c r="W963" s="34"/>
      <c r="X963" s="35"/>
      <c r="Z963" s="74"/>
      <c r="AA963" s="130" t="str" cm="1">
        <f t="array" ref="AA963">HEX2ASCII(AB963)&amp;HEX2ASCII(AC963)&amp;HEX2ASCII(AD963)&amp;HEX2ASCII(AE963)&amp;HEX2ASCII(AF963)&amp;HEX2ASCII(AG963)&amp;HEX2ASCII(AH963)&amp;HEX2ASCII(AI963)</f>
        <v/>
      </c>
      <c r="AB963" s="147"/>
      <c r="AC963" s="148"/>
      <c r="AD963" s="148"/>
      <c r="AE963" s="148"/>
      <c r="AF963" s="148"/>
      <c r="AG963" s="148"/>
      <c r="AH963" s="148"/>
      <c r="AI963" s="149"/>
    </row>
    <row r="964" spans="11:35">
      <c r="K964" s="85"/>
      <c r="L964" s="54" t="str">
        <f t="shared" si="79"/>
        <v/>
      </c>
      <c r="M964" s="38" t="str">
        <f t="shared" si="82"/>
        <v>04BC</v>
      </c>
      <c r="N964" s="69">
        <f t="shared" si="81"/>
        <v>1212</v>
      </c>
      <c r="O964" s="96"/>
      <c r="P964" s="97"/>
      <c r="Q964" s="98"/>
      <c r="R964" s="135"/>
      <c r="U964" s="48" t="str">
        <f t="shared" si="80"/>
        <v/>
      </c>
      <c r="V964" s="16"/>
      <c r="W964" s="34"/>
      <c r="X964" s="35"/>
      <c r="Z964" s="74"/>
      <c r="AA964" s="130" t="str" cm="1">
        <f t="array" ref="AA964">HEX2ASCII(AB964)&amp;HEX2ASCII(AC964)&amp;HEX2ASCII(AD964)&amp;HEX2ASCII(AE964)&amp;HEX2ASCII(AF964)&amp;HEX2ASCII(AG964)&amp;HEX2ASCII(AH964)&amp;HEX2ASCII(AI964)</f>
        <v/>
      </c>
      <c r="AB964" s="147"/>
      <c r="AC964" s="148"/>
      <c r="AD964" s="148"/>
      <c r="AE964" s="148"/>
      <c r="AF964" s="148"/>
      <c r="AG964" s="148"/>
      <c r="AH964" s="148"/>
      <c r="AI964" s="149"/>
    </row>
    <row r="965" spans="11:35">
      <c r="K965" s="85"/>
      <c r="L965" s="54" t="str">
        <f t="shared" si="79"/>
        <v/>
      </c>
      <c r="M965" s="38" t="str">
        <f t="shared" si="82"/>
        <v>04BD</v>
      </c>
      <c r="N965" s="69">
        <f t="shared" si="81"/>
        <v>1213</v>
      </c>
      <c r="O965" s="96"/>
      <c r="P965" s="97"/>
      <c r="Q965" s="98"/>
      <c r="R965" s="135"/>
      <c r="U965" s="48" t="str">
        <f t="shared" si="80"/>
        <v/>
      </c>
      <c r="V965" s="16"/>
      <c r="W965" s="34"/>
      <c r="X965" s="35"/>
      <c r="Z965" s="74"/>
      <c r="AA965" s="130" t="str" cm="1">
        <f t="array" ref="AA965">HEX2ASCII(AB965)&amp;HEX2ASCII(AC965)&amp;HEX2ASCII(AD965)&amp;HEX2ASCII(AE965)&amp;HEX2ASCII(AF965)&amp;HEX2ASCII(AG965)&amp;HEX2ASCII(AH965)&amp;HEX2ASCII(AI965)</f>
        <v/>
      </c>
      <c r="AB965" s="147"/>
      <c r="AC965" s="148"/>
      <c r="AD965" s="148"/>
      <c r="AE965" s="148"/>
      <c r="AF965" s="148"/>
      <c r="AG965" s="148"/>
      <c r="AH965" s="148"/>
      <c r="AI965" s="149"/>
    </row>
    <row r="966" spans="11:35">
      <c r="K966" s="85"/>
      <c r="L966" s="54" t="str">
        <f t="shared" si="79"/>
        <v/>
      </c>
      <c r="M966" s="38" t="str">
        <f t="shared" si="82"/>
        <v>04BE</v>
      </c>
      <c r="N966" s="69">
        <f t="shared" si="81"/>
        <v>1214</v>
      </c>
      <c r="O966" s="96"/>
      <c r="P966" s="97"/>
      <c r="Q966" s="98"/>
      <c r="R966" s="135"/>
      <c r="U966" s="48" t="str">
        <f t="shared" si="80"/>
        <v/>
      </c>
      <c r="V966" s="16"/>
      <c r="W966" s="34"/>
      <c r="X966" s="35"/>
      <c r="Z966" s="74"/>
      <c r="AA966" s="130" t="str" cm="1">
        <f t="array" ref="AA966">HEX2ASCII(AB966)&amp;HEX2ASCII(AC966)&amp;HEX2ASCII(AD966)&amp;HEX2ASCII(AE966)&amp;HEX2ASCII(AF966)&amp;HEX2ASCII(AG966)&amp;HEX2ASCII(AH966)&amp;HEX2ASCII(AI966)</f>
        <v/>
      </c>
      <c r="AB966" s="147"/>
      <c r="AC966" s="148"/>
      <c r="AD966" s="148"/>
      <c r="AE966" s="148"/>
      <c r="AF966" s="148"/>
      <c r="AG966" s="148"/>
      <c r="AH966" s="148"/>
      <c r="AI966" s="149"/>
    </row>
    <row r="967" spans="11:35">
      <c r="K967" s="85"/>
      <c r="L967" s="54" t="str">
        <f t="shared" si="79"/>
        <v/>
      </c>
      <c r="M967" s="38" t="str">
        <f t="shared" si="82"/>
        <v>04BF</v>
      </c>
      <c r="N967" s="69">
        <f t="shared" si="81"/>
        <v>1215</v>
      </c>
      <c r="O967" s="96"/>
      <c r="P967" s="97"/>
      <c r="Q967" s="98"/>
      <c r="R967" s="135"/>
      <c r="U967" s="48" t="str">
        <f t="shared" si="80"/>
        <v/>
      </c>
      <c r="V967" s="16"/>
      <c r="W967" s="34"/>
      <c r="X967" s="35"/>
      <c r="Z967" s="74"/>
      <c r="AA967" s="130" t="str" cm="1">
        <f t="array" ref="AA967">HEX2ASCII(AB967)&amp;HEX2ASCII(AC967)&amp;HEX2ASCII(AD967)&amp;HEX2ASCII(AE967)&amp;HEX2ASCII(AF967)&amp;HEX2ASCII(AG967)&amp;HEX2ASCII(AH967)&amp;HEX2ASCII(AI967)</f>
        <v/>
      </c>
      <c r="AB967" s="147"/>
      <c r="AC967" s="148"/>
      <c r="AD967" s="148"/>
      <c r="AE967" s="148"/>
      <c r="AF967" s="148"/>
      <c r="AG967" s="148"/>
      <c r="AH967" s="148"/>
      <c r="AI967" s="149"/>
    </row>
    <row r="968" spans="11:35">
      <c r="K968" s="85"/>
      <c r="L968" s="54" t="str">
        <f t="shared" si="79"/>
        <v/>
      </c>
      <c r="M968" s="38" t="str">
        <f t="shared" si="82"/>
        <v>04C0</v>
      </c>
      <c r="N968" s="69">
        <f t="shared" si="81"/>
        <v>1216</v>
      </c>
      <c r="O968" s="96"/>
      <c r="P968" s="97"/>
      <c r="Q968" s="98"/>
      <c r="R968" s="135"/>
      <c r="U968" s="48" t="str">
        <f t="shared" si="80"/>
        <v/>
      </c>
      <c r="V968" s="16"/>
      <c r="W968" s="34"/>
      <c r="X968" s="35"/>
      <c r="Z968" s="74"/>
      <c r="AA968" s="130" t="str" cm="1">
        <f t="array" ref="AA968">HEX2ASCII(AB968)&amp;HEX2ASCII(AC968)&amp;HEX2ASCII(AD968)&amp;HEX2ASCII(AE968)&amp;HEX2ASCII(AF968)&amp;HEX2ASCII(AG968)&amp;HEX2ASCII(AH968)&amp;HEX2ASCII(AI968)</f>
        <v/>
      </c>
      <c r="AB968" s="147"/>
      <c r="AC968" s="148"/>
      <c r="AD968" s="148"/>
      <c r="AE968" s="148"/>
      <c r="AF968" s="148"/>
      <c r="AG968" s="148"/>
      <c r="AH968" s="148"/>
      <c r="AI968" s="149"/>
    </row>
    <row r="969" spans="11:35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04C1</v>
      </c>
      <c r="N969" s="69">
        <f t="shared" si="81"/>
        <v>1217</v>
      </c>
      <c r="O969" s="96"/>
      <c r="P969" s="97"/>
      <c r="Q969" s="98"/>
      <c r="R969" s="135"/>
      <c r="U969" s="48" t="str">
        <f t="shared" ref="U969:U1008" si="84">IF(V969&gt;0,RIGHT("0000"&amp;DEC2HEX(V969),4),"")</f>
        <v/>
      </c>
      <c r="V969" s="16"/>
      <c r="W969" s="34"/>
      <c r="X969" s="35"/>
      <c r="Z969" s="74"/>
      <c r="AA969" s="130" t="str" cm="1">
        <f t="array" ref="AA969">HEX2ASCII(AB969)&amp;HEX2ASCII(AC969)&amp;HEX2ASCII(AD969)&amp;HEX2ASCII(AE969)&amp;HEX2ASCII(AF969)&amp;HEX2ASCII(AG969)&amp;HEX2ASCII(AH969)&amp;HEX2ASCII(AI969)</f>
        <v/>
      </c>
      <c r="AB969" s="147"/>
      <c r="AC969" s="148"/>
      <c r="AD969" s="148"/>
      <c r="AE969" s="148"/>
      <c r="AF969" s="148"/>
      <c r="AG969" s="148"/>
      <c r="AH969" s="148"/>
      <c r="AI969" s="149"/>
    </row>
    <row r="970" spans="11:35">
      <c r="K970" s="85"/>
      <c r="L970" s="54" t="str">
        <f t="shared" si="83"/>
        <v/>
      </c>
      <c r="M970" s="38" t="str">
        <f t="shared" si="82"/>
        <v>04C2</v>
      </c>
      <c r="N970" s="69">
        <f t="shared" ref="N970:N1033" si="85">N969+0*COUNTA(P969:R969)+1</f>
        <v>1218</v>
      </c>
      <c r="O970" s="96"/>
      <c r="P970" s="97"/>
      <c r="Q970" s="98"/>
      <c r="R970" s="135"/>
      <c r="U970" s="48" t="str">
        <f t="shared" si="84"/>
        <v/>
      </c>
      <c r="V970" s="16"/>
      <c r="W970" s="34"/>
      <c r="X970" s="35"/>
      <c r="Z970" s="74"/>
      <c r="AA970" s="130" t="str" cm="1">
        <f t="array" ref="AA970">HEX2ASCII(AB970)&amp;HEX2ASCII(AC970)&amp;HEX2ASCII(AD970)&amp;HEX2ASCII(AE970)&amp;HEX2ASCII(AF970)&amp;HEX2ASCII(AG970)&amp;HEX2ASCII(AH970)&amp;HEX2ASCII(AI970)</f>
        <v/>
      </c>
      <c r="AB970" s="147"/>
      <c r="AC970" s="148"/>
      <c r="AD970" s="148"/>
      <c r="AE970" s="148"/>
      <c r="AF970" s="148"/>
      <c r="AG970" s="148"/>
      <c r="AH970" s="148"/>
      <c r="AI970" s="149"/>
    </row>
    <row r="971" spans="11:35">
      <c r="K971" s="85"/>
      <c r="L971" s="54" t="str">
        <f t="shared" si="83"/>
        <v/>
      </c>
      <c r="M971" s="38" t="str">
        <f t="shared" si="82"/>
        <v>04C3</v>
      </c>
      <c r="N971" s="69">
        <f t="shared" si="85"/>
        <v>1219</v>
      </c>
      <c r="O971" s="96"/>
      <c r="P971" s="97"/>
      <c r="Q971" s="98"/>
      <c r="R971" s="135"/>
      <c r="U971" s="48" t="str">
        <f t="shared" si="84"/>
        <v/>
      </c>
      <c r="V971" s="16"/>
      <c r="W971" s="34"/>
      <c r="X971" s="35"/>
      <c r="Z971" s="74"/>
      <c r="AA971" s="130" t="str" cm="1">
        <f t="array" ref="AA971">HEX2ASCII(AB971)&amp;HEX2ASCII(AC971)&amp;HEX2ASCII(AD971)&amp;HEX2ASCII(AE971)&amp;HEX2ASCII(AF971)&amp;HEX2ASCII(AG971)&amp;HEX2ASCII(AH971)&amp;HEX2ASCII(AI971)</f>
        <v/>
      </c>
      <c r="AB971" s="147"/>
      <c r="AC971" s="148"/>
      <c r="AD971" s="148"/>
      <c r="AE971" s="148"/>
      <c r="AF971" s="148"/>
      <c r="AG971" s="148"/>
      <c r="AH971" s="148"/>
      <c r="AI971" s="149"/>
    </row>
    <row r="972" spans="11:35">
      <c r="K972" s="85"/>
      <c r="L972" s="54" t="str">
        <f t="shared" si="83"/>
        <v/>
      </c>
      <c r="M972" s="38" t="str">
        <f t="shared" si="82"/>
        <v>04C4</v>
      </c>
      <c r="N972" s="69">
        <f t="shared" si="85"/>
        <v>1220</v>
      </c>
      <c r="O972" s="96"/>
      <c r="P972" s="97"/>
      <c r="Q972" s="98"/>
      <c r="R972" s="135"/>
      <c r="U972" s="48" t="str">
        <f t="shared" si="84"/>
        <v/>
      </c>
      <c r="V972" s="16"/>
      <c r="W972" s="34"/>
      <c r="X972" s="35"/>
      <c r="Z972" s="74"/>
      <c r="AA972" s="130" t="str" cm="1">
        <f t="array" ref="AA972">HEX2ASCII(AB972)&amp;HEX2ASCII(AC972)&amp;HEX2ASCII(AD972)&amp;HEX2ASCII(AE972)&amp;HEX2ASCII(AF972)&amp;HEX2ASCII(AG972)&amp;HEX2ASCII(AH972)&amp;HEX2ASCII(AI972)</f>
        <v/>
      </c>
      <c r="AB972" s="147"/>
      <c r="AC972" s="148"/>
      <c r="AD972" s="148"/>
      <c r="AE972" s="148"/>
      <c r="AF972" s="148"/>
      <c r="AG972" s="148"/>
      <c r="AH972" s="148"/>
      <c r="AI972" s="149"/>
    </row>
    <row r="973" spans="11:35">
      <c r="K973" s="85"/>
      <c r="L973" s="54" t="str">
        <f t="shared" si="83"/>
        <v/>
      </c>
      <c r="M973" s="38" t="str">
        <f t="shared" si="82"/>
        <v>04C5</v>
      </c>
      <c r="N973" s="69">
        <f t="shared" si="85"/>
        <v>1221</v>
      </c>
      <c r="O973" s="96"/>
      <c r="P973" s="97"/>
      <c r="Q973" s="98"/>
      <c r="R973" s="135"/>
      <c r="U973" s="48" t="str">
        <f t="shared" si="84"/>
        <v/>
      </c>
      <c r="V973" s="16"/>
      <c r="W973" s="34"/>
      <c r="X973" s="35"/>
      <c r="Z973" s="74"/>
      <c r="AA973" s="130" t="str" cm="1">
        <f t="array" ref="AA973">HEX2ASCII(AB973)&amp;HEX2ASCII(AC973)&amp;HEX2ASCII(AD973)&amp;HEX2ASCII(AE973)&amp;HEX2ASCII(AF973)&amp;HEX2ASCII(AG973)&amp;HEX2ASCII(AH973)&amp;HEX2ASCII(AI973)</f>
        <v/>
      </c>
      <c r="AB973" s="147"/>
      <c r="AC973" s="148"/>
      <c r="AD973" s="148"/>
      <c r="AE973" s="148"/>
      <c r="AF973" s="148"/>
      <c r="AG973" s="148"/>
      <c r="AH973" s="148"/>
      <c r="AI973" s="149"/>
    </row>
    <row r="974" spans="11:35">
      <c r="K974" s="85"/>
      <c r="L974" s="54" t="str">
        <f t="shared" si="83"/>
        <v/>
      </c>
      <c r="M974" s="38" t="str">
        <f t="shared" si="82"/>
        <v>04C6</v>
      </c>
      <c r="N974" s="69">
        <f t="shared" si="85"/>
        <v>1222</v>
      </c>
      <c r="O974" s="96"/>
      <c r="P974" s="97"/>
      <c r="Q974" s="98"/>
      <c r="R974" s="135"/>
      <c r="U974" s="48" t="str">
        <f t="shared" si="84"/>
        <v/>
      </c>
      <c r="V974" s="16"/>
      <c r="W974" s="34"/>
      <c r="X974" s="35"/>
      <c r="Z974" s="74"/>
      <c r="AA974" s="130" t="str" cm="1">
        <f t="array" ref="AA974">HEX2ASCII(AB974)&amp;HEX2ASCII(AC974)&amp;HEX2ASCII(AD974)&amp;HEX2ASCII(AE974)&amp;HEX2ASCII(AF974)&amp;HEX2ASCII(AG974)&amp;HEX2ASCII(AH974)&amp;HEX2ASCII(AI974)</f>
        <v/>
      </c>
      <c r="AB974" s="147"/>
      <c r="AC974" s="148"/>
      <c r="AD974" s="148"/>
      <c r="AE974" s="148"/>
      <c r="AF974" s="148"/>
      <c r="AG974" s="148"/>
      <c r="AH974" s="148"/>
      <c r="AI974" s="149"/>
    </row>
    <row r="975" spans="11:35">
      <c r="K975" s="85"/>
      <c r="L975" s="54" t="str">
        <f t="shared" si="83"/>
        <v/>
      </c>
      <c r="M975" s="38" t="str">
        <f t="shared" si="82"/>
        <v>04C7</v>
      </c>
      <c r="N975" s="69">
        <f t="shared" si="85"/>
        <v>1223</v>
      </c>
      <c r="O975" s="96"/>
      <c r="P975" s="97"/>
      <c r="Q975" s="98"/>
      <c r="R975" s="135"/>
      <c r="U975" s="48" t="str">
        <f t="shared" si="84"/>
        <v/>
      </c>
      <c r="V975" s="16"/>
      <c r="W975" s="34"/>
      <c r="X975" s="35"/>
      <c r="Z975" s="74"/>
      <c r="AA975" s="130" t="str" cm="1">
        <f t="array" ref="AA975">HEX2ASCII(AB975)&amp;HEX2ASCII(AC975)&amp;HEX2ASCII(AD975)&amp;HEX2ASCII(AE975)&amp;HEX2ASCII(AF975)&amp;HEX2ASCII(AG975)&amp;HEX2ASCII(AH975)&amp;HEX2ASCII(AI975)</f>
        <v/>
      </c>
      <c r="AB975" s="147"/>
      <c r="AC975" s="148"/>
      <c r="AD975" s="148"/>
      <c r="AE975" s="148"/>
      <c r="AF975" s="148"/>
      <c r="AG975" s="148"/>
      <c r="AH975" s="148"/>
      <c r="AI975" s="149"/>
    </row>
    <row r="976" spans="11:35">
      <c r="K976" s="85"/>
      <c r="L976" s="54" t="str">
        <f t="shared" si="83"/>
        <v/>
      </c>
      <c r="M976" s="38" t="str">
        <f t="shared" si="82"/>
        <v>04C8</v>
      </c>
      <c r="N976" s="69">
        <f t="shared" si="85"/>
        <v>1224</v>
      </c>
      <c r="O976" s="96"/>
      <c r="P976" s="97"/>
      <c r="Q976" s="98"/>
      <c r="R976" s="135"/>
      <c r="U976" s="48" t="str">
        <f t="shared" si="84"/>
        <v/>
      </c>
      <c r="V976" s="16"/>
      <c r="W976" s="34"/>
      <c r="X976" s="35"/>
      <c r="Z976" s="74"/>
      <c r="AA976" s="130" t="str" cm="1">
        <f t="array" ref="AA976">HEX2ASCII(AB976)&amp;HEX2ASCII(AC976)&amp;HEX2ASCII(AD976)&amp;HEX2ASCII(AE976)&amp;HEX2ASCII(AF976)&amp;HEX2ASCII(AG976)&amp;HEX2ASCII(AH976)&amp;HEX2ASCII(AI976)</f>
        <v/>
      </c>
      <c r="AB976" s="147"/>
      <c r="AC976" s="148"/>
      <c r="AD976" s="148"/>
      <c r="AE976" s="148"/>
      <c r="AF976" s="148"/>
      <c r="AG976" s="148"/>
      <c r="AH976" s="148"/>
      <c r="AI976" s="149"/>
    </row>
    <row r="977" spans="11:35">
      <c r="K977" s="85"/>
      <c r="L977" s="54" t="str">
        <f t="shared" si="83"/>
        <v/>
      </c>
      <c r="M977" s="38" t="str">
        <f t="shared" si="82"/>
        <v>04C9</v>
      </c>
      <c r="N977" s="69">
        <f t="shared" si="85"/>
        <v>1225</v>
      </c>
      <c r="O977" s="96"/>
      <c r="P977" s="97"/>
      <c r="Q977" s="98"/>
      <c r="R977" s="135"/>
      <c r="U977" s="48" t="str">
        <f t="shared" si="84"/>
        <v/>
      </c>
      <c r="V977" s="16"/>
      <c r="W977" s="34"/>
      <c r="X977" s="35"/>
      <c r="Z977" s="74"/>
      <c r="AA977" s="130" t="str" cm="1">
        <f t="array" ref="AA977">HEX2ASCII(AB977)&amp;HEX2ASCII(AC977)&amp;HEX2ASCII(AD977)&amp;HEX2ASCII(AE977)&amp;HEX2ASCII(AF977)&amp;HEX2ASCII(AG977)&amp;HEX2ASCII(AH977)&amp;HEX2ASCII(AI977)</f>
        <v/>
      </c>
      <c r="AB977" s="147"/>
      <c r="AC977" s="148"/>
      <c r="AD977" s="148"/>
      <c r="AE977" s="148"/>
      <c r="AF977" s="148"/>
      <c r="AG977" s="148"/>
      <c r="AH977" s="148"/>
      <c r="AI977" s="149"/>
    </row>
    <row r="978" spans="11:35">
      <c r="K978" s="85"/>
      <c r="L978" s="54" t="str">
        <f t="shared" si="83"/>
        <v/>
      </c>
      <c r="M978" s="38" t="str">
        <f t="shared" si="82"/>
        <v>04CA</v>
      </c>
      <c r="N978" s="69">
        <f t="shared" si="85"/>
        <v>1226</v>
      </c>
      <c r="O978" s="96"/>
      <c r="P978" s="97"/>
      <c r="Q978" s="98"/>
      <c r="R978" s="135"/>
      <c r="U978" s="48" t="str">
        <f t="shared" si="84"/>
        <v/>
      </c>
      <c r="V978" s="16"/>
      <c r="W978" s="34"/>
      <c r="X978" s="35"/>
      <c r="Z978" s="74"/>
      <c r="AA978" s="130" t="str" cm="1">
        <f t="array" ref="AA978">HEX2ASCII(AB978)&amp;HEX2ASCII(AC978)&amp;HEX2ASCII(AD978)&amp;HEX2ASCII(AE978)&amp;HEX2ASCII(AF978)&amp;HEX2ASCII(AG978)&amp;HEX2ASCII(AH978)&amp;HEX2ASCII(AI978)</f>
        <v/>
      </c>
      <c r="AB978" s="147"/>
      <c r="AC978" s="148"/>
      <c r="AD978" s="148"/>
      <c r="AE978" s="148"/>
      <c r="AF978" s="148"/>
      <c r="AG978" s="148"/>
      <c r="AH978" s="148"/>
      <c r="AI978" s="149"/>
    </row>
    <row r="979" spans="11:35">
      <c r="K979" s="85"/>
      <c r="L979" s="54" t="str">
        <f t="shared" si="83"/>
        <v/>
      </c>
      <c r="M979" s="38" t="str">
        <f t="shared" si="82"/>
        <v>04CB</v>
      </c>
      <c r="N979" s="69">
        <f t="shared" si="85"/>
        <v>1227</v>
      </c>
      <c r="O979" s="96"/>
      <c r="P979" s="97"/>
      <c r="Q979" s="98"/>
      <c r="R979" s="135"/>
      <c r="U979" s="48" t="str">
        <f t="shared" si="84"/>
        <v/>
      </c>
      <c r="V979" s="16"/>
      <c r="W979" s="34"/>
      <c r="X979" s="35"/>
      <c r="Z979" s="74"/>
      <c r="AA979" s="130" t="str" cm="1">
        <f t="array" ref="AA979">HEX2ASCII(AB979)&amp;HEX2ASCII(AC979)&amp;HEX2ASCII(AD979)&amp;HEX2ASCII(AE979)&amp;HEX2ASCII(AF979)&amp;HEX2ASCII(AG979)&amp;HEX2ASCII(AH979)&amp;HEX2ASCII(AI979)</f>
        <v/>
      </c>
      <c r="AB979" s="147"/>
      <c r="AC979" s="148"/>
      <c r="AD979" s="148"/>
      <c r="AE979" s="148"/>
      <c r="AF979" s="148"/>
      <c r="AG979" s="148"/>
      <c r="AH979" s="148"/>
      <c r="AI979" s="149"/>
    </row>
    <row r="980" spans="11:35">
      <c r="K980" s="85"/>
      <c r="L980" s="54" t="str">
        <f t="shared" si="83"/>
        <v/>
      </c>
      <c r="M980" s="38" t="str">
        <f t="shared" si="82"/>
        <v>04CC</v>
      </c>
      <c r="N980" s="69">
        <f t="shared" si="85"/>
        <v>1228</v>
      </c>
      <c r="O980" s="96"/>
      <c r="P980" s="97"/>
      <c r="Q980" s="98"/>
      <c r="R980" s="135"/>
      <c r="U980" s="48" t="str">
        <f t="shared" si="84"/>
        <v/>
      </c>
      <c r="V980" s="16"/>
      <c r="W980" s="34"/>
      <c r="X980" s="35"/>
      <c r="Z980" s="74"/>
      <c r="AA980" s="130" t="str" cm="1">
        <f t="array" ref="AA980">HEX2ASCII(AB980)&amp;HEX2ASCII(AC980)&amp;HEX2ASCII(AD980)&amp;HEX2ASCII(AE980)&amp;HEX2ASCII(AF980)&amp;HEX2ASCII(AG980)&amp;HEX2ASCII(AH980)&amp;HEX2ASCII(AI980)</f>
        <v/>
      </c>
      <c r="AB980" s="147"/>
      <c r="AC980" s="148"/>
      <c r="AD980" s="148"/>
      <c r="AE980" s="148"/>
      <c r="AF980" s="148"/>
      <c r="AG980" s="148"/>
      <c r="AH980" s="148"/>
      <c r="AI980" s="149"/>
    </row>
    <row r="981" spans="11:35">
      <c r="K981" s="85"/>
      <c r="L981" s="54" t="str">
        <f t="shared" si="83"/>
        <v/>
      </c>
      <c r="M981" s="38" t="str">
        <f t="shared" si="82"/>
        <v>04CD</v>
      </c>
      <c r="N981" s="69">
        <f t="shared" si="85"/>
        <v>1229</v>
      </c>
      <c r="O981" s="96"/>
      <c r="P981" s="97"/>
      <c r="Q981" s="98"/>
      <c r="R981" s="135"/>
      <c r="U981" s="48" t="str">
        <f t="shared" si="84"/>
        <v/>
      </c>
      <c r="V981" s="16"/>
      <c r="W981" s="34"/>
      <c r="X981" s="35"/>
      <c r="Z981" s="74"/>
      <c r="AA981" s="130" t="str" cm="1">
        <f t="array" ref="AA981">HEX2ASCII(AB981)&amp;HEX2ASCII(AC981)&amp;HEX2ASCII(AD981)&amp;HEX2ASCII(AE981)&amp;HEX2ASCII(AF981)&amp;HEX2ASCII(AG981)&amp;HEX2ASCII(AH981)&amp;HEX2ASCII(AI981)</f>
        <v/>
      </c>
      <c r="AB981" s="147"/>
      <c r="AC981" s="148"/>
      <c r="AD981" s="148"/>
      <c r="AE981" s="148"/>
      <c r="AF981" s="148"/>
      <c r="AG981" s="148"/>
      <c r="AH981" s="148"/>
      <c r="AI981" s="149"/>
    </row>
    <row r="982" spans="11:35">
      <c r="K982" s="85"/>
      <c r="L982" s="54" t="str">
        <f t="shared" si="83"/>
        <v/>
      </c>
      <c r="M982" s="38" t="str">
        <f t="shared" si="82"/>
        <v>04CE</v>
      </c>
      <c r="N982" s="69">
        <f t="shared" si="85"/>
        <v>1230</v>
      </c>
      <c r="O982" s="96"/>
      <c r="P982" s="97"/>
      <c r="Q982" s="98"/>
      <c r="R982" s="135"/>
      <c r="U982" s="48" t="str">
        <f t="shared" si="84"/>
        <v/>
      </c>
      <c r="V982" s="16"/>
      <c r="W982" s="34"/>
      <c r="X982" s="35"/>
      <c r="Z982" s="74"/>
      <c r="AA982" s="130" t="str" cm="1">
        <f t="array" ref="AA982">HEX2ASCII(AB982)&amp;HEX2ASCII(AC982)&amp;HEX2ASCII(AD982)&amp;HEX2ASCII(AE982)&amp;HEX2ASCII(AF982)&amp;HEX2ASCII(AG982)&amp;HEX2ASCII(AH982)&amp;HEX2ASCII(AI982)</f>
        <v/>
      </c>
      <c r="AB982" s="147"/>
      <c r="AC982" s="148"/>
      <c r="AD982" s="148"/>
      <c r="AE982" s="148"/>
      <c r="AF982" s="148"/>
      <c r="AG982" s="148"/>
      <c r="AH982" s="148"/>
      <c r="AI982" s="149"/>
    </row>
    <row r="983" spans="11:35">
      <c r="K983" s="85"/>
      <c r="L983" s="54" t="str">
        <f t="shared" si="83"/>
        <v/>
      </c>
      <c r="M983" s="38" t="str">
        <f t="shared" si="82"/>
        <v>04CF</v>
      </c>
      <c r="N983" s="69">
        <f t="shared" si="85"/>
        <v>1231</v>
      </c>
      <c r="O983" s="96"/>
      <c r="P983" s="97"/>
      <c r="Q983" s="98"/>
      <c r="R983" s="135"/>
      <c r="U983" s="48" t="str">
        <f t="shared" si="84"/>
        <v/>
      </c>
      <c r="V983" s="16"/>
      <c r="W983" s="34"/>
      <c r="X983" s="35"/>
      <c r="Z983" s="74"/>
      <c r="AA983" s="130" t="str" cm="1">
        <f t="array" ref="AA983">HEX2ASCII(AB983)&amp;HEX2ASCII(AC983)&amp;HEX2ASCII(AD983)&amp;HEX2ASCII(AE983)&amp;HEX2ASCII(AF983)&amp;HEX2ASCII(AG983)&amp;HEX2ASCII(AH983)&amp;HEX2ASCII(AI983)</f>
        <v/>
      </c>
      <c r="AB983" s="147"/>
      <c r="AC983" s="148"/>
      <c r="AD983" s="148"/>
      <c r="AE983" s="148"/>
      <c r="AF983" s="148"/>
      <c r="AG983" s="148"/>
      <c r="AH983" s="148"/>
      <c r="AI983" s="149"/>
    </row>
    <row r="984" spans="11:35">
      <c r="K984" s="85"/>
      <c r="L984" s="54" t="str">
        <f t="shared" si="83"/>
        <v/>
      </c>
      <c r="M984" s="38" t="str">
        <f t="shared" si="82"/>
        <v>04D0</v>
      </c>
      <c r="N984" s="69">
        <f t="shared" si="85"/>
        <v>1232</v>
      </c>
      <c r="O984" s="96"/>
      <c r="P984" s="97"/>
      <c r="Q984" s="98"/>
      <c r="R984" s="135"/>
      <c r="U984" s="48" t="str">
        <f t="shared" si="84"/>
        <v/>
      </c>
      <c r="V984" s="16"/>
      <c r="W984" s="34"/>
      <c r="X984" s="35"/>
      <c r="Z984" s="74"/>
      <c r="AA984" s="130" t="str" cm="1">
        <f t="array" ref="AA984">HEX2ASCII(AB984)&amp;HEX2ASCII(AC984)&amp;HEX2ASCII(AD984)&amp;HEX2ASCII(AE984)&amp;HEX2ASCII(AF984)&amp;HEX2ASCII(AG984)&amp;HEX2ASCII(AH984)&amp;HEX2ASCII(AI984)</f>
        <v/>
      </c>
      <c r="AB984" s="147"/>
      <c r="AC984" s="148"/>
      <c r="AD984" s="148"/>
      <c r="AE984" s="148"/>
      <c r="AF984" s="148"/>
      <c r="AG984" s="148"/>
      <c r="AH984" s="148"/>
      <c r="AI984" s="149"/>
    </row>
    <row r="985" spans="11:35">
      <c r="K985" s="85"/>
      <c r="L985" s="54" t="str">
        <f t="shared" si="83"/>
        <v/>
      </c>
      <c r="M985" s="38" t="str">
        <f t="shared" si="82"/>
        <v>04D1</v>
      </c>
      <c r="N985" s="69">
        <f t="shared" si="85"/>
        <v>1233</v>
      </c>
      <c r="O985" s="96"/>
      <c r="P985" s="97"/>
      <c r="Q985" s="98"/>
      <c r="R985" s="135"/>
      <c r="U985" s="48" t="str">
        <f t="shared" si="84"/>
        <v/>
      </c>
      <c r="V985" s="16"/>
      <c r="W985" s="34"/>
      <c r="X985" s="35"/>
      <c r="Z985" s="74"/>
      <c r="AA985" s="130" t="str" cm="1">
        <f t="array" ref="AA985">HEX2ASCII(AB985)&amp;HEX2ASCII(AC985)&amp;HEX2ASCII(AD985)&amp;HEX2ASCII(AE985)&amp;HEX2ASCII(AF985)&amp;HEX2ASCII(AG985)&amp;HEX2ASCII(AH985)&amp;HEX2ASCII(AI985)</f>
        <v/>
      </c>
      <c r="AB985" s="147"/>
      <c r="AC985" s="148"/>
      <c r="AD985" s="148"/>
      <c r="AE985" s="148"/>
      <c r="AF985" s="148"/>
      <c r="AG985" s="148"/>
      <c r="AH985" s="148"/>
      <c r="AI985" s="149"/>
    </row>
    <row r="986" spans="11:35">
      <c r="K986" s="85"/>
      <c r="L986" s="54" t="str">
        <f t="shared" si="83"/>
        <v/>
      </c>
      <c r="M986" s="38" t="str">
        <f t="shared" si="82"/>
        <v>04D2</v>
      </c>
      <c r="N986" s="69">
        <f t="shared" si="85"/>
        <v>1234</v>
      </c>
      <c r="O986" s="96"/>
      <c r="P986" s="97"/>
      <c r="Q986" s="98"/>
      <c r="R986" s="135"/>
      <c r="U986" s="48" t="str">
        <f t="shared" si="84"/>
        <v/>
      </c>
      <c r="V986" s="16"/>
      <c r="W986" s="34"/>
      <c r="X986" s="35"/>
      <c r="Z986" s="74"/>
      <c r="AA986" s="130" t="str" cm="1">
        <f t="array" ref="AA986">HEX2ASCII(AB986)&amp;HEX2ASCII(AC986)&amp;HEX2ASCII(AD986)&amp;HEX2ASCII(AE986)&amp;HEX2ASCII(AF986)&amp;HEX2ASCII(AG986)&amp;HEX2ASCII(AH986)&amp;HEX2ASCII(AI986)</f>
        <v/>
      </c>
      <c r="AB986" s="147"/>
      <c r="AC986" s="148"/>
      <c r="AD986" s="148"/>
      <c r="AE986" s="148"/>
      <c r="AF986" s="148"/>
      <c r="AG986" s="148"/>
      <c r="AH986" s="148"/>
      <c r="AI986" s="149"/>
    </row>
    <row r="987" spans="11:35">
      <c r="K987" s="85"/>
      <c r="L987" s="54" t="str">
        <f t="shared" si="83"/>
        <v/>
      </c>
      <c r="M987" s="38" t="str">
        <f t="shared" si="82"/>
        <v>04D3</v>
      </c>
      <c r="N987" s="69">
        <f t="shared" si="85"/>
        <v>1235</v>
      </c>
      <c r="O987" s="96"/>
      <c r="P987" s="97"/>
      <c r="Q987" s="98"/>
      <c r="R987" s="135"/>
      <c r="U987" s="48" t="str">
        <f t="shared" si="84"/>
        <v/>
      </c>
      <c r="V987" s="16"/>
      <c r="W987" s="34"/>
      <c r="X987" s="35"/>
      <c r="Z987" s="74"/>
      <c r="AA987" s="130" t="str" cm="1">
        <f t="array" ref="AA987">HEX2ASCII(AB987)&amp;HEX2ASCII(AC987)&amp;HEX2ASCII(AD987)&amp;HEX2ASCII(AE987)&amp;HEX2ASCII(AF987)&amp;HEX2ASCII(AG987)&amp;HEX2ASCII(AH987)&amp;HEX2ASCII(AI987)</f>
        <v/>
      </c>
      <c r="AB987" s="147"/>
      <c r="AC987" s="148"/>
      <c r="AD987" s="148"/>
      <c r="AE987" s="148"/>
      <c r="AF987" s="148"/>
      <c r="AG987" s="148"/>
      <c r="AH987" s="148"/>
      <c r="AI987" s="149"/>
    </row>
    <row r="988" spans="11:35">
      <c r="K988" s="85"/>
      <c r="L988" s="54" t="str">
        <f t="shared" si="83"/>
        <v/>
      </c>
      <c r="M988" s="38" t="str">
        <f t="shared" si="82"/>
        <v>04D4</v>
      </c>
      <c r="N988" s="69">
        <f t="shared" si="85"/>
        <v>1236</v>
      </c>
      <c r="O988" s="96"/>
      <c r="P988" s="97"/>
      <c r="Q988" s="98"/>
      <c r="R988" s="135"/>
      <c r="U988" s="48" t="str">
        <f t="shared" si="84"/>
        <v/>
      </c>
      <c r="V988" s="16"/>
      <c r="W988" s="34"/>
      <c r="X988" s="35"/>
      <c r="Z988" s="74"/>
      <c r="AA988" s="130" t="str" cm="1">
        <f t="array" ref="AA988">HEX2ASCII(AB988)&amp;HEX2ASCII(AC988)&amp;HEX2ASCII(AD988)&amp;HEX2ASCII(AE988)&amp;HEX2ASCII(AF988)&amp;HEX2ASCII(AG988)&amp;HEX2ASCII(AH988)&amp;HEX2ASCII(AI988)</f>
        <v/>
      </c>
      <c r="AB988" s="147"/>
      <c r="AC988" s="148"/>
      <c r="AD988" s="148"/>
      <c r="AE988" s="148"/>
      <c r="AF988" s="148"/>
      <c r="AG988" s="148"/>
      <c r="AH988" s="148"/>
      <c r="AI988" s="149"/>
    </row>
    <row r="989" spans="11:35">
      <c r="K989" s="85"/>
      <c r="L989" s="54" t="str">
        <f t="shared" si="83"/>
        <v/>
      </c>
      <c r="M989" s="38" t="str">
        <f t="shared" ref="M989:M1052" si="86">IFERROR(RIGHT("0000"&amp;DEC2HEX(N989),4),"")</f>
        <v>04D5</v>
      </c>
      <c r="N989" s="69">
        <f t="shared" si="85"/>
        <v>1237</v>
      </c>
      <c r="O989" s="96"/>
      <c r="P989" s="97"/>
      <c r="Q989" s="98"/>
      <c r="R989" s="135"/>
      <c r="U989" s="48" t="str">
        <f t="shared" si="84"/>
        <v/>
      </c>
      <c r="V989" s="16"/>
      <c r="W989" s="34"/>
      <c r="X989" s="35"/>
      <c r="Z989" s="74"/>
      <c r="AA989" s="130" t="str" cm="1">
        <f t="array" ref="AA989">HEX2ASCII(AB989)&amp;HEX2ASCII(AC989)&amp;HEX2ASCII(AD989)&amp;HEX2ASCII(AE989)&amp;HEX2ASCII(AF989)&amp;HEX2ASCII(AG989)&amp;HEX2ASCII(AH989)&amp;HEX2ASCII(AI989)</f>
        <v/>
      </c>
      <c r="AB989" s="147"/>
      <c r="AC989" s="148"/>
      <c r="AD989" s="148"/>
      <c r="AE989" s="148"/>
      <c r="AF989" s="148"/>
      <c r="AG989" s="148"/>
      <c r="AH989" s="148"/>
      <c r="AI989" s="149"/>
    </row>
    <row r="990" spans="11:35">
      <c r="K990" s="85"/>
      <c r="L990" s="54" t="str">
        <f t="shared" si="83"/>
        <v/>
      </c>
      <c r="M990" s="38" t="str">
        <f t="shared" si="86"/>
        <v>04D6</v>
      </c>
      <c r="N990" s="69">
        <f t="shared" si="85"/>
        <v>1238</v>
      </c>
      <c r="O990" s="96"/>
      <c r="P990" s="97"/>
      <c r="Q990" s="98"/>
      <c r="R990" s="135"/>
      <c r="U990" s="48" t="str">
        <f t="shared" si="84"/>
        <v/>
      </c>
      <c r="V990" s="16"/>
      <c r="W990" s="34"/>
      <c r="X990" s="35"/>
      <c r="Z990" s="74"/>
      <c r="AA990" s="130" t="str" cm="1">
        <f t="array" ref="AA990">HEX2ASCII(AB990)&amp;HEX2ASCII(AC990)&amp;HEX2ASCII(AD990)&amp;HEX2ASCII(AE990)&amp;HEX2ASCII(AF990)&amp;HEX2ASCII(AG990)&amp;HEX2ASCII(AH990)&amp;HEX2ASCII(AI990)</f>
        <v/>
      </c>
      <c r="AB990" s="147"/>
      <c r="AC990" s="148"/>
      <c r="AD990" s="148"/>
      <c r="AE990" s="148"/>
      <c r="AF990" s="148"/>
      <c r="AG990" s="148"/>
      <c r="AH990" s="148"/>
      <c r="AI990" s="149"/>
    </row>
    <row r="991" spans="11:35">
      <c r="K991" s="85"/>
      <c r="L991" s="54" t="str">
        <f t="shared" si="83"/>
        <v/>
      </c>
      <c r="M991" s="38" t="str">
        <f t="shared" si="86"/>
        <v>04D7</v>
      </c>
      <c r="N991" s="69">
        <f t="shared" si="85"/>
        <v>1239</v>
      </c>
      <c r="O991" s="96"/>
      <c r="P991" s="97"/>
      <c r="Q991" s="98"/>
      <c r="R991" s="135"/>
      <c r="U991" s="48" t="str">
        <f t="shared" si="84"/>
        <v/>
      </c>
      <c r="V991" s="16"/>
      <c r="W991" s="34"/>
      <c r="X991" s="35"/>
      <c r="Z991" s="74"/>
      <c r="AA991" s="130" t="str" cm="1">
        <f t="array" ref="AA991">HEX2ASCII(AB991)&amp;HEX2ASCII(AC991)&amp;HEX2ASCII(AD991)&amp;HEX2ASCII(AE991)&amp;HEX2ASCII(AF991)&amp;HEX2ASCII(AG991)&amp;HEX2ASCII(AH991)&amp;HEX2ASCII(AI991)</f>
        <v/>
      </c>
      <c r="AB991" s="147"/>
      <c r="AC991" s="148"/>
      <c r="AD991" s="148"/>
      <c r="AE991" s="148"/>
      <c r="AF991" s="148"/>
      <c r="AG991" s="148"/>
      <c r="AH991" s="148"/>
      <c r="AI991" s="149"/>
    </row>
    <row r="992" spans="11:35">
      <c r="K992" s="85"/>
      <c r="L992" s="54" t="str">
        <f t="shared" si="83"/>
        <v/>
      </c>
      <c r="M992" s="38" t="str">
        <f t="shared" si="86"/>
        <v>04D8</v>
      </c>
      <c r="N992" s="69">
        <f t="shared" si="85"/>
        <v>1240</v>
      </c>
      <c r="O992" s="96"/>
      <c r="P992" s="97"/>
      <c r="Q992" s="98"/>
      <c r="R992" s="135"/>
      <c r="U992" s="48" t="str">
        <f t="shared" si="84"/>
        <v/>
      </c>
      <c r="V992" s="16"/>
      <c r="W992" s="34"/>
      <c r="X992" s="35"/>
      <c r="Z992" s="74"/>
      <c r="AA992" s="130" t="str" cm="1">
        <f t="array" ref="AA992">HEX2ASCII(AB992)&amp;HEX2ASCII(AC992)&amp;HEX2ASCII(AD992)&amp;HEX2ASCII(AE992)&amp;HEX2ASCII(AF992)&amp;HEX2ASCII(AG992)&amp;HEX2ASCII(AH992)&amp;HEX2ASCII(AI992)</f>
        <v/>
      </c>
      <c r="AB992" s="147"/>
      <c r="AC992" s="148"/>
      <c r="AD992" s="148"/>
      <c r="AE992" s="148"/>
      <c r="AF992" s="148"/>
      <c r="AG992" s="148"/>
      <c r="AH992" s="148"/>
      <c r="AI992" s="149"/>
    </row>
    <row r="993" spans="11:35">
      <c r="K993" s="85"/>
      <c r="L993" s="54" t="str">
        <f t="shared" si="83"/>
        <v/>
      </c>
      <c r="M993" s="38" t="str">
        <f t="shared" si="86"/>
        <v>04D9</v>
      </c>
      <c r="N993" s="69">
        <f t="shared" si="85"/>
        <v>1241</v>
      </c>
      <c r="O993" s="96"/>
      <c r="P993" s="97"/>
      <c r="Q993" s="98"/>
      <c r="R993" s="135"/>
      <c r="U993" s="48" t="str">
        <f t="shared" si="84"/>
        <v/>
      </c>
      <c r="V993" s="16"/>
      <c r="W993" s="34"/>
      <c r="X993" s="35"/>
      <c r="Z993" s="74"/>
      <c r="AA993" s="130" t="str" cm="1">
        <f t="array" ref="AA993">HEX2ASCII(AB993)&amp;HEX2ASCII(AC993)&amp;HEX2ASCII(AD993)&amp;HEX2ASCII(AE993)&amp;HEX2ASCII(AF993)&amp;HEX2ASCII(AG993)&amp;HEX2ASCII(AH993)&amp;HEX2ASCII(AI993)</f>
        <v/>
      </c>
      <c r="AB993" s="147"/>
      <c r="AC993" s="148"/>
      <c r="AD993" s="148"/>
      <c r="AE993" s="148"/>
      <c r="AF993" s="148"/>
      <c r="AG993" s="148"/>
      <c r="AH993" s="148"/>
      <c r="AI993" s="149"/>
    </row>
    <row r="994" spans="11:35">
      <c r="K994" s="85"/>
      <c r="L994" s="54" t="str">
        <f t="shared" si="83"/>
        <v/>
      </c>
      <c r="M994" s="38" t="str">
        <f t="shared" si="86"/>
        <v>04DA</v>
      </c>
      <c r="N994" s="69">
        <f t="shared" si="85"/>
        <v>1242</v>
      </c>
      <c r="O994" s="96"/>
      <c r="P994" s="97"/>
      <c r="Q994" s="98"/>
      <c r="R994" s="135"/>
      <c r="U994" s="48" t="str">
        <f t="shared" si="84"/>
        <v/>
      </c>
      <c r="V994" s="16"/>
      <c r="W994" s="34"/>
      <c r="X994" s="35"/>
      <c r="Z994" s="74"/>
      <c r="AA994" s="130" t="str" cm="1">
        <f t="array" ref="AA994">HEX2ASCII(AB994)&amp;HEX2ASCII(AC994)&amp;HEX2ASCII(AD994)&amp;HEX2ASCII(AE994)&amp;HEX2ASCII(AF994)&amp;HEX2ASCII(AG994)&amp;HEX2ASCII(AH994)&amp;HEX2ASCII(AI994)</f>
        <v/>
      </c>
      <c r="AB994" s="147"/>
      <c r="AC994" s="148"/>
      <c r="AD994" s="148"/>
      <c r="AE994" s="148"/>
      <c r="AF994" s="148"/>
      <c r="AG994" s="148"/>
      <c r="AH994" s="148"/>
      <c r="AI994" s="149"/>
    </row>
    <row r="995" spans="11:35">
      <c r="K995" s="85"/>
      <c r="L995" s="54" t="str">
        <f t="shared" si="83"/>
        <v/>
      </c>
      <c r="M995" s="38" t="str">
        <f t="shared" si="86"/>
        <v>04DB</v>
      </c>
      <c r="N995" s="69">
        <f t="shared" si="85"/>
        <v>1243</v>
      </c>
      <c r="O995" s="96"/>
      <c r="P995" s="97"/>
      <c r="Q995" s="98"/>
      <c r="R995" s="135"/>
      <c r="U995" s="48" t="str">
        <f t="shared" si="84"/>
        <v/>
      </c>
      <c r="V995" s="16"/>
      <c r="W995" s="34"/>
      <c r="X995" s="35"/>
      <c r="Z995" s="74"/>
      <c r="AA995" s="130" t="str" cm="1">
        <f t="array" ref="AA995">HEX2ASCII(AB995)&amp;HEX2ASCII(AC995)&amp;HEX2ASCII(AD995)&amp;HEX2ASCII(AE995)&amp;HEX2ASCII(AF995)&amp;HEX2ASCII(AG995)&amp;HEX2ASCII(AH995)&amp;HEX2ASCII(AI995)</f>
        <v/>
      </c>
      <c r="AB995" s="147"/>
      <c r="AC995" s="148"/>
      <c r="AD995" s="148"/>
      <c r="AE995" s="148"/>
      <c r="AF995" s="148"/>
      <c r="AG995" s="148"/>
      <c r="AH995" s="148"/>
      <c r="AI995" s="149"/>
    </row>
    <row r="996" spans="11:35">
      <c r="K996" s="85"/>
      <c r="L996" s="54" t="str">
        <f t="shared" si="83"/>
        <v/>
      </c>
      <c r="M996" s="38" t="str">
        <f t="shared" si="86"/>
        <v>04DC</v>
      </c>
      <c r="N996" s="69">
        <f t="shared" si="85"/>
        <v>1244</v>
      </c>
      <c r="O996" s="96"/>
      <c r="P996" s="97"/>
      <c r="Q996" s="98"/>
      <c r="R996" s="135"/>
      <c r="U996" s="48" t="str">
        <f t="shared" si="84"/>
        <v/>
      </c>
      <c r="V996" s="16"/>
      <c r="W996" s="34"/>
      <c r="X996" s="35"/>
      <c r="Z996" s="74"/>
      <c r="AA996" s="130" t="str" cm="1">
        <f t="array" ref="AA996">HEX2ASCII(AB996)&amp;HEX2ASCII(AC996)&amp;HEX2ASCII(AD996)&amp;HEX2ASCII(AE996)&amp;HEX2ASCII(AF996)&amp;HEX2ASCII(AG996)&amp;HEX2ASCII(AH996)&amp;HEX2ASCII(AI996)</f>
        <v/>
      </c>
      <c r="AB996" s="147"/>
      <c r="AC996" s="148"/>
      <c r="AD996" s="148"/>
      <c r="AE996" s="148"/>
      <c r="AF996" s="148"/>
      <c r="AG996" s="148"/>
      <c r="AH996" s="148"/>
      <c r="AI996" s="149"/>
    </row>
    <row r="997" spans="11:35">
      <c r="K997" s="85"/>
      <c r="L997" s="54" t="str">
        <f t="shared" si="83"/>
        <v/>
      </c>
      <c r="M997" s="38" t="str">
        <f t="shared" si="86"/>
        <v>04DD</v>
      </c>
      <c r="N997" s="69">
        <f t="shared" si="85"/>
        <v>1245</v>
      </c>
      <c r="O997" s="96"/>
      <c r="P997" s="97"/>
      <c r="Q997" s="98"/>
      <c r="R997" s="135"/>
      <c r="U997" s="48" t="str">
        <f t="shared" si="84"/>
        <v/>
      </c>
      <c r="V997" s="16"/>
      <c r="W997" s="34"/>
      <c r="X997" s="35"/>
      <c r="Z997" s="74"/>
      <c r="AA997" s="130" t="str" cm="1">
        <f t="array" ref="AA997">HEX2ASCII(AB997)&amp;HEX2ASCII(AC997)&amp;HEX2ASCII(AD997)&amp;HEX2ASCII(AE997)&amp;HEX2ASCII(AF997)&amp;HEX2ASCII(AG997)&amp;HEX2ASCII(AH997)&amp;HEX2ASCII(AI997)</f>
        <v/>
      </c>
      <c r="AB997" s="147"/>
      <c r="AC997" s="148"/>
      <c r="AD997" s="148"/>
      <c r="AE997" s="148"/>
      <c r="AF997" s="148"/>
      <c r="AG997" s="148"/>
      <c r="AH997" s="148"/>
      <c r="AI997" s="149"/>
    </row>
    <row r="998" spans="11:35">
      <c r="K998" s="85"/>
      <c r="L998" s="54" t="str">
        <f t="shared" si="83"/>
        <v/>
      </c>
      <c r="M998" s="38" t="str">
        <f t="shared" si="86"/>
        <v>04DE</v>
      </c>
      <c r="N998" s="69">
        <f t="shared" si="85"/>
        <v>1246</v>
      </c>
      <c r="O998" s="96"/>
      <c r="P998" s="97"/>
      <c r="Q998" s="98"/>
      <c r="R998" s="135"/>
      <c r="U998" s="48" t="str">
        <f t="shared" si="84"/>
        <v/>
      </c>
      <c r="V998" s="16"/>
      <c r="W998" s="34"/>
      <c r="X998" s="35"/>
      <c r="Z998" s="74"/>
      <c r="AA998" s="130" t="str" cm="1">
        <f t="array" ref="AA998">HEX2ASCII(AB998)&amp;HEX2ASCII(AC998)&amp;HEX2ASCII(AD998)&amp;HEX2ASCII(AE998)&amp;HEX2ASCII(AF998)&amp;HEX2ASCII(AG998)&amp;HEX2ASCII(AH998)&amp;HEX2ASCII(AI998)</f>
        <v/>
      </c>
      <c r="AB998" s="147"/>
      <c r="AC998" s="148"/>
      <c r="AD998" s="148"/>
      <c r="AE998" s="148"/>
      <c r="AF998" s="148"/>
      <c r="AG998" s="148"/>
      <c r="AH998" s="148"/>
      <c r="AI998" s="149"/>
    </row>
    <row r="999" spans="11:35">
      <c r="K999" s="85"/>
      <c r="L999" s="54" t="str">
        <f t="shared" si="83"/>
        <v/>
      </c>
      <c r="M999" s="38" t="str">
        <f t="shared" si="86"/>
        <v>04DF</v>
      </c>
      <c r="N999" s="69">
        <f t="shared" si="85"/>
        <v>1247</v>
      </c>
      <c r="O999" s="96"/>
      <c r="P999" s="97"/>
      <c r="Q999" s="98"/>
      <c r="R999" s="135"/>
      <c r="U999" s="48" t="str">
        <f t="shared" si="84"/>
        <v/>
      </c>
      <c r="V999" s="16"/>
      <c r="W999" s="34"/>
      <c r="X999" s="35"/>
      <c r="Z999" s="74"/>
      <c r="AA999" s="130" t="str" cm="1">
        <f t="array" ref="AA999">HEX2ASCII(AB999)&amp;HEX2ASCII(AC999)&amp;HEX2ASCII(AD999)&amp;HEX2ASCII(AE999)&amp;HEX2ASCII(AF999)&amp;HEX2ASCII(AG999)&amp;HEX2ASCII(AH999)&amp;HEX2ASCII(AI999)</f>
        <v/>
      </c>
      <c r="AB999" s="147"/>
      <c r="AC999" s="148"/>
      <c r="AD999" s="148"/>
      <c r="AE999" s="148"/>
      <c r="AF999" s="148"/>
      <c r="AG999" s="148"/>
      <c r="AH999" s="148"/>
      <c r="AI999" s="149"/>
    </row>
    <row r="1000" spans="11:35">
      <c r="K1000" s="85"/>
      <c r="L1000" s="54" t="str">
        <f t="shared" si="83"/>
        <v/>
      </c>
      <c r="M1000" s="38" t="str">
        <f t="shared" si="86"/>
        <v>04E0</v>
      </c>
      <c r="N1000" s="69">
        <f t="shared" si="85"/>
        <v>1248</v>
      </c>
      <c r="O1000" s="96"/>
      <c r="P1000" s="97"/>
      <c r="Q1000" s="98"/>
      <c r="R1000" s="135"/>
      <c r="U1000" s="48" t="str">
        <f t="shared" si="84"/>
        <v/>
      </c>
      <c r="V1000" s="16"/>
      <c r="W1000" s="34"/>
      <c r="X1000" s="35"/>
      <c r="Z1000" s="74"/>
      <c r="AA1000" s="130" t="str" cm="1">
        <f t="array" ref="AA1000">HEX2ASCII(AB1000)&amp;HEX2ASCII(AC1000)&amp;HEX2ASCII(AD1000)&amp;HEX2ASCII(AE1000)&amp;HEX2ASCII(AF1000)&amp;HEX2ASCII(AG1000)&amp;HEX2ASCII(AH1000)&amp;HEX2ASCII(AI1000)</f>
        <v/>
      </c>
      <c r="AB1000" s="147"/>
      <c r="AC1000" s="148"/>
      <c r="AD1000" s="148"/>
      <c r="AE1000" s="148"/>
      <c r="AF1000" s="148"/>
      <c r="AG1000" s="148"/>
      <c r="AH1000" s="148"/>
      <c r="AI1000" s="149"/>
    </row>
    <row r="1001" spans="11:35">
      <c r="K1001" s="85"/>
      <c r="L1001" s="54" t="str">
        <f t="shared" si="83"/>
        <v/>
      </c>
      <c r="M1001" s="38" t="str">
        <f t="shared" si="86"/>
        <v>04E1</v>
      </c>
      <c r="N1001" s="69">
        <f t="shared" si="85"/>
        <v>1249</v>
      </c>
      <c r="O1001" s="96"/>
      <c r="P1001" s="97"/>
      <c r="Q1001" s="98"/>
      <c r="R1001" s="135"/>
      <c r="U1001" s="48" t="str">
        <f t="shared" si="84"/>
        <v/>
      </c>
      <c r="V1001" s="16"/>
      <c r="W1001" s="34"/>
      <c r="X1001" s="35"/>
      <c r="Z1001" s="74"/>
      <c r="AA1001" s="130" t="str" cm="1">
        <f t="array" ref="AA1001">HEX2ASCII(AB1001)&amp;HEX2ASCII(AC1001)&amp;HEX2ASCII(AD1001)&amp;HEX2ASCII(AE1001)&amp;HEX2ASCII(AF1001)&amp;HEX2ASCII(AG1001)&amp;HEX2ASCII(AH1001)&amp;HEX2ASCII(AI1001)</f>
        <v/>
      </c>
      <c r="AB1001" s="147"/>
      <c r="AC1001" s="148"/>
      <c r="AD1001" s="148"/>
      <c r="AE1001" s="148"/>
      <c r="AF1001" s="148"/>
      <c r="AG1001" s="148"/>
      <c r="AH1001" s="148"/>
      <c r="AI1001" s="149"/>
    </row>
    <row r="1002" spans="11:35">
      <c r="K1002" s="85"/>
      <c r="L1002" s="54" t="str">
        <f t="shared" si="83"/>
        <v/>
      </c>
      <c r="M1002" s="38" t="str">
        <f t="shared" si="86"/>
        <v>04E2</v>
      </c>
      <c r="N1002" s="69">
        <f t="shared" si="85"/>
        <v>1250</v>
      </c>
      <c r="O1002" s="96"/>
      <c r="P1002" s="97"/>
      <c r="Q1002" s="98"/>
      <c r="R1002" s="135"/>
      <c r="U1002" s="48" t="str">
        <f t="shared" si="84"/>
        <v/>
      </c>
      <c r="V1002" s="16"/>
      <c r="W1002" s="34"/>
      <c r="X1002" s="35"/>
      <c r="Z1002" s="74"/>
      <c r="AA1002" s="130" t="str" cm="1">
        <f t="array" ref="AA1002">HEX2ASCII(AB1002)&amp;HEX2ASCII(AC1002)&amp;HEX2ASCII(AD1002)&amp;HEX2ASCII(AE1002)&amp;HEX2ASCII(AF1002)&amp;HEX2ASCII(AG1002)&amp;HEX2ASCII(AH1002)&amp;HEX2ASCII(AI1002)</f>
        <v/>
      </c>
      <c r="AB1002" s="147"/>
      <c r="AC1002" s="148"/>
      <c r="AD1002" s="148"/>
      <c r="AE1002" s="148"/>
      <c r="AF1002" s="148"/>
      <c r="AG1002" s="148"/>
      <c r="AH1002" s="148"/>
      <c r="AI1002" s="149"/>
    </row>
    <row r="1003" spans="11:35">
      <c r="K1003" s="85"/>
      <c r="L1003" s="54" t="str">
        <f t="shared" si="83"/>
        <v/>
      </c>
      <c r="M1003" s="38" t="str">
        <f t="shared" si="86"/>
        <v>04E3</v>
      </c>
      <c r="N1003" s="69">
        <f t="shared" si="85"/>
        <v>1251</v>
      </c>
      <c r="O1003" s="96"/>
      <c r="P1003" s="97"/>
      <c r="Q1003" s="98"/>
      <c r="R1003" s="135"/>
      <c r="U1003" s="48" t="str">
        <f t="shared" si="84"/>
        <v/>
      </c>
      <c r="V1003" s="16"/>
      <c r="W1003" s="34"/>
      <c r="X1003" s="35"/>
      <c r="Z1003" s="74"/>
      <c r="AA1003" s="130" t="str" cm="1">
        <f t="array" ref="AA1003">HEX2ASCII(AB1003)&amp;HEX2ASCII(AC1003)&amp;HEX2ASCII(AD1003)&amp;HEX2ASCII(AE1003)&amp;HEX2ASCII(AF1003)&amp;HEX2ASCII(AG1003)&amp;HEX2ASCII(AH1003)&amp;HEX2ASCII(AI1003)</f>
        <v/>
      </c>
      <c r="AB1003" s="147"/>
      <c r="AC1003" s="148"/>
      <c r="AD1003" s="148"/>
      <c r="AE1003" s="148"/>
      <c r="AF1003" s="148"/>
      <c r="AG1003" s="148"/>
      <c r="AH1003" s="148"/>
      <c r="AI1003" s="149"/>
    </row>
    <row r="1004" spans="11:35">
      <c r="K1004" s="85"/>
      <c r="L1004" s="54" t="str">
        <f t="shared" si="83"/>
        <v/>
      </c>
      <c r="M1004" s="38" t="str">
        <f t="shared" si="86"/>
        <v>04E4</v>
      </c>
      <c r="N1004" s="69">
        <f t="shared" si="85"/>
        <v>1252</v>
      </c>
      <c r="O1004" s="96"/>
      <c r="P1004" s="97"/>
      <c r="Q1004" s="98"/>
      <c r="R1004" s="135"/>
      <c r="U1004" s="48" t="str">
        <f t="shared" si="84"/>
        <v/>
      </c>
      <c r="V1004" s="16"/>
      <c r="W1004" s="34"/>
      <c r="X1004" s="35"/>
      <c r="Z1004" s="74"/>
      <c r="AA1004" s="130" t="str" cm="1">
        <f t="array" ref="AA1004">HEX2ASCII(AB1004)&amp;HEX2ASCII(AC1004)&amp;HEX2ASCII(AD1004)&amp;HEX2ASCII(AE1004)&amp;HEX2ASCII(AF1004)&amp;HEX2ASCII(AG1004)&amp;HEX2ASCII(AH1004)&amp;HEX2ASCII(AI1004)</f>
        <v/>
      </c>
      <c r="AB1004" s="147"/>
      <c r="AC1004" s="148"/>
      <c r="AD1004" s="148"/>
      <c r="AE1004" s="148"/>
      <c r="AF1004" s="148"/>
      <c r="AG1004" s="148"/>
      <c r="AH1004" s="148"/>
      <c r="AI1004" s="149"/>
    </row>
    <row r="1005" spans="11:35">
      <c r="K1005" s="85"/>
      <c r="L1005" s="54" t="str">
        <f t="shared" si="83"/>
        <v/>
      </c>
      <c r="M1005" s="38" t="str">
        <f t="shared" si="86"/>
        <v>04E5</v>
      </c>
      <c r="N1005" s="69">
        <f t="shared" si="85"/>
        <v>1253</v>
      </c>
      <c r="O1005" s="96"/>
      <c r="P1005" s="97"/>
      <c r="Q1005" s="98"/>
      <c r="R1005" s="135"/>
      <c r="U1005" s="48" t="str">
        <f t="shared" si="84"/>
        <v/>
      </c>
      <c r="V1005" s="16"/>
      <c r="W1005" s="34"/>
      <c r="X1005" s="35"/>
      <c r="Z1005" s="74"/>
      <c r="AA1005" s="130" t="str" cm="1">
        <f t="array" ref="AA1005">HEX2ASCII(AB1005)&amp;HEX2ASCII(AC1005)&amp;HEX2ASCII(AD1005)&amp;HEX2ASCII(AE1005)&amp;HEX2ASCII(AF1005)&amp;HEX2ASCII(AG1005)&amp;HEX2ASCII(AH1005)&amp;HEX2ASCII(AI1005)</f>
        <v/>
      </c>
      <c r="AB1005" s="147"/>
      <c r="AC1005" s="148"/>
      <c r="AD1005" s="148"/>
      <c r="AE1005" s="148"/>
      <c r="AF1005" s="148"/>
      <c r="AG1005" s="148"/>
      <c r="AH1005" s="148"/>
      <c r="AI1005" s="149"/>
    </row>
    <row r="1006" spans="11:35">
      <c r="K1006" s="85"/>
      <c r="L1006" s="54" t="str">
        <f t="shared" si="83"/>
        <v/>
      </c>
      <c r="M1006" s="38" t="str">
        <f t="shared" si="86"/>
        <v>04E6</v>
      </c>
      <c r="N1006" s="69">
        <f t="shared" si="85"/>
        <v>1254</v>
      </c>
      <c r="O1006" s="96"/>
      <c r="P1006" s="97"/>
      <c r="Q1006" s="98"/>
      <c r="R1006" s="135"/>
      <c r="U1006" s="48" t="str">
        <f t="shared" si="84"/>
        <v/>
      </c>
      <c r="V1006" s="16"/>
      <c r="W1006" s="34"/>
      <c r="X1006" s="35"/>
      <c r="Z1006" s="74"/>
      <c r="AA1006" s="130" t="str" cm="1">
        <f t="array" ref="AA1006">HEX2ASCII(AB1006)&amp;HEX2ASCII(AC1006)&amp;HEX2ASCII(AD1006)&amp;HEX2ASCII(AE1006)&amp;HEX2ASCII(AF1006)&amp;HEX2ASCII(AG1006)&amp;HEX2ASCII(AH1006)&amp;HEX2ASCII(AI1006)</f>
        <v/>
      </c>
      <c r="AB1006" s="147"/>
      <c r="AC1006" s="148"/>
      <c r="AD1006" s="148"/>
      <c r="AE1006" s="148"/>
      <c r="AF1006" s="148"/>
      <c r="AG1006" s="148"/>
      <c r="AH1006" s="148"/>
      <c r="AI1006" s="149"/>
    </row>
    <row r="1007" spans="11:35">
      <c r="K1007" s="85"/>
      <c r="L1007" s="54" t="str">
        <f t="shared" si="83"/>
        <v/>
      </c>
      <c r="M1007" s="38" t="str">
        <f t="shared" si="86"/>
        <v>04E7</v>
      </c>
      <c r="N1007" s="69">
        <f t="shared" si="85"/>
        <v>1255</v>
      </c>
      <c r="O1007" s="96"/>
      <c r="P1007" s="97"/>
      <c r="Q1007" s="98"/>
      <c r="R1007" s="135"/>
      <c r="U1007" s="48" t="str">
        <f t="shared" si="84"/>
        <v/>
      </c>
      <c r="V1007" s="16"/>
      <c r="W1007" s="34"/>
      <c r="X1007" s="35"/>
      <c r="Z1007" s="74"/>
      <c r="AA1007" s="130" t="str" cm="1">
        <f t="array" ref="AA1007">HEX2ASCII(AB1007)&amp;HEX2ASCII(AC1007)&amp;HEX2ASCII(AD1007)&amp;HEX2ASCII(AE1007)&amp;HEX2ASCII(AF1007)&amp;HEX2ASCII(AG1007)&amp;HEX2ASCII(AH1007)&amp;HEX2ASCII(AI1007)</f>
        <v/>
      </c>
      <c r="AB1007" s="147"/>
      <c r="AC1007" s="148"/>
      <c r="AD1007" s="148"/>
      <c r="AE1007" s="148"/>
      <c r="AF1007" s="148"/>
      <c r="AG1007" s="148"/>
      <c r="AH1007" s="148"/>
      <c r="AI1007" s="149"/>
    </row>
    <row r="1008" spans="11:35" ht="15.75" thickBot="1">
      <c r="K1008" s="85"/>
      <c r="L1008" s="54" t="str">
        <f t="shared" si="83"/>
        <v/>
      </c>
      <c r="M1008" s="38" t="str">
        <f t="shared" si="86"/>
        <v>04E8</v>
      </c>
      <c r="N1008" s="69">
        <f t="shared" si="85"/>
        <v>1256</v>
      </c>
      <c r="O1008" s="96"/>
      <c r="P1008" s="97"/>
      <c r="Q1008" s="98"/>
      <c r="R1008" s="135"/>
      <c r="U1008" s="49" t="str">
        <f t="shared" si="84"/>
        <v/>
      </c>
      <c r="V1008" s="17"/>
      <c r="W1008" s="36"/>
      <c r="X1008" s="37"/>
      <c r="Z1008" s="74"/>
      <c r="AA1008" s="130" t="str" cm="1">
        <f t="array" ref="AA1008">HEX2ASCII(AB1008)&amp;HEX2ASCII(AC1008)&amp;HEX2ASCII(AD1008)&amp;HEX2ASCII(AE1008)&amp;HEX2ASCII(AF1008)&amp;HEX2ASCII(AG1008)&amp;HEX2ASCII(AH1008)&amp;HEX2ASCII(AI1008)</f>
        <v/>
      </c>
      <c r="AB1008" s="147"/>
      <c r="AC1008" s="148"/>
      <c r="AD1008" s="148"/>
      <c r="AE1008" s="148"/>
      <c r="AF1008" s="148"/>
      <c r="AG1008" s="148"/>
      <c r="AH1008" s="148"/>
      <c r="AI1008" s="149"/>
    </row>
    <row r="1009" spans="11:35">
      <c r="K1009" s="85"/>
      <c r="L1009" s="54" t="str">
        <f t="shared" si="83"/>
        <v/>
      </c>
      <c r="M1009" s="38" t="str">
        <f t="shared" si="86"/>
        <v>04E9</v>
      </c>
      <c r="N1009" s="69">
        <f t="shared" si="85"/>
        <v>1257</v>
      </c>
      <c r="O1009" s="96"/>
      <c r="P1009" s="97"/>
      <c r="Q1009" s="98"/>
      <c r="R1009" s="135"/>
      <c r="S1009">
        <f>S1008+IFERROR(VLOOKUP($P1008,'8080 Op to Hex'!$A:$F,6,0),0)</f>
        <v>0</v>
      </c>
      <c r="Z1009" s="74"/>
      <c r="AA1009" s="130" t="str" cm="1">
        <f t="array" ref="AA1009">HEX2ASCII(AB1009)&amp;HEX2ASCII(AC1009)&amp;HEX2ASCII(AD1009)&amp;HEX2ASCII(AE1009)&amp;HEX2ASCII(AF1009)&amp;HEX2ASCII(AG1009)&amp;HEX2ASCII(AH1009)&amp;HEX2ASCII(AI1009)</f>
        <v/>
      </c>
      <c r="AB1009" s="147"/>
      <c r="AC1009" s="148"/>
      <c r="AD1009" s="148"/>
      <c r="AE1009" s="148"/>
      <c r="AF1009" s="148"/>
      <c r="AG1009" s="148"/>
      <c r="AH1009" s="148"/>
      <c r="AI1009" s="149"/>
    </row>
    <row r="1010" spans="11:35">
      <c r="K1010" s="85"/>
      <c r="L1010" s="54" t="str">
        <f t="shared" si="83"/>
        <v/>
      </c>
      <c r="M1010" s="38" t="str">
        <f t="shared" si="86"/>
        <v>04EA</v>
      </c>
      <c r="N1010" s="69">
        <f t="shared" si="85"/>
        <v>1258</v>
      </c>
      <c r="O1010" s="96"/>
      <c r="P1010" s="97"/>
      <c r="Q1010" s="98"/>
      <c r="R1010" s="135"/>
      <c r="S1010">
        <f>S1009+IFERROR(VLOOKUP($P1009,'8080 Op to Hex'!$A:$F,6,0),0)</f>
        <v>0</v>
      </c>
      <c r="Z1010" s="74"/>
      <c r="AA1010" s="130" t="str" cm="1">
        <f t="array" ref="AA1010">HEX2ASCII(AB1010)&amp;HEX2ASCII(AC1010)&amp;HEX2ASCII(AD1010)&amp;HEX2ASCII(AE1010)&amp;HEX2ASCII(AF1010)&amp;HEX2ASCII(AG1010)&amp;HEX2ASCII(AH1010)&amp;HEX2ASCII(AI1010)</f>
        <v/>
      </c>
      <c r="AB1010" s="147"/>
      <c r="AC1010" s="148"/>
      <c r="AD1010" s="148"/>
      <c r="AE1010" s="148"/>
      <c r="AF1010" s="148"/>
      <c r="AG1010" s="148"/>
      <c r="AH1010" s="148"/>
      <c r="AI1010" s="149"/>
    </row>
    <row r="1011" spans="11:35">
      <c r="K1011" s="85"/>
      <c r="L1011" s="54" t="str">
        <f t="shared" si="83"/>
        <v/>
      </c>
      <c r="M1011" s="38" t="str">
        <f t="shared" si="86"/>
        <v>04EB</v>
      </c>
      <c r="N1011" s="69">
        <f t="shared" si="85"/>
        <v>1259</v>
      </c>
      <c r="O1011" s="96"/>
      <c r="P1011" s="97"/>
      <c r="Q1011" s="98"/>
      <c r="R1011" s="135"/>
      <c r="S1011">
        <f>S1010+IFERROR(VLOOKUP($P1010,'8080 Op to Hex'!$A:$F,6,0),0)</f>
        <v>0</v>
      </c>
      <c r="Z1011" s="74"/>
      <c r="AA1011" s="130" t="str" cm="1">
        <f t="array" ref="AA1011">HEX2ASCII(AB1011)&amp;HEX2ASCII(AC1011)&amp;HEX2ASCII(AD1011)&amp;HEX2ASCII(AE1011)&amp;HEX2ASCII(AF1011)&amp;HEX2ASCII(AG1011)&amp;HEX2ASCII(AH1011)&amp;HEX2ASCII(AI1011)</f>
        <v/>
      </c>
      <c r="AB1011" s="147"/>
      <c r="AC1011" s="148"/>
      <c r="AD1011" s="148"/>
      <c r="AE1011" s="148"/>
      <c r="AF1011" s="148"/>
      <c r="AG1011" s="148"/>
      <c r="AH1011" s="148"/>
      <c r="AI1011" s="149"/>
    </row>
    <row r="1012" spans="11:35">
      <c r="K1012" s="85"/>
      <c r="L1012" s="54" t="str">
        <f t="shared" si="83"/>
        <v/>
      </c>
      <c r="M1012" s="38" t="str">
        <f t="shared" si="86"/>
        <v>04EC</v>
      </c>
      <c r="N1012" s="69">
        <f t="shared" si="85"/>
        <v>1260</v>
      </c>
      <c r="O1012" s="96"/>
      <c r="P1012" s="97"/>
      <c r="Q1012" s="98"/>
      <c r="R1012" s="135"/>
      <c r="S1012">
        <f>S1011+IFERROR(VLOOKUP($P1011,'8080 Op to Hex'!$A:$F,6,0),0)</f>
        <v>0</v>
      </c>
      <c r="Z1012" s="74"/>
      <c r="AA1012" s="130" t="str" cm="1">
        <f t="array" ref="AA1012">HEX2ASCII(AB1012)&amp;HEX2ASCII(AC1012)&amp;HEX2ASCII(AD1012)&amp;HEX2ASCII(AE1012)&amp;HEX2ASCII(AF1012)&amp;HEX2ASCII(AG1012)&amp;HEX2ASCII(AH1012)&amp;HEX2ASCII(AI1012)</f>
        <v/>
      </c>
      <c r="AB1012" s="147"/>
      <c r="AC1012" s="148"/>
      <c r="AD1012" s="148"/>
      <c r="AE1012" s="148"/>
      <c r="AF1012" s="148"/>
      <c r="AG1012" s="148"/>
      <c r="AH1012" s="148"/>
      <c r="AI1012" s="149"/>
    </row>
    <row r="1013" spans="11:35">
      <c r="K1013" s="85"/>
      <c r="L1013" s="54" t="str">
        <f t="shared" si="83"/>
        <v/>
      </c>
      <c r="M1013" s="38" t="str">
        <f t="shared" si="86"/>
        <v>04ED</v>
      </c>
      <c r="N1013" s="69">
        <f t="shared" si="85"/>
        <v>1261</v>
      </c>
      <c r="O1013" s="96"/>
      <c r="P1013" s="97"/>
      <c r="Q1013" s="98"/>
      <c r="R1013" s="135"/>
      <c r="S1013">
        <f>S1012+IFERROR(VLOOKUP($P1012,'8080 Op to Hex'!$A:$F,6,0),0)</f>
        <v>0</v>
      </c>
      <c r="Z1013" s="74"/>
      <c r="AA1013" s="130" t="str" cm="1">
        <f t="array" ref="AA1013">HEX2ASCII(AB1013)&amp;HEX2ASCII(AC1013)&amp;HEX2ASCII(AD1013)&amp;HEX2ASCII(AE1013)&amp;HEX2ASCII(AF1013)&amp;HEX2ASCII(AG1013)&amp;HEX2ASCII(AH1013)&amp;HEX2ASCII(AI1013)</f>
        <v/>
      </c>
      <c r="AB1013" s="147"/>
      <c r="AC1013" s="148"/>
      <c r="AD1013" s="148"/>
      <c r="AE1013" s="148"/>
      <c r="AF1013" s="148"/>
      <c r="AG1013" s="148"/>
      <c r="AH1013" s="148"/>
      <c r="AI1013" s="149"/>
    </row>
    <row r="1014" spans="11:35">
      <c r="K1014" s="85"/>
      <c r="L1014" s="54" t="str">
        <f t="shared" si="83"/>
        <v/>
      </c>
      <c r="M1014" s="38" t="str">
        <f t="shared" si="86"/>
        <v>04EE</v>
      </c>
      <c r="N1014" s="69">
        <f t="shared" si="85"/>
        <v>1262</v>
      </c>
      <c r="O1014" s="96"/>
      <c r="P1014" s="97"/>
      <c r="Q1014" s="98"/>
      <c r="R1014" s="135"/>
      <c r="S1014">
        <f>S1013+IFERROR(VLOOKUP($P1013,'8080 Op to Hex'!$A:$F,6,0),0)</f>
        <v>0</v>
      </c>
      <c r="Z1014" s="74"/>
      <c r="AA1014" s="130" t="str" cm="1">
        <f t="array" ref="AA1014">HEX2ASCII(AB1014)&amp;HEX2ASCII(AC1014)&amp;HEX2ASCII(AD1014)&amp;HEX2ASCII(AE1014)&amp;HEX2ASCII(AF1014)&amp;HEX2ASCII(AG1014)&amp;HEX2ASCII(AH1014)&amp;HEX2ASCII(AI1014)</f>
        <v/>
      </c>
      <c r="AB1014" s="147"/>
      <c r="AC1014" s="148"/>
      <c r="AD1014" s="148"/>
      <c r="AE1014" s="148"/>
      <c r="AF1014" s="148"/>
      <c r="AG1014" s="148"/>
      <c r="AH1014" s="148"/>
      <c r="AI1014" s="149"/>
    </row>
    <row r="1015" spans="11:35">
      <c r="K1015" s="85"/>
      <c r="L1015" s="54" t="str">
        <f t="shared" si="83"/>
        <v/>
      </c>
      <c r="M1015" s="38" t="str">
        <f t="shared" si="86"/>
        <v>04EF</v>
      </c>
      <c r="N1015" s="69">
        <f t="shared" si="85"/>
        <v>1263</v>
      </c>
      <c r="O1015" s="96"/>
      <c r="P1015" s="97"/>
      <c r="Q1015" s="98"/>
      <c r="R1015" s="135"/>
      <c r="S1015">
        <f>S1014+IFERROR(VLOOKUP($P1014,'8080 Op to Hex'!$A:$F,6,0),0)</f>
        <v>0</v>
      </c>
      <c r="Z1015" s="74"/>
      <c r="AA1015" s="130" t="str" cm="1">
        <f t="array" ref="AA1015">HEX2ASCII(AB1015)&amp;HEX2ASCII(AC1015)&amp;HEX2ASCII(AD1015)&amp;HEX2ASCII(AE1015)&amp;HEX2ASCII(AF1015)&amp;HEX2ASCII(AG1015)&amp;HEX2ASCII(AH1015)&amp;HEX2ASCII(AI1015)</f>
        <v/>
      </c>
      <c r="AB1015" s="147"/>
      <c r="AC1015" s="148"/>
      <c r="AD1015" s="148"/>
      <c r="AE1015" s="148"/>
      <c r="AF1015" s="148"/>
      <c r="AG1015" s="148"/>
      <c r="AH1015" s="148"/>
      <c r="AI1015" s="149"/>
    </row>
    <row r="1016" spans="11:35">
      <c r="K1016" s="85"/>
      <c r="L1016" s="54" t="str">
        <f t="shared" si="83"/>
        <v/>
      </c>
      <c r="M1016" s="38" t="str">
        <f t="shared" si="86"/>
        <v>04F0</v>
      </c>
      <c r="N1016" s="69">
        <f t="shared" si="85"/>
        <v>1264</v>
      </c>
      <c r="O1016" s="96"/>
      <c r="P1016" s="97"/>
      <c r="Q1016" s="98"/>
      <c r="R1016" s="135"/>
      <c r="S1016">
        <f>S1015+IFERROR(VLOOKUP($P1015,'8080 Op to Hex'!$A:$F,6,0),0)</f>
        <v>0</v>
      </c>
      <c r="Z1016" s="74"/>
      <c r="AA1016" s="130" t="str" cm="1">
        <f t="array" ref="AA1016">HEX2ASCII(AB1016)&amp;HEX2ASCII(AC1016)&amp;HEX2ASCII(AD1016)&amp;HEX2ASCII(AE1016)&amp;HEX2ASCII(AF1016)&amp;HEX2ASCII(AG1016)&amp;HEX2ASCII(AH1016)&amp;HEX2ASCII(AI1016)</f>
        <v/>
      </c>
      <c r="AB1016" s="147"/>
      <c r="AC1016" s="148"/>
      <c r="AD1016" s="148"/>
      <c r="AE1016" s="148"/>
      <c r="AF1016" s="148"/>
      <c r="AG1016" s="148"/>
      <c r="AH1016" s="148"/>
      <c r="AI1016" s="149"/>
    </row>
    <row r="1017" spans="11:35">
      <c r="K1017" s="85"/>
      <c r="L1017" s="54" t="str">
        <f t="shared" si="83"/>
        <v/>
      </c>
      <c r="M1017" s="38" t="str">
        <f t="shared" si="86"/>
        <v>04F1</v>
      </c>
      <c r="N1017" s="69">
        <f t="shared" si="85"/>
        <v>1265</v>
      </c>
      <c r="O1017" s="96"/>
      <c r="P1017" s="97"/>
      <c r="Q1017" s="98"/>
      <c r="R1017" s="135"/>
      <c r="S1017">
        <f>S1016+IFERROR(VLOOKUP($P1016,'8080 Op to Hex'!$A:$F,6,0),0)</f>
        <v>0</v>
      </c>
      <c r="Z1017" s="74"/>
      <c r="AA1017" s="130" t="str" cm="1">
        <f t="array" ref="AA1017">HEX2ASCII(AB1017)&amp;HEX2ASCII(AC1017)&amp;HEX2ASCII(AD1017)&amp;HEX2ASCII(AE1017)&amp;HEX2ASCII(AF1017)&amp;HEX2ASCII(AG1017)&amp;HEX2ASCII(AH1017)&amp;HEX2ASCII(AI1017)</f>
        <v/>
      </c>
      <c r="AB1017" s="147"/>
      <c r="AC1017" s="148"/>
      <c r="AD1017" s="148"/>
      <c r="AE1017" s="148"/>
      <c r="AF1017" s="148"/>
      <c r="AG1017" s="148"/>
      <c r="AH1017" s="148"/>
      <c r="AI1017" s="149"/>
    </row>
    <row r="1018" spans="11:35">
      <c r="K1018" s="85"/>
      <c r="L1018" s="54" t="str">
        <f t="shared" si="83"/>
        <v/>
      </c>
      <c r="M1018" s="38" t="str">
        <f t="shared" si="86"/>
        <v>04F2</v>
      </c>
      <c r="N1018" s="69">
        <f t="shared" si="85"/>
        <v>1266</v>
      </c>
      <c r="O1018" s="96"/>
      <c r="P1018" s="97"/>
      <c r="Q1018" s="98"/>
      <c r="R1018" s="135"/>
      <c r="S1018">
        <f>S1017+IFERROR(VLOOKUP($P1017,'8080 Op to Hex'!$A:$F,6,0),0)</f>
        <v>0</v>
      </c>
      <c r="Z1018" s="74"/>
      <c r="AA1018" s="130" t="str" cm="1">
        <f t="array" ref="AA1018">HEX2ASCII(AB1018)&amp;HEX2ASCII(AC1018)&amp;HEX2ASCII(AD1018)&amp;HEX2ASCII(AE1018)&amp;HEX2ASCII(AF1018)&amp;HEX2ASCII(AG1018)&amp;HEX2ASCII(AH1018)&amp;HEX2ASCII(AI1018)</f>
        <v/>
      </c>
      <c r="AB1018" s="147"/>
      <c r="AC1018" s="148"/>
      <c r="AD1018" s="148"/>
      <c r="AE1018" s="148"/>
      <c r="AF1018" s="148"/>
      <c r="AG1018" s="148"/>
      <c r="AH1018" s="148"/>
      <c r="AI1018" s="149"/>
    </row>
    <row r="1019" spans="11:35">
      <c r="K1019" s="85"/>
      <c r="L1019" s="54" t="str">
        <f t="shared" si="83"/>
        <v/>
      </c>
      <c r="M1019" s="38" t="str">
        <f t="shared" si="86"/>
        <v>04F3</v>
      </c>
      <c r="N1019" s="69">
        <f t="shared" si="85"/>
        <v>1267</v>
      </c>
      <c r="O1019" s="96"/>
      <c r="P1019" s="97"/>
      <c r="Q1019" s="98"/>
      <c r="R1019" s="135"/>
      <c r="S1019">
        <f>S1018+IFERROR(VLOOKUP($P1018,'8080 Op to Hex'!$A:$F,6,0),0)</f>
        <v>0</v>
      </c>
      <c r="Z1019" s="74"/>
      <c r="AA1019" s="130" t="str" cm="1">
        <f t="array" ref="AA1019">HEX2ASCII(AB1019)&amp;HEX2ASCII(AC1019)&amp;HEX2ASCII(AD1019)&amp;HEX2ASCII(AE1019)&amp;HEX2ASCII(AF1019)&amp;HEX2ASCII(AG1019)&amp;HEX2ASCII(AH1019)&amp;HEX2ASCII(AI1019)</f>
        <v/>
      </c>
      <c r="AB1019" s="147"/>
      <c r="AC1019" s="148"/>
      <c r="AD1019" s="148"/>
      <c r="AE1019" s="148"/>
      <c r="AF1019" s="148"/>
      <c r="AG1019" s="148"/>
      <c r="AH1019" s="148"/>
      <c r="AI1019" s="149"/>
    </row>
    <row r="1020" spans="11:35">
      <c r="K1020" s="85"/>
      <c r="L1020" s="54" t="str">
        <f t="shared" si="83"/>
        <v/>
      </c>
      <c r="M1020" s="38" t="str">
        <f t="shared" si="86"/>
        <v>04F4</v>
      </c>
      <c r="N1020" s="69">
        <f t="shared" si="85"/>
        <v>1268</v>
      </c>
      <c r="O1020" s="96"/>
      <c r="P1020" s="97"/>
      <c r="Q1020" s="98"/>
      <c r="R1020" s="135"/>
      <c r="S1020">
        <f>S1019+IFERROR(VLOOKUP($P1019,'8080 Op to Hex'!$A:$F,6,0),0)</f>
        <v>0</v>
      </c>
      <c r="Z1020" s="74"/>
      <c r="AA1020" s="130" t="str" cm="1">
        <f t="array" ref="AA1020">HEX2ASCII(AB1020)&amp;HEX2ASCII(AC1020)&amp;HEX2ASCII(AD1020)&amp;HEX2ASCII(AE1020)&amp;HEX2ASCII(AF1020)&amp;HEX2ASCII(AG1020)&amp;HEX2ASCII(AH1020)&amp;HEX2ASCII(AI1020)</f>
        <v/>
      </c>
      <c r="AB1020" s="147"/>
      <c r="AC1020" s="148"/>
      <c r="AD1020" s="148"/>
      <c r="AE1020" s="148"/>
      <c r="AF1020" s="148"/>
      <c r="AG1020" s="148"/>
      <c r="AH1020" s="148"/>
      <c r="AI1020" s="149"/>
    </row>
    <row r="1021" spans="11:35">
      <c r="K1021" s="85"/>
      <c r="L1021" s="54" t="str">
        <f t="shared" si="83"/>
        <v/>
      </c>
      <c r="M1021" s="38" t="str">
        <f t="shared" si="86"/>
        <v>04F5</v>
      </c>
      <c r="N1021" s="69">
        <f t="shared" si="85"/>
        <v>1269</v>
      </c>
      <c r="O1021" s="96"/>
      <c r="P1021" s="97"/>
      <c r="Q1021" s="98"/>
      <c r="R1021" s="135"/>
      <c r="S1021">
        <f>S1020+IFERROR(VLOOKUP($P1020,'8080 Op to Hex'!$A:$F,6,0),0)</f>
        <v>0</v>
      </c>
      <c r="Z1021" s="74"/>
      <c r="AA1021" s="130" t="str" cm="1">
        <f t="array" ref="AA1021">HEX2ASCII(AB1021)&amp;HEX2ASCII(AC1021)&amp;HEX2ASCII(AD1021)&amp;HEX2ASCII(AE1021)&amp;HEX2ASCII(AF1021)&amp;HEX2ASCII(AG1021)&amp;HEX2ASCII(AH1021)&amp;HEX2ASCII(AI1021)</f>
        <v/>
      </c>
      <c r="AB1021" s="147"/>
      <c r="AC1021" s="148"/>
      <c r="AD1021" s="148"/>
      <c r="AE1021" s="148"/>
      <c r="AF1021" s="148"/>
      <c r="AG1021" s="148"/>
      <c r="AH1021" s="148"/>
      <c r="AI1021" s="149"/>
    </row>
    <row r="1022" spans="11:35">
      <c r="K1022" s="85"/>
      <c r="L1022" s="54" t="str">
        <f t="shared" si="83"/>
        <v/>
      </c>
      <c r="M1022" s="38" t="str">
        <f t="shared" si="86"/>
        <v>04F6</v>
      </c>
      <c r="N1022" s="69">
        <f t="shared" si="85"/>
        <v>1270</v>
      </c>
      <c r="O1022" s="96"/>
      <c r="P1022" s="97"/>
      <c r="Q1022" s="98"/>
      <c r="R1022" s="135"/>
      <c r="S1022">
        <f>S1021+IFERROR(VLOOKUP($P1021,'8080 Op to Hex'!$A:$F,6,0),0)</f>
        <v>0</v>
      </c>
      <c r="Z1022" s="74"/>
      <c r="AA1022" s="130" t="str" cm="1">
        <f t="array" ref="AA1022">HEX2ASCII(AB1022)&amp;HEX2ASCII(AC1022)&amp;HEX2ASCII(AD1022)&amp;HEX2ASCII(AE1022)&amp;HEX2ASCII(AF1022)&amp;HEX2ASCII(AG1022)&amp;HEX2ASCII(AH1022)&amp;HEX2ASCII(AI1022)</f>
        <v/>
      </c>
      <c r="AB1022" s="147"/>
      <c r="AC1022" s="148"/>
      <c r="AD1022" s="148"/>
      <c r="AE1022" s="148"/>
      <c r="AF1022" s="148"/>
      <c r="AG1022" s="148"/>
      <c r="AH1022" s="148"/>
      <c r="AI1022" s="149"/>
    </row>
    <row r="1023" spans="11:35">
      <c r="K1023" s="85"/>
      <c r="L1023" s="54" t="str">
        <f t="shared" si="83"/>
        <v/>
      </c>
      <c r="M1023" s="38" t="str">
        <f t="shared" si="86"/>
        <v>04F7</v>
      </c>
      <c r="N1023" s="69">
        <f t="shared" si="85"/>
        <v>1271</v>
      </c>
      <c r="O1023" s="96"/>
      <c r="P1023" s="97"/>
      <c r="Q1023" s="98"/>
      <c r="R1023" s="135"/>
      <c r="S1023">
        <f>S1022+IFERROR(VLOOKUP($P1022,'8080 Op to Hex'!$A:$F,6,0),0)</f>
        <v>0</v>
      </c>
      <c r="Z1023" s="74"/>
      <c r="AA1023" s="130" t="str" cm="1">
        <f t="array" ref="AA1023">HEX2ASCII(AB1023)&amp;HEX2ASCII(AC1023)&amp;HEX2ASCII(AD1023)&amp;HEX2ASCII(AE1023)&amp;HEX2ASCII(AF1023)&amp;HEX2ASCII(AG1023)&amp;HEX2ASCII(AH1023)&amp;HEX2ASCII(AI1023)</f>
        <v/>
      </c>
      <c r="AB1023" s="147"/>
      <c r="AC1023" s="148"/>
      <c r="AD1023" s="148"/>
      <c r="AE1023" s="148"/>
      <c r="AF1023" s="148"/>
      <c r="AG1023" s="148"/>
      <c r="AH1023" s="148"/>
      <c r="AI1023" s="149"/>
    </row>
    <row r="1024" spans="11:35">
      <c r="K1024" s="85"/>
      <c r="L1024" s="54" t="str">
        <f t="shared" si="83"/>
        <v/>
      </c>
      <c r="M1024" s="38" t="str">
        <f t="shared" si="86"/>
        <v>04F8</v>
      </c>
      <c r="N1024" s="69">
        <f t="shared" si="85"/>
        <v>1272</v>
      </c>
      <c r="O1024" s="96"/>
      <c r="P1024" s="97"/>
      <c r="Q1024" s="98"/>
      <c r="R1024" s="135"/>
      <c r="S1024">
        <f>S1023+IFERROR(VLOOKUP($P1023,'8080 Op to Hex'!$A:$F,6,0),0)</f>
        <v>0</v>
      </c>
      <c r="Z1024" s="74"/>
      <c r="AA1024" s="130" t="str" cm="1">
        <f t="array" ref="AA1024">HEX2ASCII(AB1024)&amp;HEX2ASCII(AC1024)&amp;HEX2ASCII(AD1024)&amp;HEX2ASCII(AE1024)&amp;HEX2ASCII(AF1024)&amp;HEX2ASCII(AG1024)&amp;HEX2ASCII(AH1024)&amp;HEX2ASCII(AI1024)</f>
        <v/>
      </c>
      <c r="AB1024" s="147"/>
      <c r="AC1024" s="148"/>
      <c r="AD1024" s="148"/>
      <c r="AE1024" s="148"/>
      <c r="AF1024" s="148"/>
      <c r="AG1024" s="148"/>
      <c r="AH1024" s="148"/>
      <c r="AI1024" s="149"/>
    </row>
    <row r="1025" spans="11:35">
      <c r="K1025" s="85"/>
      <c r="L1025" s="54" t="str">
        <f t="shared" si="83"/>
        <v/>
      </c>
      <c r="M1025" s="38" t="str">
        <f t="shared" si="86"/>
        <v>04F9</v>
      </c>
      <c r="N1025" s="69">
        <f t="shared" si="85"/>
        <v>1273</v>
      </c>
      <c r="O1025" s="96"/>
      <c r="P1025" s="97"/>
      <c r="Q1025" s="98"/>
      <c r="R1025" s="135"/>
      <c r="S1025">
        <f>S1024+IFERROR(VLOOKUP($P1024,'8080 Op to Hex'!$A:$F,6,0),0)</f>
        <v>0</v>
      </c>
      <c r="Z1025" s="74"/>
      <c r="AA1025" s="130" t="str" cm="1">
        <f t="array" ref="AA1025">HEX2ASCII(AB1025)&amp;HEX2ASCII(AC1025)&amp;HEX2ASCII(AD1025)&amp;HEX2ASCII(AE1025)&amp;HEX2ASCII(AF1025)&amp;HEX2ASCII(AG1025)&amp;HEX2ASCII(AH1025)&amp;HEX2ASCII(AI1025)</f>
        <v/>
      </c>
      <c r="AB1025" s="147"/>
      <c r="AC1025" s="148"/>
      <c r="AD1025" s="148"/>
      <c r="AE1025" s="148"/>
      <c r="AF1025" s="148"/>
      <c r="AG1025" s="148"/>
      <c r="AH1025" s="148"/>
      <c r="AI1025" s="149"/>
    </row>
    <row r="1026" spans="11:35">
      <c r="K1026" s="85"/>
      <c r="L1026" s="54" t="str">
        <f t="shared" si="83"/>
        <v/>
      </c>
      <c r="M1026" s="38" t="str">
        <f t="shared" si="86"/>
        <v>04FA</v>
      </c>
      <c r="N1026" s="69">
        <f t="shared" si="85"/>
        <v>1274</v>
      </c>
      <c r="O1026" s="96"/>
      <c r="P1026" s="97"/>
      <c r="Q1026" s="98"/>
      <c r="R1026" s="135"/>
      <c r="S1026">
        <f>S1025+IFERROR(VLOOKUP($P1025,'8080 Op to Hex'!$A:$F,6,0),0)</f>
        <v>0</v>
      </c>
      <c r="Z1026" s="74"/>
      <c r="AA1026" s="130" t="str" cm="1">
        <f t="array" ref="AA1026">HEX2ASCII(AB1026)&amp;HEX2ASCII(AC1026)&amp;HEX2ASCII(AD1026)&amp;HEX2ASCII(AE1026)&amp;HEX2ASCII(AF1026)&amp;HEX2ASCII(AG1026)&amp;HEX2ASCII(AH1026)&amp;HEX2ASCII(AI1026)</f>
        <v/>
      </c>
      <c r="AB1026" s="147"/>
      <c r="AC1026" s="148"/>
      <c r="AD1026" s="148"/>
      <c r="AE1026" s="148"/>
      <c r="AF1026" s="148"/>
      <c r="AG1026" s="148"/>
      <c r="AH1026" s="148"/>
      <c r="AI1026" s="149"/>
    </row>
    <row r="1027" spans="11:35">
      <c r="K1027" s="85"/>
      <c r="L1027" s="54" t="str">
        <f t="shared" si="83"/>
        <v/>
      </c>
      <c r="M1027" s="38" t="str">
        <f t="shared" si="86"/>
        <v>04FB</v>
      </c>
      <c r="N1027" s="69">
        <f t="shared" si="85"/>
        <v>1275</v>
      </c>
      <c r="O1027" s="96"/>
      <c r="P1027" s="97"/>
      <c r="Q1027" s="98"/>
      <c r="R1027" s="135"/>
      <c r="S1027">
        <f>S1026+IFERROR(VLOOKUP($P1026,'8080 Op to Hex'!$A:$F,6,0),0)</f>
        <v>0</v>
      </c>
      <c r="Z1027" s="74"/>
      <c r="AA1027" s="130" t="str" cm="1">
        <f t="array" ref="AA1027">HEX2ASCII(AB1027)&amp;HEX2ASCII(AC1027)&amp;HEX2ASCII(AD1027)&amp;HEX2ASCII(AE1027)&amp;HEX2ASCII(AF1027)&amp;HEX2ASCII(AG1027)&amp;HEX2ASCII(AH1027)&amp;HEX2ASCII(AI1027)</f>
        <v/>
      </c>
      <c r="AB1027" s="147"/>
      <c r="AC1027" s="148"/>
      <c r="AD1027" s="148"/>
      <c r="AE1027" s="148"/>
      <c r="AF1027" s="148"/>
      <c r="AG1027" s="148"/>
      <c r="AH1027" s="148"/>
      <c r="AI1027" s="149"/>
    </row>
    <row r="1028" spans="11:35">
      <c r="K1028" s="85"/>
      <c r="L1028" s="54" t="str">
        <f t="shared" si="83"/>
        <v/>
      </c>
      <c r="M1028" s="38" t="str">
        <f t="shared" si="86"/>
        <v>04FC</v>
      </c>
      <c r="N1028" s="69">
        <f t="shared" si="85"/>
        <v>1276</v>
      </c>
      <c r="O1028" s="96"/>
      <c r="P1028" s="97"/>
      <c r="Q1028" s="98"/>
      <c r="R1028" s="135"/>
      <c r="S1028">
        <f>S1027+IFERROR(VLOOKUP($P1027,'8080 Op to Hex'!$A:$F,6,0),0)</f>
        <v>0</v>
      </c>
      <c r="Z1028" s="74"/>
      <c r="AA1028" s="130" t="str" cm="1">
        <f t="array" ref="AA1028">HEX2ASCII(AB1028)&amp;HEX2ASCII(AC1028)&amp;HEX2ASCII(AD1028)&amp;HEX2ASCII(AE1028)&amp;HEX2ASCII(AF1028)&amp;HEX2ASCII(AG1028)&amp;HEX2ASCII(AH1028)&amp;HEX2ASCII(AI1028)</f>
        <v/>
      </c>
      <c r="AB1028" s="147"/>
      <c r="AC1028" s="148"/>
      <c r="AD1028" s="148"/>
      <c r="AE1028" s="148"/>
      <c r="AF1028" s="148"/>
      <c r="AG1028" s="148"/>
      <c r="AH1028" s="148"/>
      <c r="AI1028" s="149"/>
    </row>
    <row r="1029" spans="11:35">
      <c r="K1029" s="85"/>
      <c r="L1029" s="54" t="str">
        <f t="shared" si="83"/>
        <v/>
      </c>
      <c r="M1029" s="38" t="str">
        <f t="shared" si="86"/>
        <v>04FD</v>
      </c>
      <c r="N1029" s="69">
        <f t="shared" si="85"/>
        <v>1277</v>
      </c>
      <c r="O1029" s="96"/>
      <c r="P1029" s="97"/>
      <c r="Q1029" s="98"/>
      <c r="R1029" s="135"/>
      <c r="S1029">
        <f>S1028+IFERROR(VLOOKUP($P1028,'8080 Op to Hex'!$A:$F,6,0),0)</f>
        <v>0</v>
      </c>
      <c r="Z1029" s="74"/>
      <c r="AA1029" s="130" t="str" cm="1">
        <f t="array" ref="AA1029">HEX2ASCII(AB1029)&amp;HEX2ASCII(AC1029)&amp;HEX2ASCII(AD1029)&amp;HEX2ASCII(AE1029)&amp;HEX2ASCII(AF1029)&amp;HEX2ASCII(AG1029)&amp;HEX2ASCII(AH1029)&amp;HEX2ASCII(AI1029)</f>
        <v/>
      </c>
      <c r="AB1029" s="147"/>
      <c r="AC1029" s="148"/>
      <c r="AD1029" s="148"/>
      <c r="AE1029" s="148"/>
      <c r="AF1029" s="148"/>
      <c r="AG1029" s="148"/>
      <c r="AH1029" s="148"/>
      <c r="AI1029" s="149"/>
    </row>
    <row r="1030" spans="11:35">
      <c r="K1030" s="85"/>
      <c r="L1030" s="54" t="str">
        <f t="shared" si="83"/>
        <v/>
      </c>
      <c r="M1030" s="38" t="str">
        <f t="shared" si="86"/>
        <v>04FE</v>
      </c>
      <c r="N1030" s="69">
        <f t="shared" si="85"/>
        <v>1278</v>
      </c>
      <c r="O1030" s="96"/>
      <c r="P1030" s="97"/>
      <c r="Q1030" s="98"/>
      <c r="R1030" s="135"/>
      <c r="S1030">
        <f>S1029+IFERROR(VLOOKUP($P1029,'8080 Op to Hex'!$A:$F,6,0),0)</f>
        <v>0</v>
      </c>
      <c r="Z1030" s="74"/>
      <c r="AA1030" s="130" t="str" cm="1">
        <f t="array" ref="AA1030">HEX2ASCII(AB1030)&amp;HEX2ASCII(AC1030)&amp;HEX2ASCII(AD1030)&amp;HEX2ASCII(AE1030)&amp;HEX2ASCII(AF1030)&amp;HEX2ASCII(AG1030)&amp;HEX2ASCII(AH1030)&amp;HEX2ASCII(AI1030)</f>
        <v/>
      </c>
      <c r="AB1030" s="147"/>
      <c r="AC1030" s="148"/>
      <c r="AD1030" s="148"/>
      <c r="AE1030" s="148"/>
      <c r="AF1030" s="148"/>
      <c r="AG1030" s="148"/>
      <c r="AH1030" s="148"/>
      <c r="AI1030" s="149"/>
    </row>
    <row r="1031" spans="11:35">
      <c r="K1031" s="85"/>
      <c r="L1031" s="54" t="str">
        <f t="shared" si="83"/>
        <v/>
      </c>
      <c r="M1031" s="38" t="str">
        <f t="shared" si="86"/>
        <v>04FF</v>
      </c>
      <c r="N1031" s="69">
        <f t="shared" si="85"/>
        <v>1279</v>
      </c>
      <c r="O1031" s="96"/>
      <c r="P1031" s="97"/>
      <c r="Q1031" s="98"/>
      <c r="R1031" s="135"/>
      <c r="S1031">
        <f>S1030+IFERROR(VLOOKUP($P1030,'8080 Op to Hex'!$A:$F,6,0),0)</f>
        <v>0</v>
      </c>
      <c r="Z1031" s="74"/>
      <c r="AA1031" s="130" t="str" cm="1">
        <f t="array" ref="AA1031">HEX2ASCII(AB1031)&amp;HEX2ASCII(AC1031)&amp;HEX2ASCII(AD1031)&amp;HEX2ASCII(AE1031)&amp;HEX2ASCII(AF1031)&amp;HEX2ASCII(AG1031)&amp;HEX2ASCII(AH1031)&amp;HEX2ASCII(AI1031)</f>
        <v/>
      </c>
      <c r="AB1031" s="147"/>
      <c r="AC1031" s="148"/>
      <c r="AD1031" s="148"/>
      <c r="AE1031" s="148"/>
      <c r="AF1031" s="148"/>
      <c r="AG1031" s="148"/>
      <c r="AH1031" s="148"/>
      <c r="AI1031" s="149"/>
    </row>
    <row r="1032" spans="11:35">
      <c r="K1032" s="85"/>
      <c r="L1032" s="54" t="str">
        <f t="shared" si="83"/>
        <v/>
      </c>
      <c r="M1032" s="38" t="str">
        <f t="shared" si="86"/>
        <v>0500</v>
      </c>
      <c r="N1032" s="69">
        <f t="shared" si="85"/>
        <v>1280</v>
      </c>
      <c r="O1032" s="96"/>
      <c r="P1032" s="97"/>
      <c r="Q1032" s="98"/>
      <c r="R1032" s="135"/>
      <c r="S1032">
        <f>S1031+IFERROR(VLOOKUP($P1031,'8080 Op to Hex'!$A:$F,6,0),0)</f>
        <v>0</v>
      </c>
      <c r="Z1032" s="74"/>
      <c r="AA1032" s="130" t="str" cm="1">
        <f t="array" ref="AA1032">HEX2ASCII(AB1032)&amp;HEX2ASCII(AC1032)&amp;HEX2ASCII(AD1032)&amp;HEX2ASCII(AE1032)&amp;HEX2ASCII(AF1032)&amp;HEX2ASCII(AG1032)&amp;HEX2ASCII(AH1032)&amp;HEX2ASCII(AI1032)</f>
        <v/>
      </c>
      <c r="AB1032" s="147"/>
      <c r="AC1032" s="148"/>
      <c r="AD1032" s="148"/>
      <c r="AE1032" s="148"/>
      <c r="AF1032" s="148"/>
      <c r="AG1032" s="148"/>
      <c r="AH1032" s="148"/>
      <c r="AI1032" s="149"/>
    </row>
    <row r="1033" spans="11:35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0501</v>
      </c>
      <c r="N1033" s="69">
        <f t="shared" si="85"/>
        <v>1281</v>
      </c>
      <c r="O1033" s="96"/>
      <c r="P1033" s="97"/>
      <c r="Q1033" s="98"/>
      <c r="R1033" s="135"/>
      <c r="S1033">
        <f>S1032+IFERROR(VLOOKUP($P1032,'8080 Op to Hex'!$A:$F,6,0),0)</f>
        <v>0</v>
      </c>
      <c r="Z1033" s="74"/>
      <c r="AA1033" s="130" t="str" cm="1">
        <f t="array" ref="AA1033">HEX2ASCII(AB1033)&amp;HEX2ASCII(AC1033)&amp;HEX2ASCII(AD1033)&amp;HEX2ASCII(AE1033)&amp;HEX2ASCII(AF1033)&amp;HEX2ASCII(AG1033)&amp;HEX2ASCII(AH1033)&amp;HEX2ASCII(AI1033)</f>
        <v/>
      </c>
      <c r="AB1033" s="147"/>
      <c r="AC1033" s="148"/>
      <c r="AD1033" s="148"/>
      <c r="AE1033" s="148"/>
      <c r="AF1033" s="148"/>
      <c r="AG1033" s="148"/>
      <c r="AH1033" s="148"/>
      <c r="AI1033" s="149"/>
    </row>
    <row r="1034" spans="11:35">
      <c r="K1034" s="85"/>
      <c r="L1034" s="54" t="str">
        <f t="shared" si="87"/>
        <v/>
      </c>
      <c r="M1034" s="38" t="str">
        <f t="shared" si="86"/>
        <v>0502</v>
      </c>
      <c r="N1034" s="69">
        <f t="shared" ref="N1034:N1070" si="88">N1033+0*COUNTA(P1033:R1033)+1</f>
        <v>1282</v>
      </c>
      <c r="O1034" s="96"/>
      <c r="P1034" s="97"/>
      <c r="Q1034" s="98"/>
      <c r="R1034" s="135"/>
      <c r="S1034">
        <f>S1033+IFERROR(VLOOKUP($P1033,'8080 Op to Hex'!$A:$F,6,0),0)</f>
        <v>0</v>
      </c>
      <c r="Z1034" s="74"/>
      <c r="AA1034" s="130" t="str" cm="1">
        <f t="array" ref="AA1034">HEX2ASCII(AB1034)&amp;HEX2ASCII(AC1034)&amp;HEX2ASCII(AD1034)&amp;HEX2ASCII(AE1034)&amp;HEX2ASCII(AF1034)&amp;HEX2ASCII(AG1034)&amp;HEX2ASCII(AH1034)&amp;HEX2ASCII(AI1034)</f>
        <v/>
      </c>
      <c r="AB1034" s="147"/>
      <c r="AC1034" s="148"/>
      <c r="AD1034" s="148"/>
      <c r="AE1034" s="148"/>
      <c r="AF1034" s="148"/>
      <c r="AG1034" s="148"/>
      <c r="AH1034" s="148"/>
      <c r="AI1034" s="149"/>
    </row>
    <row r="1035" spans="11:35">
      <c r="K1035" s="85"/>
      <c r="L1035" s="54" t="str">
        <f t="shared" si="87"/>
        <v/>
      </c>
      <c r="M1035" s="38" t="str">
        <f t="shared" si="86"/>
        <v>0503</v>
      </c>
      <c r="N1035" s="69">
        <f t="shared" si="88"/>
        <v>1283</v>
      </c>
      <c r="O1035" s="96"/>
      <c r="P1035" s="97"/>
      <c r="Q1035" s="98"/>
      <c r="R1035" s="135"/>
      <c r="S1035">
        <f>S1034+IFERROR(VLOOKUP($P1034,'8080 Op to Hex'!$A:$F,6,0),0)</f>
        <v>0</v>
      </c>
      <c r="Z1035" s="74"/>
      <c r="AA1035" s="130" t="str" cm="1">
        <f t="array" ref="AA1035">HEX2ASCII(AB1035)&amp;HEX2ASCII(AC1035)&amp;HEX2ASCII(AD1035)&amp;HEX2ASCII(AE1035)&amp;HEX2ASCII(AF1035)&amp;HEX2ASCII(AG1035)&amp;HEX2ASCII(AH1035)&amp;HEX2ASCII(AI1035)</f>
        <v/>
      </c>
      <c r="AB1035" s="147"/>
      <c r="AC1035" s="148"/>
      <c r="AD1035" s="148"/>
      <c r="AE1035" s="148"/>
      <c r="AF1035" s="148"/>
      <c r="AG1035" s="148"/>
      <c r="AH1035" s="148"/>
      <c r="AI1035" s="149"/>
    </row>
    <row r="1036" spans="11:35">
      <c r="K1036" s="85"/>
      <c r="L1036" s="54" t="str">
        <f t="shared" si="87"/>
        <v/>
      </c>
      <c r="M1036" s="38" t="str">
        <f t="shared" si="86"/>
        <v>0504</v>
      </c>
      <c r="N1036" s="69">
        <f t="shared" si="88"/>
        <v>1284</v>
      </c>
      <c r="O1036" s="96"/>
      <c r="P1036" s="97"/>
      <c r="Q1036" s="98"/>
      <c r="R1036" s="135"/>
      <c r="S1036">
        <f>S1035+IFERROR(VLOOKUP($P1035,'8080 Op to Hex'!$A:$F,6,0),0)</f>
        <v>0</v>
      </c>
      <c r="Z1036" s="74"/>
      <c r="AA1036" s="130" t="str" cm="1">
        <f t="array" ref="AA1036">HEX2ASCII(AB1036)&amp;HEX2ASCII(AC1036)&amp;HEX2ASCII(AD1036)&amp;HEX2ASCII(AE1036)&amp;HEX2ASCII(AF1036)&amp;HEX2ASCII(AG1036)&amp;HEX2ASCII(AH1036)&amp;HEX2ASCII(AI1036)</f>
        <v/>
      </c>
      <c r="AB1036" s="147"/>
      <c r="AC1036" s="148"/>
      <c r="AD1036" s="148"/>
      <c r="AE1036" s="148"/>
      <c r="AF1036" s="148"/>
      <c r="AG1036" s="148"/>
      <c r="AH1036" s="148"/>
      <c r="AI1036" s="149"/>
    </row>
    <row r="1037" spans="11:35">
      <c r="K1037" s="85"/>
      <c r="L1037" s="54" t="str">
        <f t="shared" si="87"/>
        <v/>
      </c>
      <c r="M1037" s="38" t="str">
        <f t="shared" si="86"/>
        <v>0505</v>
      </c>
      <c r="N1037" s="69">
        <f t="shared" si="88"/>
        <v>1285</v>
      </c>
      <c r="O1037" s="96"/>
      <c r="P1037" s="97"/>
      <c r="Q1037" s="98"/>
      <c r="R1037" s="135"/>
      <c r="S1037">
        <f>S1036+IFERROR(VLOOKUP($P1036,'8080 Op to Hex'!$A:$F,6,0),0)</f>
        <v>0</v>
      </c>
      <c r="Z1037" s="74"/>
      <c r="AA1037" s="130" t="str" cm="1">
        <f t="array" ref="AA1037">HEX2ASCII(AB1037)&amp;HEX2ASCII(AC1037)&amp;HEX2ASCII(AD1037)&amp;HEX2ASCII(AE1037)&amp;HEX2ASCII(AF1037)&amp;HEX2ASCII(AG1037)&amp;HEX2ASCII(AH1037)&amp;HEX2ASCII(AI1037)</f>
        <v/>
      </c>
      <c r="AB1037" s="147"/>
      <c r="AC1037" s="148"/>
      <c r="AD1037" s="148"/>
      <c r="AE1037" s="148"/>
      <c r="AF1037" s="148"/>
      <c r="AG1037" s="148"/>
      <c r="AH1037" s="148"/>
      <c r="AI1037" s="149"/>
    </row>
    <row r="1038" spans="11:35">
      <c r="K1038" s="85"/>
      <c r="L1038" s="54" t="str">
        <f t="shared" si="87"/>
        <v/>
      </c>
      <c r="M1038" s="38" t="str">
        <f t="shared" si="86"/>
        <v>0506</v>
      </c>
      <c r="N1038" s="69">
        <f t="shared" si="88"/>
        <v>1286</v>
      </c>
      <c r="O1038" s="96"/>
      <c r="P1038" s="97"/>
      <c r="Q1038" s="98"/>
      <c r="R1038" s="135"/>
      <c r="S1038">
        <f>S1037+IFERROR(VLOOKUP($P1037,'8080 Op to Hex'!$A:$F,6,0),0)</f>
        <v>0</v>
      </c>
      <c r="Z1038" s="74"/>
      <c r="AA1038" s="130" t="str" cm="1">
        <f t="array" ref="AA1038">HEX2ASCII(AB1038)&amp;HEX2ASCII(AC1038)&amp;HEX2ASCII(AD1038)&amp;HEX2ASCII(AE1038)&amp;HEX2ASCII(AF1038)&amp;HEX2ASCII(AG1038)&amp;HEX2ASCII(AH1038)&amp;HEX2ASCII(AI1038)</f>
        <v/>
      </c>
      <c r="AB1038" s="147"/>
      <c r="AC1038" s="148"/>
      <c r="AD1038" s="148"/>
      <c r="AE1038" s="148"/>
      <c r="AF1038" s="148"/>
      <c r="AG1038" s="148"/>
      <c r="AH1038" s="148"/>
      <c r="AI1038" s="149"/>
    </row>
    <row r="1039" spans="11:35">
      <c r="K1039" s="85"/>
      <c r="L1039" s="54" t="str">
        <f t="shared" si="87"/>
        <v/>
      </c>
      <c r="M1039" s="38" t="str">
        <f t="shared" si="86"/>
        <v>0507</v>
      </c>
      <c r="N1039" s="69">
        <f t="shared" si="88"/>
        <v>1287</v>
      </c>
      <c r="O1039" s="96"/>
      <c r="P1039" s="97"/>
      <c r="Q1039" s="98"/>
      <c r="R1039" s="135"/>
      <c r="S1039">
        <f>S1038+IFERROR(VLOOKUP($P1038,'8080 Op to Hex'!$A:$F,6,0),0)</f>
        <v>0</v>
      </c>
      <c r="Z1039" s="74"/>
      <c r="AA1039" s="130" t="str" cm="1">
        <f t="array" ref="AA1039">HEX2ASCII(AB1039)&amp;HEX2ASCII(AC1039)&amp;HEX2ASCII(AD1039)&amp;HEX2ASCII(AE1039)&amp;HEX2ASCII(AF1039)&amp;HEX2ASCII(AG1039)&amp;HEX2ASCII(AH1039)&amp;HEX2ASCII(AI1039)</f>
        <v/>
      </c>
      <c r="AB1039" s="147"/>
      <c r="AC1039" s="148"/>
      <c r="AD1039" s="148"/>
      <c r="AE1039" s="148"/>
      <c r="AF1039" s="148"/>
      <c r="AG1039" s="148"/>
      <c r="AH1039" s="148"/>
      <c r="AI1039" s="149"/>
    </row>
    <row r="1040" spans="11:35">
      <c r="K1040" s="85"/>
      <c r="L1040" s="54" t="str">
        <f t="shared" si="87"/>
        <v/>
      </c>
      <c r="M1040" s="38" t="str">
        <f t="shared" si="86"/>
        <v>0508</v>
      </c>
      <c r="N1040" s="69">
        <f t="shared" si="88"/>
        <v>1288</v>
      </c>
      <c r="O1040" s="96"/>
      <c r="P1040" s="97"/>
      <c r="Q1040" s="98"/>
      <c r="R1040" s="135"/>
      <c r="S1040">
        <f>S1039+IFERROR(VLOOKUP($P1039,'8080 Op to Hex'!$A:$F,6,0),0)</f>
        <v>0</v>
      </c>
      <c r="Z1040" s="74"/>
      <c r="AA1040" s="130" t="str" cm="1">
        <f t="array" ref="AA1040">HEX2ASCII(AB1040)&amp;HEX2ASCII(AC1040)&amp;HEX2ASCII(AD1040)&amp;HEX2ASCII(AE1040)&amp;HEX2ASCII(AF1040)&amp;HEX2ASCII(AG1040)&amp;HEX2ASCII(AH1040)&amp;HEX2ASCII(AI1040)</f>
        <v/>
      </c>
      <c r="AB1040" s="147"/>
      <c r="AC1040" s="148"/>
      <c r="AD1040" s="148"/>
      <c r="AE1040" s="148"/>
      <c r="AF1040" s="148"/>
      <c r="AG1040" s="148"/>
      <c r="AH1040" s="148"/>
      <c r="AI1040" s="149"/>
    </row>
    <row r="1041" spans="11:35">
      <c r="K1041" s="85"/>
      <c r="L1041" s="54" t="str">
        <f t="shared" si="87"/>
        <v/>
      </c>
      <c r="M1041" s="38" t="str">
        <f t="shared" si="86"/>
        <v>0509</v>
      </c>
      <c r="N1041" s="69">
        <f t="shared" si="88"/>
        <v>1289</v>
      </c>
      <c r="O1041" s="96"/>
      <c r="P1041" s="97"/>
      <c r="Q1041" s="98"/>
      <c r="R1041" s="135"/>
      <c r="S1041">
        <f>S1040+IFERROR(VLOOKUP($P1040,'8080 Op to Hex'!$A:$F,6,0),0)</f>
        <v>0</v>
      </c>
      <c r="Z1041" s="74"/>
      <c r="AA1041" s="130" t="str" cm="1">
        <f t="array" ref="AA1041">HEX2ASCII(AB1041)&amp;HEX2ASCII(AC1041)&amp;HEX2ASCII(AD1041)&amp;HEX2ASCII(AE1041)&amp;HEX2ASCII(AF1041)&amp;HEX2ASCII(AG1041)&amp;HEX2ASCII(AH1041)&amp;HEX2ASCII(AI1041)</f>
        <v/>
      </c>
      <c r="AB1041" s="147"/>
      <c r="AC1041" s="148"/>
      <c r="AD1041" s="148"/>
      <c r="AE1041" s="148"/>
      <c r="AF1041" s="148"/>
      <c r="AG1041" s="148"/>
      <c r="AH1041" s="148"/>
      <c r="AI1041" s="149"/>
    </row>
    <row r="1042" spans="11:35">
      <c r="K1042" s="85"/>
      <c r="L1042" s="54" t="str">
        <f t="shared" si="87"/>
        <v/>
      </c>
      <c r="M1042" s="38" t="str">
        <f t="shared" si="86"/>
        <v>050A</v>
      </c>
      <c r="N1042" s="69">
        <f t="shared" si="88"/>
        <v>1290</v>
      </c>
      <c r="O1042" s="96"/>
      <c r="P1042" s="97"/>
      <c r="Q1042" s="98"/>
      <c r="R1042" s="135"/>
      <c r="S1042">
        <f>S1041+IFERROR(VLOOKUP($P1041,'8080 Op to Hex'!$A:$F,6,0),0)</f>
        <v>0</v>
      </c>
      <c r="Z1042" s="74"/>
      <c r="AA1042" s="130" t="str" cm="1">
        <f t="array" ref="AA1042">HEX2ASCII(AB1042)&amp;HEX2ASCII(AC1042)&amp;HEX2ASCII(AD1042)&amp;HEX2ASCII(AE1042)&amp;HEX2ASCII(AF1042)&amp;HEX2ASCII(AG1042)&amp;HEX2ASCII(AH1042)&amp;HEX2ASCII(AI1042)</f>
        <v/>
      </c>
      <c r="AB1042" s="147"/>
      <c r="AC1042" s="148"/>
      <c r="AD1042" s="148"/>
      <c r="AE1042" s="148"/>
      <c r="AF1042" s="148"/>
      <c r="AG1042" s="148"/>
      <c r="AH1042" s="148"/>
      <c r="AI1042" s="149"/>
    </row>
    <row r="1043" spans="11:35">
      <c r="K1043" s="85"/>
      <c r="L1043" s="54" t="str">
        <f t="shared" si="87"/>
        <v/>
      </c>
      <c r="M1043" s="38" t="str">
        <f t="shared" si="86"/>
        <v>050B</v>
      </c>
      <c r="N1043" s="69">
        <f t="shared" si="88"/>
        <v>1291</v>
      </c>
      <c r="O1043" s="96"/>
      <c r="P1043" s="97"/>
      <c r="Q1043" s="98"/>
      <c r="R1043" s="135"/>
      <c r="S1043">
        <f>S1042+IFERROR(VLOOKUP($P1042,'8080 Op to Hex'!$A:$F,6,0),0)</f>
        <v>0</v>
      </c>
      <c r="Z1043" s="74"/>
      <c r="AA1043" s="130" t="str" cm="1">
        <f t="array" ref="AA1043">HEX2ASCII(AB1043)&amp;HEX2ASCII(AC1043)&amp;HEX2ASCII(AD1043)&amp;HEX2ASCII(AE1043)&amp;HEX2ASCII(AF1043)&amp;HEX2ASCII(AG1043)&amp;HEX2ASCII(AH1043)&amp;HEX2ASCII(AI1043)</f>
        <v/>
      </c>
      <c r="AB1043" s="147"/>
      <c r="AC1043" s="148"/>
      <c r="AD1043" s="148"/>
      <c r="AE1043" s="148"/>
      <c r="AF1043" s="148"/>
      <c r="AG1043" s="148"/>
      <c r="AH1043" s="148"/>
      <c r="AI1043" s="149"/>
    </row>
    <row r="1044" spans="11:35">
      <c r="K1044" s="85"/>
      <c r="L1044" s="54" t="str">
        <f t="shared" si="87"/>
        <v/>
      </c>
      <c r="M1044" s="38" t="str">
        <f t="shared" si="86"/>
        <v>050C</v>
      </c>
      <c r="N1044" s="69">
        <f t="shared" si="88"/>
        <v>1292</v>
      </c>
      <c r="O1044" s="96"/>
      <c r="P1044" s="97"/>
      <c r="Q1044" s="98"/>
      <c r="R1044" s="135"/>
      <c r="S1044">
        <f>S1043+IFERROR(VLOOKUP($P1043,'8080 Op to Hex'!$A:$F,6,0),0)</f>
        <v>0</v>
      </c>
      <c r="Z1044" s="74"/>
      <c r="AA1044" s="130" t="str" cm="1">
        <f t="array" ref="AA1044">HEX2ASCII(AB1044)&amp;HEX2ASCII(AC1044)&amp;HEX2ASCII(AD1044)&amp;HEX2ASCII(AE1044)&amp;HEX2ASCII(AF1044)&amp;HEX2ASCII(AG1044)&amp;HEX2ASCII(AH1044)&amp;HEX2ASCII(AI1044)</f>
        <v/>
      </c>
      <c r="AB1044" s="147"/>
      <c r="AC1044" s="148"/>
      <c r="AD1044" s="148"/>
      <c r="AE1044" s="148"/>
      <c r="AF1044" s="148"/>
      <c r="AG1044" s="148"/>
      <c r="AH1044" s="148"/>
      <c r="AI1044" s="149"/>
    </row>
    <row r="1045" spans="11:35">
      <c r="K1045" s="85"/>
      <c r="L1045" s="54" t="str">
        <f t="shared" si="87"/>
        <v/>
      </c>
      <c r="M1045" s="38" t="str">
        <f t="shared" si="86"/>
        <v>050D</v>
      </c>
      <c r="N1045" s="69">
        <f t="shared" si="88"/>
        <v>1293</v>
      </c>
      <c r="O1045" s="96"/>
      <c r="P1045" s="97"/>
      <c r="Q1045" s="98"/>
      <c r="R1045" s="135"/>
      <c r="S1045">
        <f>S1044+IFERROR(VLOOKUP($P1044,'8080 Op to Hex'!$A:$F,6,0),0)</f>
        <v>0</v>
      </c>
      <c r="Z1045" s="74"/>
      <c r="AA1045" s="130" t="str" cm="1">
        <f t="array" ref="AA1045">HEX2ASCII(AB1045)&amp;HEX2ASCII(AC1045)&amp;HEX2ASCII(AD1045)&amp;HEX2ASCII(AE1045)&amp;HEX2ASCII(AF1045)&amp;HEX2ASCII(AG1045)&amp;HEX2ASCII(AH1045)&amp;HEX2ASCII(AI1045)</f>
        <v/>
      </c>
      <c r="AB1045" s="147"/>
      <c r="AC1045" s="148"/>
      <c r="AD1045" s="148"/>
      <c r="AE1045" s="148"/>
      <c r="AF1045" s="148"/>
      <c r="AG1045" s="148"/>
      <c r="AH1045" s="148"/>
      <c r="AI1045" s="149"/>
    </row>
    <row r="1046" spans="11:35">
      <c r="K1046" s="85"/>
      <c r="L1046" s="54" t="str">
        <f t="shared" si="87"/>
        <v/>
      </c>
      <c r="M1046" s="38" t="str">
        <f t="shared" si="86"/>
        <v>050E</v>
      </c>
      <c r="N1046" s="69">
        <f t="shared" si="88"/>
        <v>1294</v>
      </c>
      <c r="O1046" s="96"/>
      <c r="P1046" s="97"/>
      <c r="Q1046" s="98"/>
      <c r="R1046" s="135"/>
      <c r="S1046">
        <f>S1045+IFERROR(VLOOKUP($P1045,'8080 Op to Hex'!$A:$F,6,0),0)</f>
        <v>0</v>
      </c>
      <c r="Z1046" s="74"/>
      <c r="AA1046" s="130" t="str" cm="1">
        <f t="array" ref="AA1046">HEX2ASCII(AB1046)&amp;HEX2ASCII(AC1046)&amp;HEX2ASCII(AD1046)&amp;HEX2ASCII(AE1046)&amp;HEX2ASCII(AF1046)&amp;HEX2ASCII(AG1046)&amp;HEX2ASCII(AH1046)&amp;HEX2ASCII(AI1046)</f>
        <v/>
      </c>
      <c r="AB1046" s="147"/>
      <c r="AC1046" s="148"/>
      <c r="AD1046" s="148"/>
      <c r="AE1046" s="148"/>
      <c r="AF1046" s="148"/>
      <c r="AG1046" s="148"/>
      <c r="AH1046" s="148"/>
      <c r="AI1046" s="149"/>
    </row>
    <row r="1047" spans="11:35">
      <c r="K1047" s="85"/>
      <c r="L1047" s="54" t="str">
        <f t="shared" si="87"/>
        <v/>
      </c>
      <c r="M1047" s="38" t="str">
        <f t="shared" si="86"/>
        <v>050F</v>
      </c>
      <c r="N1047" s="69">
        <f t="shared" si="88"/>
        <v>1295</v>
      </c>
      <c r="O1047" s="96"/>
      <c r="P1047" s="97"/>
      <c r="Q1047" s="98"/>
      <c r="R1047" s="135"/>
      <c r="S1047">
        <f>S1046+IFERROR(VLOOKUP($P1046,'8080 Op to Hex'!$A:$F,6,0),0)</f>
        <v>0</v>
      </c>
      <c r="Z1047" s="74"/>
      <c r="AA1047" s="130" t="str" cm="1">
        <f t="array" ref="AA1047">HEX2ASCII(AB1047)&amp;HEX2ASCII(AC1047)&amp;HEX2ASCII(AD1047)&amp;HEX2ASCII(AE1047)&amp;HEX2ASCII(AF1047)&amp;HEX2ASCII(AG1047)&amp;HEX2ASCII(AH1047)&amp;HEX2ASCII(AI1047)</f>
        <v/>
      </c>
      <c r="AB1047" s="147"/>
      <c r="AC1047" s="148"/>
      <c r="AD1047" s="148"/>
      <c r="AE1047" s="148"/>
      <c r="AF1047" s="148"/>
      <c r="AG1047" s="148"/>
      <c r="AH1047" s="148"/>
      <c r="AI1047" s="149"/>
    </row>
    <row r="1048" spans="11:35">
      <c r="K1048" s="85"/>
      <c r="L1048" s="54" t="str">
        <f t="shared" si="87"/>
        <v/>
      </c>
      <c r="M1048" s="38" t="str">
        <f t="shared" si="86"/>
        <v>0510</v>
      </c>
      <c r="N1048" s="69">
        <f t="shared" si="88"/>
        <v>1296</v>
      </c>
      <c r="O1048" s="96"/>
      <c r="P1048" s="97"/>
      <c r="Q1048" s="98"/>
      <c r="R1048" s="135"/>
      <c r="S1048">
        <f>S1047+IFERROR(VLOOKUP($P1047,'8080 Op to Hex'!$A:$F,6,0),0)</f>
        <v>0</v>
      </c>
      <c r="Z1048" s="74"/>
      <c r="AA1048" s="130" t="str" cm="1">
        <f t="array" ref="AA1048">HEX2ASCII(AB1048)&amp;HEX2ASCII(AC1048)&amp;HEX2ASCII(AD1048)&amp;HEX2ASCII(AE1048)&amp;HEX2ASCII(AF1048)&amp;HEX2ASCII(AG1048)&amp;HEX2ASCII(AH1048)&amp;HEX2ASCII(AI1048)</f>
        <v/>
      </c>
      <c r="AB1048" s="147"/>
      <c r="AC1048" s="148"/>
      <c r="AD1048" s="148"/>
      <c r="AE1048" s="148"/>
      <c r="AF1048" s="148"/>
      <c r="AG1048" s="148"/>
      <c r="AH1048" s="148"/>
      <c r="AI1048" s="149"/>
    </row>
    <row r="1049" spans="11:35">
      <c r="K1049" s="85"/>
      <c r="L1049" s="54" t="str">
        <f t="shared" si="87"/>
        <v/>
      </c>
      <c r="M1049" s="38" t="str">
        <f t="shared" si="86"/>
        <v>0511</v>
      </c>
      <c r="N1049" s="69">
        <f t="shared" si="88"/>
        <v>1297</v>
      </c>
      <c r="O1049" s="96"/>
      <c r="P1049" s="97"/>
      <c r="Q1049" s="98"/>
      <c r="R1049" s="135"/>
      <c r="S1049">
        <f>S1048+IFERROR(VLOOKUP($P1048,'8080 Op to Hex'!$A:$F,6,0),0)</f>
        <v>0</v>
      </c>
      <c r="Z1049" s="74"/>
      <c r="AA1049" s="130" t="str" cm="1">
        <f t="array" ref="AA1049">HEX2ASCII(AB1049)&amp;HEX2ASCII(AC1049)&amp;HEX2ASCII(AD1049)&amp;HEX2ASCII(AE1049)&amp;HEX2ASCII(AF1049)&amp;HEX2ASCII(AG1049)&amp;HEX2ASCII(AH1049)&amp;HEX2ASCII(AI1049)</f>
        <v/>
      </c>
      <c r="AB1049" s="147"/>
      <c r="AC1049" s="148"/>
      <c r="AD1049" s="148"/>
      <c r="AE1049" s="148"/>
      <c r="AF1049" s="148"/>
      <c r="AG1049" s="148"/>
      <c r="AH1049" s="148"/>
      <c r="AI1049" s="149"/>
    </row>
    <row r="1050" spans="11:35">
      <c r="K1050" s="85"/>
      <c r="L1050" s="54" t="str">
        <f t="shared" si="87"/>
        <v/>
      </c>
      <c r="M1050" s="38" t="str">
        <f t="shared" si="86"/>
        <v>0512</v>
      </c>
      <c r="N1050" s="69">
        <f t="shared" si="88"/>
        <v>1298</v>
      </c>
      <c r="O1050" s="96"/>
      <c r="P1050" s="97"/>
      <c r="Q1050" s="98"/>
      <c r="R1050" s="135"/>
      <c r="S1050">
        <f>S1049+IFERROR(VLOOKUP($P1049,'8080 Op to Hex'!$A:$F,6,0),0)</f>
        <v>0</v>
      </c>
      <c r="Z1050" s="74"/>
      <c r="AA1050" s="130" t="str" cm="1">
        <f t="array" ref="AA1050">HEX2ASCII(AB1050)&amp;HEX2ASCII(AC1050)&amp;HEX2ASCII(AD1050)&amp;HEX2ASCII(AE1050)&amp;HEX2ASCII(AF1050)&amp;HEX2ASCII(AG1050)&amp;HEX2ASCII(AH1050)&amp;HEX2ASCII(AI1050)</f>
        <v/>
      </c>
      <c r="AB1050" s="147"/>
      <c r="AC1050" s="148"/>
      <c r="AD1050" s="148"/>
      <c r="AE1050" s="148"/>
      <c r="AF1050" s="148"/>
      <c r="AG1050" s="148"/>
      <c r="AH1050" s="148"/>
      <c r="AI1050" s="149"/>
    </row>
    <row r="1051" spans="11:35">
      <c r="K1051" s="85"/>
      <c r="L1051" s="54" t="str">
        <f t="shared" si="87"/>
        <v/>
      </c>
      <c r="M1051" s="38" t="str">
        <f t="shared" si="86"/>
        <v>0513</v>
      </c>
      <c r="N1051" s="69">
        <f t="shared" si="88"/>
        <v>1299</v>
      </c>
      <c r="O1051" s="96"/>
      <c r="P1051" s="97"/>
      <c r="Q1051" s="98"/>
      <c r="R1051" s="135"/>
      <c r="S1051">
        <f>S1050+IFERROR(VLOOKUP($P1050,'8080 Op to Hex'!$A:$F,6,0),0)</f>
        <v>0</v>
      </c>
      <c r="Z1051" s="74"/>
      <c r="AA1051" s="130" t="str" cm="1">
        <f t="array" ref="AA1051">HEX2ASCII(AB1051)&amp;HEX2ASCII(AC1051)&amp;HEX2ASCII(AD1051)&amp;HEX2ASCII(AE1051)&amp;HEX2ASCII(AF1051)&amp;HEX2ASCII(AG1051)&amp;HEX2ASCII(AH1051)&amp;HEX2ASCII(AI1051)</f>
        <v/>
      </c>
      <c r="AB1051" s="147"/>
      <c r="AC1051" s="148"/>
      <c r="AD1051" s="148"/>
      <c r="AE1051" s="148"/>
      <c r="AF1051" s="148"/>
      <c r="AG1051" s="148"/>
      <c r="AH1051" s="148"/>
      <c r="AI1051" s="149"/>
    </row>
    <row r="1052" spans="11:35">
      <c r="K1052" s="85"/>
      <c r="L1052" s="54" t="str">
        <f t="shared" si="87"/>
        <v/>
      </c>
      <c r="M1052" s="38" t="str">
        <f t="shared" si="86"/>
        <v>0514</v>
      </c>
      <c r="N1052" s="69">
        <f t="shared" si="88"/>
        <v>1300</v>
      </c>
      <c r="O1052" s="96"/>
      <c r="P1052" s="97"/>
      <c r="Q1052" s="98"/>
      <c r="R1052" s="135"/>
      <c r="S1052">
        <f>S1051+IFERROR(VLOOKUP($P1051,'8080 Op to Hex'!$A:$F,6,0),0)</f>
        <v>0</v>
      </c>
      <c r="Z1052" s="74"/>
      <c r="AA1052" s="130" t="str" cm="1">
        <f t="array" ref="AA1052">HEX2ASCII(AB1052)&amp;HEX2ASCII(AC1052)&amp;HEX2ASCII(AD1052)&amp;HEX2ASCII(AE1052)&amp;HEX2ASCII(AF1052)&amp;HEX2ASCII(AG1052)&amp;HEX2ASCII(AH1052)&amp;HEX2ASCII(AI1052)</f>
        <v/>
      </c>
      <c r="AB1052" s="147"/>
      <c r="AC1052" s="148"/>
      <c r="AD1052" s="148"/>
      <c r="AE1052" s="148"/>
      <c r="AF1052" s="148"/>
      <c r="AG1052" s="148"/>
      <c r="AH1052" s="148"/>
      <c r="AI1052" s="149"/>
    </row>
    <row r="1053" spans="11:35">
      <c r="K1053" s="85"/>
      <c r="L1053" s="54" t="str">
        <f t="shared" si="87"/>
        <v/>
      </c>
      <c r="M1053" s="38" t="str">
        <f t="shared" ref="M1053:M1070" si="89">IFERROR(RIGHT("0000"&amp;DEC2HEX(N1053),4),"")</f>
        <v>0515</v>
      </c>
      <c r="N1053" s="69">
        <f t="shared" si="88"/>
        <v>1301</v>
      </c>
      <c r="O1053" s="96"/>
      <c r="P1053" s="97"/>
      <c r="Q1053" s="98"/>
      <c r="R1053" s="135"/>
      <c r="S1053">
        <f>S1052+IFERROR(VLOOKUP($P1052,'8080 Op to Hex'!$A:$F,6,0),0)</f>
        <v>0</v>
      </c>
      <c r="Z1053" s="74"/>
      <c r="AA1053" s="130" t="str" cm="1">
        <f t="array" ref="AA1053">HEX2ASCII(AB1053)&amp;HEX2ASCII(AC1053)&amp;HEX2ASCII(AD1053)&amp;HEX2ASCII(AE1053)&amp;HEX2ASCII(AF1053)&amp;HEX2ASCII(AG1053)&amp;HEX2ASCII(AH1053)&amp;HEX2ASCII(AI1053)</f>
        <v/>
      </c>
      <c r="AB1053" s="147"/>
      <c r="AC1053" s="148"/>
      <c r="AD1053" s="148"/>
      <c r="AE1053" s="148"/>
      <c r="AF1053" s="148"/>
      <c r="AG1053" s="148"/>
      <c r="AH1053" s="148"/>
      <c r="AI1053" s="149"/>
    </row>
    <row r="1054" spans="11:35">
      <c r="K1054" s="85"/>
      <c r="L1054" s="54" t="str">
        <f t="shared" si="87"/>
        <v/>
      </c>
      <c r="M1054" s="38" t="str">
        <f t="shared" si="89"/>
        <v>0516</v>
      </c>
      <c r="N1054" s="69">
        <f t="shared" si="88"/>
        <v>1302</v>
      </c>
      <c r="O1054" s="96"/>
      <c r="P1054" s="97"/>
      <c r="Q1054" s="98"/>
      <c r="R1054" s="135"/>
      <c r="S1054">
        <f>S1053+IFERROR(VLOOKUP($P1053,'8080 Op to Hex'!$A:$F,6,0),0)</f>
        <v>0</v>
      </c>
      <c r="Z1054" s="74"/>
      <c r="AA1054" s="130" t="str" cm="1">
        <f t="array" ref="AA1054">HEX2ASCII(AB1054)&amp;HEX2ASCII(AC1054)&amp;HEX2ASCII(AD1054)&amp;HEX2ASCII(AE1054)&amp;HEX2ASCII(AF1054)&amp;HEX2ASCII(AG1054)&amp;HEX2ASCII(AH1054)&amp;HEX2ASCII(AI1054)</f>
        <v/>
      </c>
      <c r="AB1054" s="147"/>
      <c r="AC1054" s="148"/>
      <c r="AD1054" s="148"/>
      <c r="AE1054" s="148"/>
      <c r="AF1054" s="148"/>
      <c r="AG1054" s="148"/>
      <c r="AH1054" s="148"/>
      <c r="AI1054" s="149"/>
    </row>
    <row r="1055" spans="11:35">
      <c r="K1055" s="85"/>
      <c r="L1055" s="54" t="str">
        <f t="shared" si="87"/>
        <v/>
      </c>
      <c r="M1055" s="38" t="str">
        <f t="shared" si="89"/>
        <v>0517</v>
      </c>
      <c r="N1055" s="69">
        <f t="shared" si="88"/>
        <v>1303</v>
      </c>
      <c r="O1055" s="96"/>
      <c r="P1055" s="97"/>
      <c r="Q1055" s="98"/>
      <c r="R1055" s="135"/>
      <c r="S1055">
        <f>S1054+IFERROR(VLOOKUP($P1054,'8080 Op to Hex'!$A:$F,6,0),0)</f>
        <v>0</v>
      </c>
      <c r="Z1055" s="74"/>
      <c r="AA1055" s="130" t="str" cm="1">
        <f t="array" ref="AA1055">HEX2ASCII(AB1055)&amp;HEX2ASCII(AC1055)&amp;HEX2ASCII(AD1055)&amp;HEX2ASCII(AE1055)&amp;HEX2ASCII(AF1055)&amp;HEX2ASCII(AG1055)&amp;HEX2ASCII(AH1055)&amp;HEX2ASCII(AI1055)</f>
        <v/>
      </c>
      <c r="AB1055" s="147"/>
      <c r="AC1055" s="148"/>
      <c r="AD1055" s="148"/>
      <c r="AE1055" s="148"/>
      <c r="AF1055" s="148"/>
      <c r="AG1055" s="148"/>
      <c r="AH1055" s="148"/>
      <c r="AI1055" s="149"/>
    </row>
    <row r="1056" spans="11:35">
      <c r="K1056" s="85"/>
      <c r="L1056" s="54" t="str">
        <f t="shared" si="87"/>
        <v/>
      </c>
      <c r="M1056" s="38" t="str">
        <f t="shared" si="89"/>
        <v>0518</v>
      </c>
      <c r="N1056" s="69">
        <f t="shared" si="88"/>
        <v>1304</v>
      </c>
      <c r="O1056" s="96"/>
      <c r="P1056" s="97"/>
      <c r="Q1056" s="98"/>
      <c r="R1056" s="135"/>
      <c r="S1056">
        <f>S1055+IFERROR(VLOOKUP($P1055,'8080 Op to Hex'!$A:$F,6,0),0)</f>
        <v>0</v>
      </c>
      <c r="Z1056" s="74"/>
      <c r="AA1056" s="130" t="str" cm="1">
        <f t="array" ref="AA1056">HEX2ASCII(AB1056)&amp;HEX2ASCII(AC1056)&amp;HEX2ASCII(AD1056)&amp;HEX2ASCII(AE1056)&amp;HEX2ASCII(AF1056)&amp;HEX2ASCII(AG1056)&amp;HEX2ASCII(AH1056)&amp;HEX2ASCII(AI1056)</f>
        <v/>
      </c>
      <c r="AB1056" s="147"/>
      <c r="AC1056" s="148"/>
      <c r="AD1056" s="148"/>
      <c r="AE1056" s="148"/>
      <c r="AF1056" s="148"/>
      <c r="AG1056" s="148"/>
      <c r="AH1056" s="148"/>
      <c r="AI1056" s="149"/>
    </row>
    <row r="1057" spans="11:35">
      <c r="K1057" s="85"/>
      <c r="L1057" s="54" t="str">
        <f t="shared" si="87"/>
        <v/>
      </c>
      <c r="M1057" s="38" t="str">
        <f t="shared" si="89"/>
        <v>0519</v>
      </c>
      <c r="N1057" s="69">
        <f t="shared" si="88"/>
        <v>1305</v>
      </c>
      <c r="O1057" s="96"/>
      <c r="P1057" s="97"/>
      <c r="Q1057" s="98"/>
      <c r="R1057" s="135"/>
      <c r="S1057">
        <f>S1056+IFERROR(VLOOKUP($P1056,'8080 Op to Hex'!$A:$F,6,0),0)</f>
        <v>0</v>
      </c>
      <c r="Z1057" s="74"/>
      <c r="AA1057" s="130" t="str" cm="1">
        <f t="array" ref="AA1057">HEX2ASCII(AB1057)&amp;HEX2ASCII(AC1057)&amp;HEX2ASCII(AD1057)&amp;HEX2ASCII(AE1057)&amp;HEX2ASCII(AF1057)&amp;HEX2ASCII(AG1057)&amp;HEX2ASCII(AH1057)&amp;HEX2ASCII(AI1057)</f>
        <v/>
      </c>
      <c r="AB1057" s="147"/>
      <c r="AC1057" s="148"/>
      <c r="AD1057" s="148"/>
      <c r="AE1057" s="148"/>
      <c r="AF1057" s="148"/>
      <c r="AG1057" s="148"/>
      <c r="AH1057" s="148"/>
      <c r="AI1057" s="149"/>
    </row>
    <row r="1058" spans="11:35">
      <c r="K1058" s="85"/>
      <c r="L1058" s="54" t="str">
        <f t="shared" si="87"/>
        <v/>
      </c>
      <c r="M1058" s="38" t="str">
        <f t="shared" si="89"/>
        <v>051A</v>
      </c>
      <c r="N1058" s="69">
        <f t="shared" si="88"/>
        <v>1306</v>
      </c>
      <c r="O1058" s="96"/>
      <c r="P1058" s="97"/>
      <c r="Q1058" s="98"/>
      <c r="R1058" s="135"/>
      <c r="S1058">
        <f>S1057+IFERROR(VLOOKUP($P1057,'8080 Op to Hex'!$A:$F,6,0),0)</f>
        <v>0</v>
      </c>
      <c r="Z1058" s="74"/>
      <c r="AA1058" s="130" t="str" cm="1">
        <f t="array" ref="AA1058">HEX2ASCII(AB1058)&amp;HEX2ASCII(AC1058)&amp;HEX2ASCII(AD1058)&amp;HEX2ASCII(AE1058)&amp;HEX2ASCII(AF1058)&amp;HEX2ASCII(AG1058)&amp;HEX2ASCII(AH1058)&amp;HEX2ASCII(AI1058)</f>
        <v/>
      </c>
      <c r="AB1058" s="147"/>
      <c r="AC1058" s="148"/>
      <c r="AD1058" s="148"/>
      <c r="AE1058" s="148"/>
      <c r="AF1058" s="148"/>
      <c r="AG1058" s="148"/>
      <c r="AH1058" s="148"/>
      <c r="AI1058" s="149"/>
    </row>
    <row r="1059" spans="11:35">
      <c r="K1059" s="85"/>
      <c r="L1059" s="54" t="str">
        <f t="shared" si="87"/>
        <v/>
      </c>
      <c r="M1059" s="38" t="str">
        <f t="shared" si="89"/>
        <v>051B</v>
      </c>
      <c r="N1059" s="69">
        <f t="shared" si="88"/>
        <v>1307</v>
      </c>
      <c r="O1059" s="96"/>
      <c r="P1059" s="97"/>
      <c r="Q1059" s="98"/>
      <c r="R1059" s="135"/>
      <c r="S1059">
        <f>S1058+IFERROR(VLOOKUP($P1058,'8080 Op to Hex'!$A:$F,6,0),0)</f>
        <v>0</v>
      </c>
      <c r="Z1059" s="74"/>
      <c r="AA1059" s="130" t="str" cm="1">
        <f t="array" ref="AA1059">HEX2ASCII(AB1059)&amp;HEX2ASCII(AC1059)&amp;HEX2ASCII(AD1059)&amp;HEX2ASCII(AE1059)&amp;HEX2ASCII(AF1059)&amp;HEX2ASCII(AG1059)&amp;HEX2ASCII(AH1059)&amp;HEX2ASCII(AI1059)</f>
        <v/>
      </c>
      <c r="AB1059" s="147"/>
      <c r="AC1059" s="148"/>
      <c r="AD1059" s="148"/>
      <c r="AE1059" s="148"/>
      <c r="AF1059" s="148"/>
      <c r="AG1059" s="148"/>
      <c r="AH1059" s="148"/>
      <c r="AI1059" s="149"/>
    </row>
    <row r="1060" spans="11:35">
      <c r="K1060" s="85"/>
      <c r="L1060" s="54" t="str">
        <f t="shared" si="87"/>
        <v/>
      </c>
      <c r="M1060" s="38" t="str">
        <f t="shared" si="89"/>
        <v>051C</v>
      </c>
      <c r="N1060" s="69">
        <f t="shared" si="88"/>
        <v>1308</v>
      </c>
      <c r="O1060" s="96"/>
      <c r="P1060" s="97"/>
      <c r="Q1060" s="98"/>
      <c r="R1060" s="135"/>
      <c r="S1060">
        <f>S1059+IFERROR(VLOOKUP($P1059,'8080 Op to Hex'!$A:$F,6,0),0)</f>
        <v>0</v>
      </c>
      <c r="Z1060" s="74"/>
      <c r="AA1060" s="130" t="str" cm="1">
        <f t="array" ref="AA1060">HEX2ASCII(AB1060)&amp;HEX2ASCII(AC1060)&amp;HEX2ASCII(AD1060)&amp;HEX2ASCII(AE1060)&amp;HEX2ASCII(AF1060)&amp;HEX2ASCII(AG1060)&amp;HEX2ASCII(AH1060)&amp;HEX2ASCII(AI1060)</f>
        <v/>
      </c>
      <c r="AB1060" s="147"/>
      <c r="AC1060" s="148"/>
      <c r="AD1060" s="148"/>
      <c r="AE1060" s="148"/>
      <c r="AF1060" s="148"/>
      <c r="AG1060" s="148"/>
      <c r="AH1060" s="148"/>
      <c r="AI1060" s="149"/>
    </row>
    <row r="1061" spans="11:35">
      <c r="K1061" s="85"/>
      <c r="L1061" s="54" t="str">
        <f t="shared" si="87"/>
        <v/>
      </c>
      <c r="M1061" s="38" t="str">
        <f t="shared" si="89"/>
        <v>051D</v>
      </c>
      <c r="N1061" s="69">
        <f t="shared" si="88"/>
        <v>1309</v>
      </c>
      <c r="O1061" s="96"/>
      <c r="P1061" s="97"/>
      <c r="Q1061" s="98"/>
      <c r="R1061" s="135"/>
      <c r="S1061">
        <f>S1060+IFERROR(VLOOKUP($P1060,'8080 Op to Hex'!$A:$F,6,0),0)</f>
        <v>0</v>
      </c>
      <c r="Z1061" s="74"/>
      <c r="AA1061" s="130" t="str" cm="1">
        <f t="array" ref="AA1061">HEX2ASCII(AB1061)&amp;HEX2ASCII(AC1061)&amp;HEX2ASCII(AD1061)&amp;HEX2ASCII(AE1061)&amp;HEX2ASCII(AF1061)&amp;HEX2ASCII(AG1061)&amp;HEX2ASCII(AH1061)&amp;HEX2ASCII(AI1061)</f>
        <v/>
      </c>
      <c r="AB1061" s="147"/>
      <c r="AC1061" s="148"/>
      <c r="AD1061" s="148"/>
      <c r="AE1061" s="148"/>
      <c r="AF1061" s="148"/>
      <c r="AG1061" s="148"/>
      <c r="AH1061" s="148"/>
      <c r="AI1061" s="149"/>
    </row>
    <row r="1062" spans="11:35">
      <c r="K1062" s="85"/>
      <c r="L1062" s="54" t="str">
        <f t="shared" si="87"/>
        <v/>
      </c>
      <c r="M1062" s="38" t="str">
        <f t="shared" si="89"/>
        <v>051E</v>
      </c>
      <c r="N1062" s="69">
        <f t="shared" si="88"/>
        <v>1310</v>
      </c>
      <c r="O1062" s="96"/>
      <c r="P1062" s="97"/>
      <c r="Q1062" s="98"/>
      <c r="R1062" s="135"/>
      <c r="S1062">
        <f>S1061+IFERROR(VLOOKUP($P1061,'8080 Op to Hex'!$A:$F,6,0),0)</f>
        <v>0</v>
      </c>
      <c r="Z1062" s="74"/>
      <c r="AA1062" s="130" t="str" cm="1">
        <f t="array" ref="AA1062">HEX2ASCII(AB1062)&amp;HEX2ASCII(AC1062)&amp;HEX2ASCII(AD1062)&amp;HEX2ASCII(AE1062)&amp;HEX2ASCII(AF1062)&amp;HEX2ASCII(AG1062)&amp;HEX2ASCII(AH1062)&amp;HEX2ASCII(AI1062)</f>
        <v/>
      </c>
      <c r="AB1062" s="147"/>
      <c r="AC1062" s="148"/>
      <c r="AD1062" s="148"/>
      <c r="AE1062" s="148"/>
      <c r="AF1062" s="148"/>
      <c r="AG1062" s="148"/>
      <c r="AH1062" s="148"/>
      <c r="AI1062" s="149"/>
    </row>
    <row r="1063" spans="11:35">
      <c r="K1063" s="85"/>
      <c r="L1063" s="54" t="str">
        <f t="shared" si="87"/>
        <v/>
      </c>
      <c r="M1063" s="38" t="str">
        <f t="shared" si="89"/>
        <v>051F</v>
      </c>
      <c r="N1063" s="69">
        <f t="shared" si="88"/>
        <v>1311</v>
      </c>
      <c r="O1063" s="96"/>
      <c r="P1063" s="97"/>
      <c r="Q1063" s="98"/>
      <c r="R1063" s="135"/>
      <c r="S1063">
        <f>S1062+IFERROR(VLOOKUP($P1062,'8080 Op to Hex'!$A:$F,6,0),0)</f>
        <v>0</v>
      </c>
      <c r="Z1063" s="74"/>
      <c r="AA1063" s="130" t="str" cm="1">
        <f t="array" ref="AA1063">HEX2ASCII(AB1063)&amp;HEX2ASCII(AC1063)&amp;HEX2ASCII(AD1063)&amp;HEX2ASCII(AE1063)&amp;HEX2ASCII(AF1063)&amp;HEX2ASCII(AG1063)&amp;HEX2ASCII(AH1063)&amp;HEX2ASCII(AI1063)</f>
        <v/>
      </c>
      <c r="AB1063" s="147"/>
      <c r="AC1063" s="148"/>
      <c r="AD1063" s="148"/>
      <c r="AE1063" s="148"/>
      <c r="AF1063" s="148"/>
      <c r="AG1063" s="148"/>
      <c r="AH1063" s="148"/>
      <c r="AI1063" s="149"/>
    </row>
    <row r="1064" spans="11:35">
      <c r="K1064" s="85"/>
      <c r="L1064" s="54" t="str">
        <f t="shared" si="87"/>
        <v/>
      </c>
      <c r="M1064" s="38" t="str">
        <f t="shared" si="89"/>
        <v>0520</v>
      </c>
      <c r="N1064" s="69">
        <f t="shared" si="88"/>
        <v>1312</v>
      </c>
      <c r="O1064" s="96"/>
      <c r="P1064" s="97"/>
      <c r="Q1064" s="98"/>
      <c r="R1064" s="135"/>
      <c r="S1064">
        <f>S1063+IFERROR(VLOOKUP($P1063,'8080 Op to Hex'!$A:$F,6,0),0)</f>
        <v>0</v>
      </c>
      <c r="Z1064" s="74"/>
      <c r="AA1064" s="130" t="str" cm="1">
        <f t="array" ref="AA1064">HEX2ASCII(AB1064)&amp;HEX2ASCII(AC1064)&amp;HEX2ASCII(AD1064)&amp;HEX2ASCII(AE1064)&amp;HEX2ASCII(AF1064)&amp;HEX2ASCII(AG1064)&amp;HEX2ASCII(AH1064)&amp;HEX2ASCII(AI1064)</f>
        <v/>
      </c>
      <c r="AB1064" s="147"/>
      <c r="AC1064" s="148"/>
      <c r="AD1064" s="148"/>
      <c r="AE1064" s="148"/>
      <c r="AF1064" s="148"/>
      <c r="AG1064" s="148"/>
      <c r="AH1064" s="148"/>
      <c r="AI1064" s="149"/>
    </row>
    <row r="1065" spans="11:35">
      <c r="K1065" s="85"/>
      <c r="L1065" s="54" t="str">
        <f t="shared" si="87"/>
        <v/>
      </c>
      <c r="M1065" s="38" t="str">
        <f t="shared" si="89"/>
        <v>0521</v>
      </c>
      <c r="N1065" s="69">
        <f t="shared" si="88"/>
        <v>1313</v>
      </c>
      <c r="O1065" s="96"/>
      <c r="P1065" s="97"/>
      <c r="Q1065" s="98"/>
      <c r="R1065" s="135"/>
      <c r="S1065">
        <f>S1064+IFERROR(VLOOKUP($P1064,'8080 Op to Hex'!$A:$F,6,0),0)</f>
        <v>0</v>
      </c>
      <c r="Z1065" s="74"/>
      <c r="AA1065" s="130" t="str" cm="1">
        <f t="array" ref="AA1065">HEX2ASCII(AB1065)&amp;HEX2ASCII(AC1065)&amp;HEX2ASCII(AD1065)&amp;HEX2ASCII(AE1065)&amp;HEX2ASCII(AF1065)&amp;HEX2ASCII(AG1065)&amp;HEX2ASCII(AH1065)&amp;HEX2ASCII(AI1065)</f>
        <v/>
      </c>
      <c r="AB1065" s="147"/>
      <c r="AC1065" s="148"/>
      <c r="AD1065" s="148"/>
      <c r="AE1065" s="148"/>
      <c r="AF1065" s="148"/>
      <c r="AG1065" s="148"/>
      <c r="AH1065" s="148"/>
      <c r="AI1065" s="149"/>
    </row>
    <row r="1066" spans="11:35">
      <c r="K1066" s="85"/>
      <c r="L1066" s="54" t="str">
        <f t="shared" si="87"/>
        <v/>
      </c>
      <c r="M1066" s="38" t="str">
        <f t="shared" si="89"/>
        <v>0522</v>
      </c>
      <c r="N1066" s="69">
        <f t="shared" si="88"/>
        <v>1314</v>
      </c>
      <c r="O1066" s="96"/>
      <c r="P1066" s="97"/>
      <c r="Q1066" s="98"/>
      <c r="R1066" s="135"/>
      <c r="S1066">
        <f>S1065+IFERROR(VLOOKUP($P1065,'8080 Op to Hex'!$A:$F,6,0),0)</f>
        <v>0</v>
      </c>
      <c r="Z1066" s="74"/>
      <c r="AA1066" s="130" t="str" cm="1">
        <f t="array" ref="AA1066">HEX2ASCII(AB1066)&amp;HEX2ASCII(AC1066)&amp;HEX2ASCII(AD1066)&amp;HEX2ASCII(AE1066)&amp;HEX2ASCII(AF1066)&amp;HEX2ASCII(AG1066)&amp;HEX2ASCII(AH1066)&amp;HEX2ASCII(AI1066)</f>
        <v/>
      </c>
      <c r="AB1066" s="147"/>
      <c r="AC1066" s="148"/>
      <c r="AD1066" s="148"/>
      <c r="AE1066" s="148"/>
      <c r="AF1066" s="148"/>
      <c r="AG1066" s="148"/>
      <c r="AH1066" s="148"/>
      <c r="AI1066" s="149"/>
    </row>
    <row r="1067" spans="11:35">
      <c r="K1067" s="85"/>
      <c r="L1067" s="54" t="str">
        <f t="shared" si="87"/>
        <v/>
      </c>
      <c r="M1067" s="38" t="str">
        <f t="shared" si="89"/>
        <v>0523</v>
      </c>
      <c r="N1067" s="69">
        <f t="shared" si="88"/>
        <v>1315</v>
      </c>
      <c r="O1067" s="96"/>
      <c r="P1067" s="97"/>
      <c r="Q1067" s="98"/>
      <c r="R1067" s="135"/>
      <c r="S1067">
        <f>S1066+IFERROR(VLOOKUP($P1066,'8080 Op to Hex'!$A:$F,6,0),0)</f>
        <v>0</v>
      </c>
      <c r="Z1067" s="74"/>
      <c r="AA1067" s="130" t="str" cm="1">
        <f t="array" ref="AA1067">HEX2ASCII(AB1067)&amp;HEX2ASCII(AC1067)&amp;HEX2ASCII(AD1067)&amp;HEX2ASCII(AE1067)&amp;HEX2ASCII(AF1067)&amp;HEX2ASCII(AG1067)&amp;HEX2ASCII(AH1067)&amp;HEX2ASCII(AI1067)</f>
        <v/>
      </c>
      <c r="AB1067" s="147"/>
      <c r="AC1067" s="148"/>
      <c r="AD1067" s="148"/>
      <c r="AE1067" s="148"/>
      <c r="AF1067" s="148"/>
      <c r="AG1067" s="148"/>
      <c r="AH1067" s="148"/>
      <c r="AI1067" s="149"/>
    </row>
    <row r="1068" spans="11:35">
      <c r="K1068" s="85"/>
      <c r="L1068" s="54" t="str">
        <f t="shared" si="87"/>
        <v/>
      </c>
      <c r="M1068" s="38" t="str">
        <f t="shared" si="89"/>
        <v>0524</v>
      </c>
      <c r="N1068" s="69">
        <f t="shared" si="88"/>
        <v>1316</v>
      </c>
      <c r="O1068" s="96"/>
      <c r="P1068" s="97"/>
      <c r="Q1068" s="98"/>
      <c r="R1068" s="135"/>
      <c r="S1068">
        <f>S1067+IFERROR(VLOOKUP($P1067,'8080 Op to Hex'!$A:$F,6,0),0)</f>
        <v>0</v>
      </c>
      <c r="Z1068" s="74"/>
      <c r="AA1068" s="130" t="str" cm="1">
        <f t="array" ref="AA1068">HEX2ASCII(AB1068)&amp;HEX2ASCII(AC1068)&amp;HEX2ASCII(AD1068)&amp;HEX2ASCII(AE1068)&amp;HEX2ASCII(AF1068)&amp;HEX2ASCII(AG1068)&amp;HEX2ASCII(AH1068)&amp;HEX2ASCII(AI1068)</f>
        <v/>
      </c>
      <c r="AB1068" s="147"/>
      <c r="AC1068" s="148"/>
      <c r="AD1068" s="148"/>
      <c r="AE1068" s="148"/>
      <c r="AF1068" s="148"/>
      <c r="AG1068" s="148"/>
      <c r="AH1068" s="148"/>
      <c r="AI1068" s="149"/>
    </row>
    <row r="1069" spans="11:35">
      <c r="K1069" s="85"/>
      <c r="L1069" s="54" t="str">
        <f t="shared" si="87"/>
        <v/>
      </c>
      <c r="M1069" s="38" t="str">
        <f t="shared" si="89"/>
        <v>0525</v>
      </c>
      <c r="N1069" s="69">
        <f t="shared" si="88"/>
        <v>1317</v>
      </c>
      <c r="O1069" s="96"/>
      <c r="P1069" s="97"/>
      <c r="Q1069" s="98"/>
      <c r="R1069" s="135"/>
      <c r="S1069">
        <f>S1068+IFERROR(VLOOKUP($P1068,'8080 Op to Hex'!$A:$F,6,0),0)</f>
        <v>0</v>
      </c>
      <c r="Z1069" s="74"/>
      <c r="AA1069" s="130" t="str" cm="1">
        <f t="array" ref="AA1069">HEX2ASCII(AB1069)&amp;HEX2ASCII(AC1069)&amp;HEX2ASCII(AD1069)&amp;HEX2ASCII(AE1069)&amp;HEX2ASCII(AF1069)&amp;HEX2ASCII(AG1069)&amp;HEX2ASCII(AH1069)&amp;HEX2ASCII(AI1069)</f>
        <v/>
      </c>
      <c r="AB1069" s="147"/>
      <c r="AC1069" s="148"/>
      <c r="AD1069" s="148"/>
      <c r="AE1069" s="148"/>
      <c r="AF1069" s="148"/>
      <c r="AG1069" s="148"/>
      <c r="AH1069" s="148"/>
      <c r="AI1069" s="149"/>
    </row>
    <row r="1070" spans="11:35" ht="15.75" thickBot="1">
      <c r="K1070" s="136"/>
      <c r="L1070" s="137" t="str">
        <f t="shared" si="87"/>
        <v/>
      </c>
      <c r="M1070" s="138" t="str">
        <f t="shared" si="89"/>
        <v>0526</v>
      </c>
      <c r="N1070" s="139">
        <f t="shared" si="88"/>
        <v>1318</v>
      </c>
      <c r="O1070" s="140"/>
      <c r="P1070" s="141"/>
      <c r="Q1070" s="142"/>
      <c r="R1070" s="143"/>
      <c r="S1070">
        <f>S1069+IFERROR(VLOOKUP($P1069,'8080 Op to Hex'!$A:$F,6,0),0)</f>
        <v>0</v>
      </c>
      <c r="Z1070" s="8"/>
      <c r="AA1070" s="131" t="str" cm="1">
        <f t="array" ref="AA1070">HEX2ASCII(AB1070)&amp;HEX2ASCII(AC1070)&amp;HEX2ASCII(AD1070)&amp;HEX2ASCII(AE1070)&amp;HEX2ASCII(AF1070)&amp;HEX2ASCII(AG1070)&amp;HEX2ASCII(AH1070)&amp;HEX2ASCII(AI1070)</f>
        <v/>
      </c>
      <c r="AB1070" s="150"/>
      <c r="AC1070" s="151"/>
      <c r="AD1070" s="151"/>
      <c r="AE1070" s="151"/>
      <c r="AF1070" s="151"/>
      <c r="AG1070" s="151"/>
      <c r="AH1070" s="151"/>
      <c r="AI1070" s="152"/>
    </row>
  </sheetData>
  <mergeCells count="1">
    <mergeCell ref="F1:V1"/>
  </mergeCells>
  <conditionalFormatting sqref="E1">
    <cfRule type="cellIs" dxfId="324" priority="29" operator="equal">
      <formula>0</formula>
    </cfRule>
    <cfRule type="cellIs" dxfId="323" priority="30" operator="greaterThan">
      <formula>0</formula>
    </cfRule>
  </conditionalFormatting>
  <conditionalFormatting sqref="F1:V1">
    <cfRule type="containsText" dxfId="322" priority="20" operator="containsText" text="Halted">
      <formula>NOT(ISERROR(SEARCH("Halted",F1)))</formula>
    </cfRule>
    <cfRule type="containsText" dxfId="321" priority="27" operator="containsText" text="Execution Complete">
      <formula>NOT(ISERROR(SEARCH("Execution Complete",F1)))</formula>
    </cfRule>
    <cfRule type="containsText" dxfId="320" priority="28" operator="containsText" text="Error">
      <formula>NOT(ISERROR(SEARCH("Error",F1)))</formula>
    </cfRule>
  </conditionalFormatting>
  <conditionalFormatting sqref="P24:R1070">
    <cfRule type="expression" dxfId="319" priority="52">
      <formula>$N24=$E$13</formula>
    </cfRule>
  </conditionalFormatting>
  <conditionalFormatting sqref="M7:R7 M24:R1070 M8:N1070">
    <cfRule type="containsText" dxfId="318" priority="8" operator="containsText" text=" ">
      <formula>NOT(ISERROR(SEARCH(" ",M7)))</formula>
    </cfRule>
  </conditionalFormatting>
  <conditionalFormatting sqref="AK5:AL5">
    <cfRule type="cellIs" dxfId="317" priority="6" operator="equal">
      <formula>0</formula>
    </cfRule>
    <cfRule type="cellIs" dxfId="316" priority="7" operator="equal">
      <formula>1</formula>
    </cfRule>
  </conditionalFormatting>
  <conditionalFormatting sqref="H20">
    <cfRule type="cellIs" dxfId="315" priority="4" operator="equal">
      <formula>0</formula>
    </cfRule>
    <cfRule type="cellIs" dxfId="314" priority="5" operator="equal">
      <formula>1</formula>
    </cfRule>
  </conditionalFormatting>
  <conditionalFormatting sqref="K7:R7 K24:R1070 K8:N23">
    <cfRule type="expression" dxfId="313" priority="3">
      <formula>$E$13=$N7</formula>
    </cfRule>
  </conditionalFormatting>
  <conditionalFormatting sqref="AC5:AJ5">
    <cfRule type="cellIs" dxfId="312" priority="1" operator="equal">
      <formula>0</formula>
    </cfRule>
    <cfRule type="cellIs" dxfId="31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16"/>
  <sheetViews>
    <sheetView zoomScaleNormal="100" workbookViewId="0">
      <pane xSplit="1" ySplit="4" topLeftCell="B486" activePane="bottomRight" state="frozen"/>
      <selection pane="topRight" activeCell="B1" sqref="B1"/>
      <selection pane="bottomLeft" activeCell="A5" sqref="A5"/>
      <selection pane="bottomRight" activeCell="L509" sqref="L50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272</v>
      </c>
      <c r="G1" s="92" t="s">
        <v>312</v>
      </c>
      <c r="H1" s="92" t="s">
        <v>336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010F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315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61" t="s">
        <v>983</v>
      </c>
      <c r="L4" s="68" t="s">
        <v>265</v>
      </c>
      <c r="M4" s="20">
        <f>IFERROR(VLOOKUP(A4,$P$6:$R$1048576,3,0),0)</f>
        <v>0</v>
      </c>
      <c r="U4" s="156" t="s">
        <v>339</v>
      </c>
      <c r="V4" s="157"/>
      <c r="W4" s="157"/>
      <c r="X4" s="157"/>
      <c r="Y4" s="157"/>
      <c r="Z4" s="157"/>
      <c r="AA4" s="157"/>
      <c r="AB4" s="158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389</v>
      </c>
      <c r="R5" s="88" t="s">
        <v>242</v>
      </c>
      <c r="U5" s="159" t="s">
        <v>986</v>
      </c>
      <c r="V5" s="159"/>
      <c r="W5" s="159"/>
      <c r="X5" s="159"/>
      <c r="Y5" s="159"/>
      <c r="Z5" s="159"/>
      <c r="AA5" s="159"/>
      <c r="AB5" s="159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315</v>
      </c>
      <c r="Q6" s="39" t="str">
        <f t="shared" ref="Q6:Q58" si="1">IFERROR(VLOOKUP(P6,$A$4:$L$1048576,12,0),"")</f>
        <v xml:space="preserve">MVI and MOV </v>
      </c>
      <c r="R6" s="39">
        <v>0</v>
      </c>
      <c r="U6" s="160"/>
      <c r="V6" s="160"/>
      <c r="W6" s="160"/>
      <c r="X6" s="160"/>
      <c r="Y6" s="160"/>
      <c r="Z6" s="160"/>
      <c r="AA6" s="160"/>
      <c r="AB6" s="160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316</v>
      </c>
      <c r="Q7" s="39" t="str">
        <f t="shared" si="1"/>
        <v>PUSH PSW</v>
      </c>
      <c r="R7" s="39">
        <v>0</v>
      </c>
      <c r="U7" s="160"/>
      <c r="V7" s="160"/>
      <c r="W7" s="160"/>
      <c r="X7" s="160"/>
      <c r="Y7" s="160"/>
      <c r="Z7" s="160"/>
      <c r="AA7" s="160"/>
      <c r="AB7" s="160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317</v>
      </c>
      <c r="Q8" s="39" t="str">
        <f t="shared" si="1"/>
        <v>CALL &amp; RET</v>
      </c>
      <c r="R8" s="39">
        <v>0</v>
      </c>
      <c r="U8" s="160"/>
      <c r="V8" s="160"/>
      <c r="W8" s="160"/>
      <c r="X8" s="160"/>
      <c r="Y8" s="160"/>
      <c r="Z8" s="160"/>
      <c r="AA8" s="160"/>
      <c r="AB8" s="160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319</v>
      </c>
      <c r="Q9" s="39" t="str">
        <f t="shared" si="1"/>
        <v>INR</v>
      </c>
      <c r="R9" s="39">
        <v>0</v>
      </c>
      <c r="U9" s="160"/>
      <c r="V9" s="160"/>
      <c r="W9" s="160"/>
      <c r="X9" s="160"/>
      <c r="Y9" s="160"/>
      <c r="Z9" s="160"/>
      <c r="AA9" s="160"/>
      <c r="AB9" s="160"/>
    </row>
    <row r="10" spans="1:28" ht="15.75" thickBot="1">
      <c r="H10" s="51"/>
      <c r="I10" s="51"/>
      <c r="J10" s="51"/>
      <c r="K10" s="51"/>
      <c r="P10" s="6" t="s">
        <v>318</v>
      </c>
      <c r="Q10" s="39" t="str">
        <f t="shared" si="1"/>
        <v>DCR</v>
      </c>
      <c r="R10" s="39">
        <v>0</v>
      </c>
      <c r="U10" s="160"/>
      <c r="V10" s="160"/>
      <c r="W10" s="160"/>
      <c r="X10" s="160"/>
      <c r="Y10" s="160"/>
      <c r="Z10" s="160"/>
      <c r="AA10" s="160"/>
      <c r="AB10" s="160"/>
    </row>
    <row r="11" spans="1:28" ht="15.75" thickBot="1">
      <c r="A11" s="20" t="s">
        <v>316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61" t="s">
        <v>983</v>
      </c>
      <c r="L11" s="68" t="s">
        <v>267</v>
      </c>
      <c r="M11" s="20">
        <f>IFERROR(VLOOKUP(A11,$P$6:$R$1048576,3,0),0)</f>
        <v>0</v>
      </c>
      <c r="P11" s="6" t="s">
        <v>320</v>
      </c>
      <c r="Q11" s="39" t="str">
        <f t="shared" si="1"/>
        <v>Zero Flag Test - Positive</v>
      </c>
      <c r="R11" s="39">
        <v>0</v>
      </c>
      <c r="U11" s="160"/>
      <c r="V11" s="160"/>
      <c r="W11" s="160"/>
      <c r="X11" s="160"/>
      <c r="Y11" s="160"/>
      <c r="Z11" s="160"/>
      <c r="AA11" s="160"/>
      <c r="AB11" s="160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321</v>
      </c>
      <c r="Q12" s="39" t="str">
        <f t="shared" si="1"/>
        <v>Zero Flag Test - Negative</v>
      </c>
      <c r="R12" s="39">
        <v>0</v>
      </c>
      <c r="U12" s="160"/>
      <c r="V12" s="160"/>
      <c r="W12" s="160"/>
      <c r="X12" s="160"/>
      <c r="Y12" s="160"/>
      <c r="Z12" s="160"/>
      <c r="AA12" s="160"/>
      <c r="AB12" s="160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AND(CPU!W9='Unit Tests'!G12&amp;"H",CPU!W8&amp;""="02H",CPU!X8="Flags",CPU!X9="A")</f>
        <v>0</v>
      </c>
      <c r="K13" s="55"/>
      <c r="L13" s="6" t="s">
        <v>194</v>
      </c>
      <c r="P13" s="6" t="s">
        <v>322</v>
      </c>
      <c r="Q13" s="39" t="str">
        <f t="shared" si="1"/>
        <v>ORA Test One</v>
      </c>
      <c r="R13" s="39">
        <v>0</v>
      </c>
      <c r="U13" s="160"/>
      <c r="V13" s="160"/>
      <c r="W13" s="160"/>
      <c r="X13" s="160"/>
      <c r="Y13" s="160"/>
      <c r="Z13" s="160"/>
      <c r="AA13" s="160"/>
      <c r="AB13" s="160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323</v>
      </c>
      <c r="Q14" s="39" t="str">
        <f t="shared" si="1"/>
        <v>ORA Test Two</v>
      </c>
      <c r="R14" s="39">
        <v>0</v>
      </c>
      <c r="U14" s="160"/>
      <c r="V14" s="160"/>
      <c r="W14" s="160"/>
      <c r="X14" s="160"/>
      <c r="Y14" s="160"/>
      <c r="Z14" s="160"/>
      <c r="AA14" s="160"/>
      <c r="AB14" s="160"/>
    </row>
    <row r="15" spans="1:28" ht="15.75" thickBot="1">
      <c r="H15" s="51"/>
      <c r="I15" s="51"/>
      <c r="J15" s="51"/>
      <c r="K15" s="51"/>
      <c r="P15" s="6" t="s">
        <v>324</v>
      </c>
      <c r="Q15" s="39" t="str">
        <f t="shared" si="1"/>
        <v>AC Parity and Sign</v>
      </c>
      <c r="R15" s="39">
        <v>0</v>
      </c>
      <c r="U15" s="160"/>
      <c r="V15" s="160"/>
      <c r="W15" s="160"/>
      <c r="X15" s="160"/>
      <c r="Y15" s="160"/>
      <c r="Z15" s="160"/>
      <c r="AA15" s="160"/>
      <c r="AB15" s="160"/>
    </row>
    <row r="16" spans="1:28" ht="15.75" thickBot="1">
      <c r="A16" s="20" t="s">
        <v>317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61" t="s">
        <v>983</v>
      </c>
      <c r="L16" s="68" t="s">
        <v>268</v>
      </c>
      <c r="M16" s="20">
        <f>IFERROR(VLOOKUP(A16,$P$6:$R$1048576,3,0),0)</f>
        <v>0</v>
      </c>
      <c r="P16" s="6" t="s">
        <v>325</v>
      </c>
      <c r="Q16" s="39" t="str">
        <f t="shared" si="1"/>
        <v>Unit_DCR_AC_SET_00</v>
      </c>
      <c r="R16" s="39">
        <v>0</v>
      </c>
      <c r="U16" s="160"/>
      <c r="V16" s="160"/>
      <c r="W16" s="160"/>
      <c r="X16" s="160"/>
      <c r="Y16" s="160"/>
      <c r="Z16" s="160"/>
      <c r="AA16" s="160"/>
      <c r="AB16" s="160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326</v>
      </c>
      <c r="Q17" s="39" t="str">
        <f t="shared" si="1"/>
        <v>Unit_DCR_AC_SET_10</v>
      </c>
      <c r="R17" s="39">
        <v>0</v>
      </c>
      <c r="U17" s="160"/>
      <c r="V17" s="160"/>
      <c r="W17" s="160"/>
      <c r="X17" s="160"/>
      <c r="Y17" s="160"/>
      <c r="Z17" s="160"/>
      <c r="AA17" s="160"/>
      <c r="AB17" s="160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327</v>
      </c>
      <c r="Q18" s="39" t="str">
        <f t="shared" si="1"/>
        <v>Console Print</v>
      </c>
      <c r="R18" s="39">
        <v>0</v>
      </c>
      <c r="U18" s="160"/>
      <c r="V18" s="160"/>
      <c r="W18" s="160"/>
      <c r="X18" s="160"/>
      <c r="Y18" s="160"/>
      <c r="Z18" s="160"/>
      <c r="AA18" s="160"/>
      <c r="AB18" s="160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328</v>
      </c>
      <c r="Q19" s="39" t="str">
        <f t="shared" si="1"/>
        <v xml:space="preserve"> MOV matrix (no flags)</v>
      </c>
      <c r="R19" s="39">
        <v>0</v>
      </c>
      <c r="U19" s="160"/>
      <c r="V19" s="160"/>
      <c r="W19" s="160"/>
      <c r="X19" s="160"/>
      <c r="Y19" s="160"/>
      <c r="Z19" s="160"/>
      <c r="AA19" s="160"/>
      <c r="AB19" s="160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329</v>
      </c>
      <c r="Q20" s="39" t="str">
        <f t="shared" si="1"/>
        <v>ORA sets S/Z/P and clears CY/AC</v>
      </c>
      <c r="R20" s="39">
        <v>0</v>
      </c>
      <c r="U20" s="160"/>
      <c r="V20" s="160"/>
      <c r="W20" s="160"/>
      <c r="X20" s="160"/>
      <c r="Y20" s="160"/>
      <c r="Z20" s="160"/>
      <c r="AA20" s="160"/>
      <c r="AB20" s="160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330</v>
      </c>
      <c r="Q21" s="39" t="str">
        <f t="shared" si="1"/>
        <v>INR edge cases (AC and Zero transitions)</v>
      </c>
      <c r="R21" s="39">
        <v>0</v>
      </c>
      <c r="U21" s="160"/>
      <c r="V21" s="160"/>
      <c r="W21" s="160"/>
      <c r="X21" s="160"/>
      <c r="Y21" s="160"/>
      <c r="Z21" s="160"/>
      <c r="AA21" s="160"/>
      <c r="AB21" s="160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331</v>
      </c>
      <c r="Q22" s="39" t="str">
        <f t="shared" si="1"/>
        <v>DCR edge cases (AC/Parity/Sign)</v>
      </c>
      <c r="R22" s="39">
        <v>0</v>
      </c>
      <c r="U22" s="160"/>
      <c r="V22" s="160"/>
      <c r="W22" s="160"/>
      <c r="X22" s="160"/>
      <c r="Y22" s="160"/>
      <c r="Z22" s="160"/>
      <c r="AA22" s="160"/>
      <c r="AB22" s="160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332</v>
      </c>
      <c r="Q23" s="39" t="str">
        <f t="shared" si="1"/>
        <v>LXI into B/D/H and SP</v>
      </c>
      <c r="R23" s="39">
        <v>0</v>
      </c>
      <c r="U23" s="160"/>
      <c r="V23" s="160"/>
      <c r="W23" s="160"/>
      <c r="X23" s="160"/>
      <c r="Y23" s="160"/>
      <c r="Z23" s="160"/>
      <c r="AA23" s="160"/>
      <c r="AB23" s="160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333</v>
      </c>
      <c r="Q24" s="39" t="str">
        <f t="shared" si="1"/>
        <v>PUSH/POP pairs (B&amp;H)</v>
      </c>
      <c r="R24" s="39">
        <v>0</v>
      </c>
      <c r="U24" s="160"/>
      <c r="V24" s="160"/>
      <c r="W24" s="160"/>
      <c r="X24" s="160"/>
      <c r="Y24" s="160"/>
      <c r="Z24" s="160"/>
      <c r="AA24" s="160"/>
      <c r="AB24" s="160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351</v>
      </c>
      <c r="Q25" s="39" t="str">
        <f t="shared" si="1"/>
        <v>PUSH/POP PSW round‑trip (flags + A)</v>
      </c>
      <c r="R25" s="39">
        <v>0</v>
      </c>
      <c r="U25" s="160"/>
      <c r="V25" s="160"/>
      <c r="W25" s="160"/>
      <c r="X25" s="160"/>
      <c r="Y25" s="160"/>
      <c r="Z25" s="160"/>
      <c r="AA25" s="160"/>
      <c r="AB25" s="160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353</v>
      </c>
      <c r="Q26" s="39" t="str">
        <f t="shared" si="1"/>
        <v>JMP direct</v>
      </c>
      <c r="R26" s="39">
        <v>0</v>
      </c>
      <c r="U26" s="160"/>
      <c r="V26" s="160"/>
      <c r="W26" s="160"/>
      <c r="X26" s="160"/>
      <c r="Y26" s="160"/>
      <c r="Z26" s="160"/>
      <c r="AA26" s="160"/>
      <c r="AB26" s="160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CPU!X8=""</f>
        <v>1</v>
      </c>
      <c r="K27" s="55"/>
      <c r="L27" s="6" t="s">
        <v>206</v>
      </c>
      <c r="P27" s="6" t="s">
        <v>354</v>
      </c>
      <c r="Q27" s="39" t="str">
        <f t="shared" si="1"/>
        <v>JZ/JNZ (taken/not taken)</v>
      </c>
      <c r="R27" s="39">
        <v>0</v>
      </c>
      <c r="U27" s="160"/>
      <c r="V27" s="160"/>
      <c r="W27" s="160"/>
      <c r="X27" s="160"/>
      <c r="Y27" s="160"/>
      <c r="Z27" s="160"/>
      <c r="AA27" s="160"/>
      <c r="AB27" s="160"/>
    </row>
    <row r="28" spans="1:28" ht="15.75" thickBot="1">
      <c r="H28" s="51"/>
      <c r="I28" s="51"/>
      <c r="J28" s="51"/>
      <c r="K28" s="51"/>
      <c r="P28" s="6" t="s">
        <v>357</v>
      </c>
      <c r="Q28" s="39" t="str">
        <f t="shared" si="1"/>
        <v>JP/JM (Sign)</v>
      </c>
      <c r="R28" s="39">
        <v>0</v>
      </c>
      <c r="U28" s="160"/>
      <c r="V28" s="160"/>
      <c r="W28" s="160"/>
      <c r="X28" s="160"/>
      <c r="Y28" s="160"/>
      <c r="Z28" s="160"/>
      <c r="AA28" s="160"/>
      <c r="AB28" s="160"/>
    </row>
    <row r="29" spans="1:28" ht="15.75" thickBot="1">
      <c r="A29" s="20" t="s">
        <v>319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61" t="s">
        <v>983</v>
      </c>
      <c r="L29" s="68" t="s">
        <v>215</v>
      </c>
      <c r="M29" s="20">
        <f>IFERROR(VLOOKUP(A29,$P$6:$R$1048576,3,0),0)</f>
        <v>0</v>
      </c>
      <c r="P29" s="6" t="s">
        <v>358</v>
      </c>
      <c r="Q29" s="39" t="str">
        <f t="shared" si="1"/>
        <v>JPE/JPO (Parity)</v>
      </c>
      <c r="R29" s="39">
        <v>0</v>
      </c>
      <c r="U29" s="160"/>
      <c r="V29" s="160"/>
      <c r="W29" s="160"/>
      <c r="X29" s="160"/>
      <c r="Y29" s="160"/>
      <c r="Z29" s="160"/>
      <c r="AA29" s="160"/>
      <c r="AB29" s="160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359</v>
      </c>
      <c r="Q30" s="39" t="str">
        <f t="shared" si="1"/>
        <v>EQU + LXI (symbol resolution)</v>
      </c>
      <c r="R30" s="39">
        <v>0</v>
      </c>
      <c r="U30" s="160"/>
      <c r="V30" s="160"/>
      <c r="W30" s="160"/>
      <c r="X30" s="160"/>
      <c r="Y30" s="160"/>
      <c r="Z30" s="160"/>
      <c r="AA30" s="160"/>
      <c r="AB30" s="160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383</v>
      </c>
      <c r="Q31" s="39" t="str">
        <f t="shared" si="1"/>
        <v>ORI Label Test</v>
      </c>
      <c r="R31" s="39">
        <v>0</v>
      </c>
      <c r="U31" s="160"/>
      <c r="V31" s="160"/>
      <c r="W31" s="160"/>
      <c r="X31" s="160"/>
      <c r="Y31" s="160"/>
      <c r="Z31" s="160"/>
      <c r="AA31" s="160"/>
      <c r="AB31" s="16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385</v>
      </c>
      <c r="Q32" s="39" t="str">
        <f t="shared" si="1"/>
        <v>ORI Immediate</v>
      </c>
      <c r="R32" s="39">
        <v>0</v>
      </c>
      <c r="U32" s="160"/>
      <c r="V32" s="160"/>
      <c r="W32" s="160"/>
      <c r="X32" s="160"/>
      <c r="Y32" s="160"/>
      <c r="Z32" s="160"/>
      <c r="AA32" s="160"/>
      <c r="AB32" s="160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386</v>
      </c>
      <c r="Q33" s="39" t="str">
        <f t="shared" si="1"/>
        <v>ORI Zero Result</v>
      </c>
      <c r="R33" s="39">
        <v>0</v>
      </c>
      <c r="U33" s="160"/>
      <c r="V33" s="160"/>
      <c r="W33" s="160"/>
      <c r="X33" s="160"/>
      <c r="Y33" s="160"/>
      <c r="Z33" s="160"/>
      <c r="AA33" s="160"/>
      <c r="AB33" s="160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391</v>
      </c>
      <c r="Q34" s="39" t="str">
        <f t="shared" si="1"/>
        <v>ADD (register) with Aux Carry</v>
      </c>
      <c r="R34" s="39">
        <v>0</v>
      </c>
      <c r="U34" s="160"/>
      <c r="V34" s="160"/>
      <c r="W34" s="160"/>
      <c r="X34" s="160"/>
      <c r="Y34" s="160"/>
      <c r="Z34" s="160"/>
      <c r="AA34" s="160"/>
      <c r="AB34" s="160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392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393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394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318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61" t="s">
        <v>983</v>
      </c>
      <c r="L38" s="68" t="s">
        <v>239</v>
      </c>
      <c r="M38" s="20">
        <f>IFERROR(VLOOKUP(A38,$P$6:$R$1048576,3,0),0)</f>
        <v>0</v>
      </c>
      <c r="P38" s="6" t="s">
        <v>395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396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397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398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399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400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270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446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447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448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449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450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320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61" t="s">
        <v>983</v>
      </c>
      <c r="L49" s="68" t="s">
        <v>261</v>
      </c>
      <c r="M49" s="20">
        <f>IFERROR(VLOOKUP(A49,$P$6:$R$1048576,3,0),0)</f>
        <v>0</v>
      </c>
      <c r="P49" s="6" t="s">
        <v>451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253</v>
      </c>
      <c r="P50" s="6" t="s">
        <v>452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453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255</v>
      </c>
      <c r="F52" s="98" t="s">
        <v>256</v>
      </c>
      <c r="G52" s="99"/>
      <c r="H52" s="54" t="s">
        <v>273</v>
      </c>
      <c r="I52" s="54">
        <v>1</v>
      </c>
      <c r="J52" s="91" t="b" cm="1">
        <f t="array" aca="1" ref="J52" ca="1">INDIRECT(H52)=I52</f>
        <v>0</v>
      </c>
      <c r="K52" s="54"/>
      <c r="L52" s="39" t="s">
        <v>257</v>
      </c>
      <c r="P52" s="6" t="s">
        <v>454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480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256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481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259</v>
      </c>
      <c r="P55" s="6" t="s">
        <v>482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483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321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61" t="s">
        <v>983</v>
      </c>
      <c r="L57" s="68" t="s">
        <v>262</v>
      </c>
      <c r="M57" s="20">
        <f>IFERROR(VLOOKUP(A57,$P$6:$R$1048576,3,0),0)</f>
        <v>0</v>
      </c>
      <c r="P57" s="6" t="s">
        <v>484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253</v>
      </c>
      <c r="P58" s="6" t="s">
        <v>485</v>
      </c>
      <c r="Q58" s="39" t="str">
        <f t="shared" si="1"/>
        <v>PRI Test</v>
      </c>
      <c r="R58" s="39">
        <v>0</v>
      </c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255</v>
      </c>
      <c r="F61" s="98" t="s">
        <v>256</v>
      </c>
      <c r="G61" s="99"/>
      <c r="H61" s="54" t="s">
        <v>273</v>
      </c>
      <c r="I61" s="54">
        <v>0</v>
      </c>
      <c r="J61" s="91" t="b" cm="1">
        <f t="array" aca="1" ref="J61" ca="1">INDIRECT(H61)=I61</f>
        <v>1</v>
      </c>
      <c r="K61" s="54"/>
      <c r="L61" s="39" t="s">
        <v>257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256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264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322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61" t="s">
        <v>983</v>
      </c>
      <c r="L66" s="68" t="s">
        <v>275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270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271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269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323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61" t="s">
        <v>983</v>
      </c>
      <c r="L74" s="68" t="s">
        <v>276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277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269</v>
      </c>
      <c r="F76" s="98" t="s">
        <v>153</v>
      </c>
      <c r="G76" s="99"/>
      <c r="H76" s="54"/>
      <c r="I76" s="54"/>
      <c r="J76" s="55"/>
      <c r="K76" s="54"/>
      <c r="L76" s="39" t="s">
        <v>278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279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269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280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324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61" t="s">
        <v>983</v>
      </c>
      <c r="L83" s="68" t="s">
        <v>281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270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269</v>
      </c>
      <c r="F91" s="98" t="s">
        <v>153</v>
      </c>
      <c r="G91" s="99"/>
      <c r="H91" s="54" t="s">
        <v>272</v>
      </c>
      <c r="I91" s="84" t="s">
        <v>283</v>
      </c>
      <c r="J91" s="89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284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282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325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61" t="s">
        <v>983</v>
      </c>
      <c r="L97" s="68" t="s">
        <v>286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290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291</v>
      </c>
      <c r="F99" s="98" t="s">
        <v>153</v>
      </c>
      <c r="G99" s="99" t="s">
        <v>287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287</v>
      </c>
      <c r="G100" s="99" t="s">
        <v>287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287</v>
      </c>
      <c r="G101" s="99" t="s">
        <v>287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288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287</v>
      </c>
      <c r="G102" s="99" t="s">
        <v>287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289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326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61" t="s">
        <v>983</v>
      </c>
      <c r="L105" s="68" t="s">
        <v>292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293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270</v>
      </c>
      <c r="J107" s="89" t="b" cm="1">
        <f t="array" aca="1" ref="J107" ca="1">RIGHT("00"&amp;INDIRECT("R_"&amp;H107),2)=RIGHT("00"&amp;I107,2)</f>
        <v>0</v>
      </c>
      <c r="K107" s="54"/>
      <c r="L107" s="39" t="s">
        <v>294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295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296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297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327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61" t="s">
        <v>983</v>
      </c>
      <c r="L113" s="68" t="s">
        <v>313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298</v>
      </c>
      <c r="F114" s="98" t="s">
        <v>312</v>
      </c>
      <c r="G114" s="99" t="s">
        <v>299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247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251</v>
      </c>
      <c r="G116" s="99" t="s">
        <v>309</v>
      </c>
      <c r="H116" s="54" t="s">
        <v>314</v>
      </c>
      <c r="I116" s="84" t="s">
        <v>340</v>
      </c>
      <c r="J116" s="95" t="b">
        <f>NOT(ISERROR(FIND(I116,consoleText)))</f>
        <v>0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246</v>
      </c>
      <c r="G117" s="99" t="s">
        <v>310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298</v>
      </c>
      <c r="F118" s="98" t="s">
        <v>312</v>
      </c>
      <c r="G118" s="99" t="s">
        <v>302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247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250</v>
      </c>
      <c r="G120" s="99" t="s">
        <v>311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299</v>
      </c>
      <c r="E122" s="97" t="s">
        <v>301</v>
      </c>
      <c r="F122" s="98" t="s">
        <v>300</v>
      </c>
      <c r="G122" s="99"/>
      <c r="H122" s="54" t="s">
        <v>314</v>
      </c>
      <c r="I122" s="84" t="s">
        <v>300</v>
      </c>
      <c r="J122" s="95" t="b">
        <f>NOT(ISERROR(FIND(I122,consoleText)))</f>
        <v>0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302</v>
      </c>
      <c r="E123" s="97" t="s">
        <v>301</v>
      </c>
      <c r="F123" s="98" t="s">
        <v>303</v>
      </c>
      <c r="G123" s="99"/>
      <c r="H123" s="54" t="s">
        <v>314</v>
      </c>
      <c r="I123" s="84" t="s">
        <v>303</v>
      </c>
      <c r="J123" s="95" t="b">
        <f>NOT(ISERROR(FIND(I123,consoleText)))</f>
        <v>0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328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61" t="s">
        <v>983</v>
      </c>
      <c r="L125" s="68" t="s">
        <v>337</v>
      </c>
      <c r="M125" s="20">
        <f>IFERROR(VLOOKUP(A125,$P$6:$R$1048576,3,0),0)</f>
        <v>0</v>
      </c>
    </row>
    <row r="126" spans="1:13">
      <c r="A126" t="s">
        <v>266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334</v>
      </c>
      <c r="H126" s="54" t="s">
        <v>153</v>
      </c>
      <c r="I126" s="84" t="s">
        <v>334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266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266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335</v>
      </c>
      <c r="H128" s="54" t="s">
        <v>189</v>
      </c>
      <c r="I128" s="84" t="s">
        <v>335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266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266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272</v>
      </c>
      <c r="G130" s="99" t="s">
        <v>189</v>
      </c>
      <c r="H130" s="54" t="s">
        <v>272</v>
      </c>
      <c r="I130" s="84" t="s">
        <v>335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266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312</v>
      </c>
      <c r="G131" s="99" t="s">
        <v>153</v>
      </c>
      <c r="H131" s="54" t="s">
        <v>312</v>
      </c>
      <c r="I131" s="84" t="s">
        <v>334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336</v>
      </c>
      <c r="G132" s="99" t="s">
        <v>312</v>
      </c>
      <c r="H132" s="54" t="s">
        <v>336</v>
      </c>
      <c r="I132" s="84" t="s">
        <v>334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329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61" t="s">
        <v>983</v>
      </c>
      <c r="L135" s="68" t="s">
        <v>338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304</v>
      </c>
      <c r="H138" s="54" t="s">
        <v>189</v>
      </c>
      <c r="I138" s="84" t="s">
        <v>304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269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269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330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61" t="s">
        <v>983</v>
      </c>
      <c r="L148" s="68" t="s">
        <v>341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342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331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61" t="s">
        <v>983</v>
      </c>
      <c r="L163" s="68" t="s">
        <v>348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270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332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61" t="s">
        <v>983</v>
      </c>
      <c r="L174" s="68" t="s">
        <v>349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298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298</v>
      </c>
      <c r="F177" s="98" t="s">
        <v>190</v>
      </c>
      <c r="G177" s="99" t="s">
        <v>343</v>
      </c>
      <c r="H177" s="84" t="s">
        <v>190</v>
      </c>
      <c r="I177" s="84" t="s">
        <v>344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272</v>
      </c>
      <c r="I178" s="84" t="s">
        <v>345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298</v>
      </c>
      <c r="F179" s="98" t="s">
        <v>312</v>
      </c>
      <c r="G179" s="99" t="s">
        <v>346</v>
      </c>
      <c r="H179" s="84" t="s">
        <v>312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336</v>
      </c>
      <c r="I180" s="84" t="s">
        <v>271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298</v>
      </c>
      <c r="F181" s="98" t="s">
        <v>114</v>
      </c>
      <c r="G181" s="99" t="s">
        <v>347</v>
      </c>
      <c r="H181" s="84" t="s">
        <v>114</v>
      </c>
      <c r="I181" s="84" t="s">
        <v>347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333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61" t="s">
        <v>983</v>
      </c>
      <c r="L184" s="68" t="s">
        <v>350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298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298</v>
      </c>
      <c r="F187" s="98" t="s">
        <v>190</v>
      </c>
      <c r="G187" s="99" t="s">
        <v>343</v>
      </c>
      <c r="H187" s="84" t="s">
        <v>190</v>
      </c>
      <c r="I187" s="84" t="s">
        <v>344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272</v>
      </c>
      <c r="I188" s="84" t="s">
        <v>345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298</v>
      </c>
      <c r="F189" s="98" t="s">
        <v>312</v>
      </c>
      <c r="G189" s="99" t="s">
        <v>346</v>
      </c>
      <c r="H189" s="84" t="s">
        <v>312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336</v>
      </c>
      <c r="I190" s="84" t="s">
        <v>271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298</v>
      </c>
      <c r="F191" s="98" t="s">
        <v>114</v>
      </c>
      <c r="G191" s="99" t="s">
        <v>347</v>
      </c>
      <c r="H191" s="84" t="s">
        <v>114</v>
      </c>
      <c r="I191" s="84" t="s">
        <v>347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351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61" t="s">
        <v>983</v>
      </c>
      <c r="L194" s="68" t="s">
        <v>352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269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282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353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61" t="s">
        <v>983</v>
      </c>
      <c r="L204" s="68" t="s">
        <v>355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356</v>
      </c>
      <c r="F205" s="98" t="s">
        <v>256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256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354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61" t="s">
        <v>983</v>
      </c>
      <c r="L211" s="68" t="s">
        <v>363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304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255</v>
      </c>
      <c r="F216" s="98" t="s">
        <v>360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360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361</v>
      </c>
      <c r="F219" s="98" t="s">
        <v>362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362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357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61" t="s">
        <v>983</v>
      </c>
      <c r="L224" s="68" t="s">
        <v>364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304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269</v>
      </c>
      <c r="F226" s="98" t="s">
        <v>153</v>
      </c>
      <c r="G226" s="99"/>
      <c r="H226" s="54" t="s">
        <v>190</v>
      </c>
      <c r="I226" s="84" t="s">
        <v>367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365</v>
      </c>
      <c r="F227" s="98" t="s">
        <v>366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366</v>
      </c>
      <c r="E229" s="97" t="s">
        <v>148</v>
      </c>
      <c r="F229" s="98" t="s">
        <v>190</v>
      </c>
      <c r="G229" s="99" t="s">
        <v>367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304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269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368</v>
      </c>
      <c r="F232" s="98" t="s">
        <v>369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369</v>
      </c>
      <c r="E234" s="97" t="s">
        <v>148</v>
      </c>
      <c r="F234" s="98" t="s">
        <v>272</v>
      </c>
      <c r="G234" s="99">
        <v>99</v>
      </c>
      <c r="H234" s="84" t="s">
        <v>272</v>
      </c>
      <c r="I234" s="84" t="s">
        <v>370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358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61" t="s">
        <v>983</v>
      </c>
      <c r="L240" s="68" t="s">
        <v>371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373</v>
      </c>
      <c r="H241" s="54" t="s">
        <v>153</v>
      </c>
      <c r="I241" s="84" t="s">
        <v>304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269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374</v>
      </c>
      <c r="F243" s="98" t="s">
        <v>375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375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304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269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376</v>
      </c>
      <c r="F248" s="98" t="s">
        <v>377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377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359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61" t="s">
        <v>983</v>
      </c>
      <c r="L253" s="68" t="s">
        <v>372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378</v>
      </c>
      <c r="E254" s="97" t="s">
        <v>165</v>
      </c>
      <c r="F254" s="98" t="s">
        <v>379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298</v>
      </c>
      <c r="F255" s="98" t="s">
        <v>312</v>
      </c>
      <c r="G255" s="99" t="s">
        <v>378</v>
      </c>
      <c r="H255" s="54" t="s">
        <v>312</v>
      </c>
      <c r="I255" s="84" t="s">
        <v>304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336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383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61" t="s">
        <v>983</v>
      </c>
      <c r="L259" s="68" t="s">
        <v>384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380</v>
      </c>
      <c r="E260" s="97" t="s">
        <v>165</v>
      </c>
      <c r="F260" s="98" t="s">
        <v>381</v>
      </c>
      <c r="G260" s="99"/>
      <c r="H260" s="54" t="s">
        <v>153</v>
      </c>
      <c r="I260" s="84" t="s">
        <v>382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380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385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61" t="s">
        <v>983</v>
      </c>
      <c r="L265" s="68" t="s">
        <v>387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270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271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386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61" t="s">
        <v>983</v>
      </c>
      <c r="L273" s="68" t="s">
        <v>388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391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61" t="s">
        <v>983</v>
      </c>
      <c r="L281" s="68" t="s">
        <v>390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270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304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401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392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61" t="s">
        <v>983</v>
      </c>
      <c r="L290" s="68" t="s">
        <v>402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304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401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393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61" t="s">
        <v>983</v>
      </c>
      <c r="L299" s="68" t="s">
        <v>409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403</v>
      </c>
      <c r="H300" s="54" t="s">
        <v>153</v>
      </c>
      <c r="I300" s="84" t="s">
        <v>406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404</v>
      </c>
      <c r="F301" s="98" t="s">
        <v>405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394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61" t="s">
        <v>983</v>
      </c>
      <c r="L308" s="68" t="s">
        <v>411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344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270</v>
      </c>
      <c r="H310" s="54" t="s">
        <v>151</v>
      </c>
      <c r="I310" s="84" t="s">
        <v>270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410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395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61" t="s">
        <v>983</v>
      </c>
      <c r="L317" s="68" t="s">
        <v>412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396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61" t="s">
        <v>983</v>
      </c>
      <c r="L326" s="68" t="s">
        <v>413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397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61" t="s">
        <v>983</v>
      </c>
      <c r="L335" s="68" t="s">
        <v>436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437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304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438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398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61" t="s">
        <v>983</v>
      </c>
      <c r="L344" s="68" t="s">
        <v>440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270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441</v>
      </c>
      <c r="F347" s="98" t="s">
        <v>304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399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61" t="s">
        <v>983</v>
      </c>
      <c r="L353" s="68" t="s">
        <v>442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270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304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443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400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61" t="s">
        <v>983</v>
      </c>
      <c r="L362" s="68" t="s">
        <v>444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445</v>
      </c>
      <c r="F364" s="98" t="s">
        <v>304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446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61" t="s">
        <v>983</v>
      </c>
      <c r="L371" s="68" t="s">
        <v>455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457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304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456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447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61" t="s">
        <v>983</v>
      </c>
      <c r="L380" s="68" t="s">
        <v>458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459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448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61" t="s">
        <v>983</v>
      </c>
      <c r="L389" s="68" t="s">
        <v>460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271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270</v>
      </c>
      <c r="H391" s="54" t="s">
        <v>151</v>
      </c>
      <c r="I391" s="84" t="s">
        <v>270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461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449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61" t="s">
        <v>983</v>
      </c>
      <c r="L398" s="68" t="s">
        <v>463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450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61" t="s">
        <v>983</v>
      </c>
      <c r="L407" s="68" t="s">
        <v>464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462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465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304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451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61" t="s">
        <v>983</v>
      </c>
      <c r="L416" s="68" t="s">
        <v>466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467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304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452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61" t="s">
        <v>983</v>
      </c>
      <c r="L427" s="68" t="s">
        <v>468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453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61" t="s">
        <v>983</v>
      </c>
      <c r="L436" s="68" t="s">
        <v>469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454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61" t="s">
        <v>983</v>
      </c>
      <c r="L445" s="68" t="s">
        <v>479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298</v>
      </c>
      <c r="F446" s="98" t="s">
        <v>151</v>
      </c>
      <c r="G446" s="99" t="s">
        <v>473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474</v>
      </c>
      <c r="F448" s="98" t="s">
        <v>151</v>
      </c>
      <c r="G448" s="99"/>
      <c r="H448" s="54" t="s">
        <v>312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336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475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298</v>
      </c>
      <c r="F452" s="98" t="s">
        <v>312</v>
      </c>
      <c r="G452" s="99" t="s">
        <v>476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298</v>
      </c>
      <c r="F454" s="98" t="s">
        <v>190</v>
      </c>
      <c r="G454" s="99" t="s">
        <v>477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478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480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61" t="s">
        <v>983</v>
      </c>
      <c r="L460" s="68" t="s">
        <v>486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470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404</v>
      </c>
      <c r="F462" s="98" t="s">
        <v>470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487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481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61" t="s">
        <v>983</v>
      </c>
      <c r="L467" s="68" t="s">
        <v>488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298</v>
      </c>
      <c r="F468" s="98" t="s">
        <v>190</v>
      </c>
      <c r="G468" s="99" t="s">
        <v>489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298</v>
      </c>
      <c r="F470" s="98" t="s">
        <v>312</v>
      </c>
      <c r="G470" s="99" t="s">
        <v>490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335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272</v>
      </c>
      <c r="I473" s="84" t="s">
        <v>491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312</v>
      </c>
      <c r="I474" s="84" t="s">
        <v>471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336</v>
      </c>
      <c r="I475" s="84" t="s">
        <v>472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482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61" t="s">
        <v>983</v>
      </c>
      <c r="L478" s="68" t="s">
        <v>492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298</v>
      </c>
      <c r="F479" s="98" t="s">
        <v>312</v>
      </c>
      <c r="G479" s="99" t="s">
        <v>493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493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483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61" t="s">
        <v>983</v>
      </c>
      <c r="L483" s="68" t="s">
        <v>494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298</v>
      </c>
      <c r="F484" s="98" t="s">
        <v>312</v>
      </c>
      <c r="G484" s="99" t="s">
        <v>256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256</v>
      </c>
      <c r="E487" s="97" t="s">
        <v>148</v>
      </c>
      <c r="F487" s="98" t="s">
        <v>153</v>
      </c>
      <c r="G487" s="99" t="s">
        <v>495</v>
      </c>
      <c r="H487" s="54" t="s">
        <v>153</v>
      </c>
      <c r="I487" s="84" t="s">
        <v>495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484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61" t="s">
        <v>983</v>
      </c>
      <c r="L490" s="68" t="s">
        <v>496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304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497</v>
      </c>
      <c r="F493" s="98" t="s">
        <v>198</v>
      </c>
      <c r="G493" s="99"/>
      <c r="H493" s="54" t="s">
        <v>189</v>
      </c>
      <c r="I493" s="84" t="s">
        <v>403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403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1:13">
      <c r="B497" s="39" t="str">
        <f t="shared" si="87"/>
        <v>6</v>
      </c>
      <c r="C497" s="39">
        <f t="shared" si="88"/>
        <v>6</v>
      </c>
      <c r="D497" s="96"/>
      <c r="E497" s="97" t="s">
        <v>498</v>
      </c>
      <c r="F497" s="98"/>
      <c r="G497" s="99"/>
      <c r="H497" s="54"/>
      <c r="I497" s="84"/>
      <c r="J497" s="54"/>
      <c r="K497" s="54"/>
      <c r="L497" s="39"/>
      <c r="M497" s="39"/>
    </row>
    <row r="498" spans="1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  <row r="499" spans="1:13" ht="15.75" thickBot="1"/>
    <row r="500" spans="1:13" ht="15.75" thickBot="1">
      <c r="A500" s="20" t="s">
        <v>485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IFERROR(IF(AND(J501:J506),0,1),0)</f>
        <v>0</v>
      </c>
      <c r="K500" s="111" t="s">
        <v>439</v>
      </c>
      <c r="L500" s="68" t="s">
        <v>980</v>
      </c>
      <c r="M500" s="20">
        <f>IFERROR(VLOOKUP(A500,$P$6:$R$1048576,3,0),0)</f>
        <v>0</v>
      </c>
    </row>
    <row r="501" spans="1:13">
      <c r="B501" s="39" t="str">
        <f t="shared" ref="B501:B508" si="91">DEC2HEX(C501)</f>
        <v>0</v>
      </c>
      <c r="C501" s="39">
        <v>0</v>
      </c>
      <c r="D501" s="96"/>
      <c r="E501" s="97" t="s">
        <v>976</v>
      </c>
      <c r="F501" s="98" t="s">
        <v>153</v>
      </c>
      <c r="G501" s="99"/>
      <c r="H501" s="54"/>
      <c r="I501" s="84"/>
      <c r="J501" s="54"/>
      <c r="K501" s="54"/>
      <c r="L501" s="39"/>
      <c r="M501" s="39"/>
    </row>
    <row r="502" spans="1:13">
      <c r="B502" s="39" t="str">
        <f t="shared" si="91"/>
        <v>1</v>
      </c>
      <c r="C502" s="39">
        <f>C501+1</f>
        <v>1</v>
      </c>
      <c r="D502" s="96"/>
      <c r="E502" s="97" t="s">
        <v>976</v>
      </c>
      <c r="F502" s="98" t="s">
        <v>151</v>
      </c>
      <c r="G502" s="99"/>
      <c r="H502" s="54"/>
      <c r="I502" s="54"/>
      <c r="J502" s="54"/>
      <c r="K502" s="54"/>
      <c r="L502" s="39"/>
      <c r="M502" s="39"/>
    </row>
    <row r="503" spans="1:13">
      <c r="B503" s="39" t="str">
        <f t="shared" ref="B503:B516" si="92">DEC2HEX(C503)</f>
        <v>2</v>
      </c>
      <c r="C503" s="39">
        <f t="shared" ref="C503:C516" si="93">C502+1</f>
        <v>2</v>
      </c>
      <c r="D503" s="96"/>
      <c r="E503" s="97" t="s">
        <v>976</v>
      </c>
      <c r="F503" s="98" t="s">
        <v>189</v>
      </c>
      <c r="G503" s="99" t="s">
        <v>304</v>
      </c>
      <c r="H503" s="54"/>
      <c r="I503" s="84" t="s">
        <v>335</v>
      </c>
      <c r="J503" s="95" t="b">
        <f>NOT(ISERROR(FIND(I503,consoleText)))</f>
        <v>1</v>
      </c>
      <c r="K503" s="54"/>
      <c r="L503" s="39"/>
      <c r="M503" s="39"/>
    </row>
    <row r="504" spans="1:13">
      <c r="B504" s="39" t="str">
        <f t="shared" si="92"/>
        <v>3</v>
      </c>
      <c r="C504" s="39">
        <f t="shared" si="93"/>
        <v>3</v>
      </c>
      <c r="D504" s="96"/>
      <c r="E504" s="97" t="s">
        <v>976</v>
      </c>
      <c r="F504" s="98" t="s">
        <v>190</v>
      </c>
      <c r="G504" s="99" t="s">
        <v>373</v>
      </c>
      <c r="H504" s="54"/>
      <c r="I504" s="84" t="s">
        <v>981</v>
      </c>
      <c r="J504" s="95" t="b">
        <f>NOT(ISERROR(FIND(I504,consoleText)))</f>
        <v>1</v>
      </c>
      <c r="K504" s="54"/>
      <c r="L504" s="39"/>
      <c r="M504" s="39"/>
    </row>
    <row r="505" spans="1:13">
      <c r="B505" s="39" t="str">
        <f t="shared" si="92"/>
        <v>4</v>
      </c>
      <c r="C505" s="39">
        <f t="shared" si="93"/>
        <v>4</v>
      </c>
      <c r="D505" s="96"/>
      <c r="E505" s="97" t="s">
        <v>976</v>
      </c>
      <c r="F505" s="98" t="s">
        <v>272</v>
      </c>
      <c r="G505" s="99" t="s">
        <v>892</v>
      </c>
      <c r="H505" s="54"/>
      <c r="I505" s="84" t="s">
        <v>272</v>
      </c>
      <c r="J505" s="95" t="b">
        <f>NOT(ISERROR(FIND(I505,consoleText)))</f>
        <v>1</v>
      </c>
      <c r="K505" s="54"/>
      <c r="L505" s="39"/>
      <c r="M505" s="39"/>
    </row>
    <row r="506" spans="1:13">
      <c r="B506" s="39" t="str">
        <f t="shared" si="92"/>
        <v>5</v>
      </c>
      <c r="C506" s="39">
        <f t="shared" si="93"/>
        <v>5</v>
      </c>
      <c r="D506" s="96"/>
      <c r="E506" s="97" t="s">
        <v>976</v>
      </c>
      <c r="F506" s="98" t="s">
        <v>977</v>
      </c>
      <c r="G506" s="99" t="s">
        <v>304</v>
      </c>
      <c r="H506" s="54"/>
      <c r="I506" s="84" t="s">
        <v>982</v>
      </c>
      <c r="J506" s="95" t="b">
        <f>NOT(ISERROR(FIND(I506,consoleText)))</f>
        <v>1</v>
      </c>
      <c r="K506" s="54"/>
      <c r="L506" s="39"/>
      <c r="M506" s="39"/>
    </row>
    <row r="507" spans="1:13">
      <c r="B507" s="39" t="str">
        <f t="shared" si="92"/>
        <v>6</v>
      </c>
      <c r="C507" s="39">
        <f t="shared" si="93"/>
        <v>6</v>
      </c>
      <c r="D507" s="96"/>
      <c r="E507" s="97" t="s">
        <v>976</v>
      </c>
      <c r="F507" s="98" t="s">
        <v>978</v>
      </c>
      <c r="G507" s="99" t="s">
        <v>892</v>
      </c>
      <c r="H507" s="54"/>
      <c r="I507" s="84" t="s">
        <v>989</v>
      </c>
      <c r="J507" s="95" t="b">
        <f>NOT(ISERROR(FIND(I507,consoleText)))</f>
        <v>1</v>
      </c>
      <c r="K507" s="54"/>
      <c r="L507" s="39"/>
      <c r="M507" s="39"/>
    </row>
    <row r="508" spans="1:13">
      <c r="B508" s="39" t="str">
        <f t="shared" si="92"/>
        <v>7</v>
      </c>
      <c r="C508" s="39">
        <f t="shared" si="93"/>
        <v>7</v>
      </c>
      <c r="D508" s="96" t="s">
        <v>988</v>
      </c>
      <c r="E508" s="97" t="s">
        <v>165</v>
      </c>
      <c r="F508" s="98">
        <v>66</v>
      </c>
      <c r="G508" s="99"/>
      <c r="H508" s="54"/>
      <c r="I508" s="84" t="s">
        <v>990</v>
      </c>
      <c r="J508" s="95" t="b">
        <f>NOT(ISERROR(FIND(I508,consoleText)))</f>
        <v>1</v>
      </c>
      <c r="K508" s="54"/>
      <c r="L508" s="39"/>
      <c r="M508" s="39"/>
    </row>
    <row r="509" spans="1:13">
      <c r="B509" s="39" t="str">
        <f t="shared" si="92"/>
        <v>8</v>
      </c>
      <c r="C509" s="39">
        <f t="shared" si="93"/>
        <v>8</v>
      </c>
      <c r="D509" s="96"/>
      <c r="E509" s="97" t="s">
        <v>976</v>
      </c>
      <c r="F509" s="98" t="s">
        <v>988</v>
      </c>
      <c r="G509" s="99" t="s">
        <v>238</v>
      </c>
      <c r="H509" s="54"/>
      <c r="I509" s="84"/>
      <c r="J509" s="54"/>
      <c r="K509" s="54"/>
      <c r="L509" s="39"/>
      <c r="M509" s="39"/>
    </row>
    <row r="510" spans="1:13">
      <c r="B510" s="39" t="str">
        <f t="shared" si="92"/>
        <v>9</v>
      </c>
      <c r="C510" s="39">
        <f t="shared" si="93"/>
        <v>9</v>
      </c>
      <c r="D510" s="96"/>
      <c r="E510" s="97" t="s">
        <v>976</v>
      </c>
      <c r="F510" s="98">
        <v>67</v>
      </c>
      <c r="G510" s="99" t="s">
        <v>208</v>
      </c>
      <c r="H510" s="54"/>
      <c r="I510" s="84"/>
      <c r="J510" s="54"/>
      <c r="K510" s="54"/>
      <c r="L510" s="39"/>
      <c r="M510" s="39"/>
    </row>
    <row r="511" spans="1:13">
      <c r="B511" s="39" t="str">
        <f t="shared" si="92"/>
        <v>A</v>
      </c>
      <c r="C511" s="39">
        <f t="shared" si="93"/>
        <v>10</v>
      </c>
      <c r="D511" s="96"/>
      <c r="E511" s="97" t="s">
        <v>976</v>
      </c>
      <c r="F511" s="98">
        <v>68</v>
      </c>
      <c r="G511" s="99" t="s">
        <v>238</v>
      </c>
      <c r="H511" s="54"/>
      <c r="I511" s="84"/>
      <c r="J511" s="54"/>
      <c r="K511" s="54"/>
      <c r="L511" s="39"/>
      <c r="M511" s="39"/>
    </row>
    <row r="512" spans="1:13">
      <c r="B512" s="39" t="str">
        <f t="shared" si="92"/>
        <v>B</v>
      </c>
      <c r="C512" s="39">
        <f t="shared" si="93"/>
        <v>11</v>
      </c>
      <c r="D512" s="96"/>
      <c r="E512" s="97" t="s">
        <v>976</v>
      </c>
      <c r="F512" s="98">
        <v>69</v>
      </c>
      <c r="G512" s="99" t="s">
        <v>208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6"/>
      <c r="E513" s="97" t="s">
        <v>976</v>
      </c>
      <c r="F513" s="98" t="s">
        <v>979</v>
      </c>
      <c r="G513" s="99" t="s">
        <v>892</v>
      </c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6" t="s">
        <v>985</v>
      </c>
      <c r="E514" s="97" t="s">
        <v>165</v>
      </c>
      <c r="F514" s="98" t="s">
        <v>949</v>
      </c>
      <c r="G514" s="99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6"/>
      <c r="E515" s="97" t="s">
        <v>976</v>
      </c>
      <c r="F515" s="98" t="s">
        <v>985</v>
      </c>
      <c r="G515" s="99" t="s">
        <v>208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6"/>
      <c r="E516" s="97" t="s">
        <v>191</v>
      </c>
      <c r="F516" s="98"/>
      <c r="G516" s="99"/>
      <c r="H516" s="54"/>
      <c r="I516" s="84"/>
      <c r="J516" s="54"/>
      <c r="K516" s="54"/>
      <c r="L516" s="39"/>
      <c r="M516" s="39"/>
    </row>
  </sheetData>
  <mergeCells count="2">
    <mergeCell ref="U4:AB4"/>
    <mergeCell ref="U5:AB34"/>
  </mergeCells>
  <phoneticPr fontId="16" type="noConversion"/>
  <conditionalFormatting sqref="J4:K4">
    <cfRule type="cellIs" dxfId="310" priority="407" operator="equal">
      <formula>0</formula>
    </cfRule>
    <cfRule type="cellIs" dxfId="309" priority="408" operator="equal">
      <formula>1</formula>
    </cfRule>
  </conditionalFormatting>
  <conditionalFormatting sqref="J11:K11">
    <cfRule type="cellIs" dxfId="308" priority="405" operator="equal">
      <formula>0</formula>
    </cfRule>
    <cfRule type="cellIs" dxfId="307" priority="406" operator="equal">
      <formula>1</formula>
    </cfRule>
  </conditionalFormatting>
  <conditionalFormatting sqref="J16:K16">
    <cfRule type="cellIs" dxfId="306" priority="403" operator="equal">
      <formula>0</formula>
    </cfRule>
    <cfRule type="cellIs" dxfId="305" priority="404" operator="equal">
      <formula>1</formula>
    </cfRule>
  </conditionalFormatting>
  <conditionalFormatting sqref="J29:K29">
    <cfRule type="cellIs" dxfId="304" priority="399" operator="equal">
      <formula>0</formula>
    </cfRule>
    <cfRule type="cellIs" dxfId="303" priority="400" operator="equal">
      <formula>1</formula>
    </cfRule>
  </conditionalFormatting>
  <conditionalFormatting sqref="M4">
    <cfRule type="cellIs" dxfId="302" priority="397" operator="equal">
      <formula>0</formula>
    </cfRule>
    <cfRule type="cellIs" dxfId="301" priority="398" operator="equal">
      <formula>1</formula>
    </cfRule>
  </conditionalFormatting>
  <conditionalFormatting sqref="J38:K38">
    <cfRule type="cellIs" dxfId="300" priority="387" operator="equal">
      <formula>0</formula>
    </cfRule>
    <cfRule type="cellIs" dxfId="299" priority="388" operator="equal">
      <formula>1</formula>
    </cfRule>
  </conditionalFormatting>
  <conditionalFormatting sqref="K49">
    <cfRule type="cellIs" dxfId="298" priority="383" operator="equal">
      <formula>0</formula>
    </cfRule>
    <cfRule type="cellIs" dxfId="297" priority="384" operator="equal">
      <formula>1</formula>
    </cfRule>
  </conditionalFormatting>
  <conditionalFormatting sqref="K66">
    <cfRule type="cellIs" dxfId="296" priority="375" operator="equal">
      <formula>0</formula>
    </cfRule>
    <cfRule type="cellIs" dxfId="295" priority="376" operator="equal">
      <formula>1</formula>
    </cfRule>
  </conditionalFormatting>
  <conditionalFormatting sqref="K57">
    <cfRule type="cellIs" dxfId="294" priority="371" operator="equal">
      <formula>0</formula>
    </cfRule>
    <cfRule type="cellIs" dxfId="293" priority="372" operator="equal">
      <formula>1</formula>
    </cfRule>
  </conditionalFormatting>
  <conditionalFormatting sqref="J49">
    <cfRule type="cellIs" dxfId="292" priority="367" operator="equal">
      <formula>0</formula>
    </cfRule>
    <cfRule type="cellIs" dxfId="291" priority="368" operator="equal">
      <formula>1</formula>
    </cfRule>
  </conditionalFormatting>
  <conditionalFormatting sqref="J57">
    <cfRule type="cellIs" dxfId="290" priority="365" operator="equal">
      <formula>0</formula>
    </cfRule>
    <cfRule type="cellIs" dxfId="289" priority="366" operator="equal">
      <formula>1</formula>
    </cfRule>
  </conditionalFormatting>
  <conditionalFormatting sqref="J66">
    <cfRule type="cellIs" dxfId="288" priority="363" operator="equal">
      <formula>0</formula>
    </cfRule>
    <cfRule type="cellIs" dxfId="287" priority="364" operator="equal">
      <formula>1</formula>
    </cfRule>
  </conditionalFormatting>
  <conditionalFormatting sqref="K74">
    <cfRule type="cellIs" dxfId="286" priority="361" operator="equal">
      <formula>0</formula>
    </cfRule>
    <cfRule type="cellIs" dxfId="285" priority="362" operator="equal">
      <formula>1</formula>
    </cfRule>
  </conditionalFormatting>
  <conditionalFormatting sqref="J74">
    <cfRule type="cellIs" dxfId="284" priority="357" operator="equal">
      <formula>0</formula>
    </cfRule>
    <cfRule type="cellIs" dxfId="283" priority="358" operator="equal">
      <formula>1</formula>
    </cfRule>
  </conditionalFormatting>
  <conditionalFormatting sqref="R6:R58">
    <cfRule type="cellIs" dxfId="282" priority="355" operator="equal">
      <formula>0</formula>
    </cfRule>
    <cfRule type="cellIs" dxfId="281" priority="356" operator="equal">
      <formula>1</formula>
    </cfRule>
  </conditionalFormatting>
  <conditionalFormatting sqref="K83">
    <cfRule type="cellIs" dxfId="280" priority="337" operator="equal">
      <formula>0</formula>
    </cfRule>
    <cfRule type="cellIs" dxfId="279" priority="338" operator="equal">
      <formula>1</formula>
    </cfRule>
  </conditionalFormatting>
  <conditionalFormatting sqref="J83">
    <cfRule type="cellIs" dxfId="278" priority="335" operator="equal">
      <formula>0</formula>
    </cfRule>
    <cfRule type="cellIs" dxfId="277" priority="336" operator="equal">
      <formula>1</formula>
    </cfRule>
  </conditionalFormatting>
  <conditionalFormatting sqref="K97">
    <cfRule type="cellIs" dxfId="276" priority="331" operator="equal">
      <formula>0</formula>
    </cfRule>
    <cfRule type="cellIs" dxfId="275" priority="332" operator="equal">
      <formula>1</formula>
    </cfRule>
  </conditionalFormatting>
  <conditionalFormatting sqref="J97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105">
    <cfRule type="cellIs" dxfId="272" priority="319" operator="equal">
      <formula>0</formula>
    </cfRule>
    <cfRule type="cellIs" dxfId="271" priority="320" operator="equal">
      <formula>1</formula>
    </cfRule>
  </conditionalFormatting>
  <conditionalFormatting sqref="J105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113">
    <cfRule type="cellIs" dxfId="268" priority="313" operator="equal">
      <formula>0</formula>
    </cfRule>
    <cfRule type="cellIs" dxfId="267" priority="314" operator="equal">
      <formula>1</formula>
    </cfRule>
  </conditionalFormatting>
  <conditionalFormatting sqref="M11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M16">
    <cfRule type="cellIs" dxfId="264" priority="303" operator="equal">
      <formula>0</formula>
    </cfRule>
    <cfRule type="cellIs" dxfId="263" priority="304" operator="equal">
      <formula>1</formula>
    </cfRule>
  </conditionalFormatting>
  <conditionalFormatting sqref="M29">
    <cfRule type="cellIs" dxfId="262" priority="301" operator="equal">
      <formula>0</formula>
    </cfRule>
    <cfRule type="cellIs" dxfId="261" priority="302" operator="equal">
      <formula>1</formula>
    </cfRule>
  </conditionalFormatting>
  <conditionalFormatting sqref="M38">
    <cfRule type="cellIs" dxfId="260" priority="299" operator="equal">
      <formula>0</formula>
    </cfRule>
    <cfRule type="cellIs" dxfId="259" priority="300" operator="equal">
      <formula>1</formula>
    </cfRule>
  </conditionalFormatting>
  <conditionalFormatting sqref="M49">
    <cfRule type="cellIs" dxfId="258" priority="297" operator="equal">
      <formula>0</formula>
    </cfRule>
    <cfRule type="cellIs" dxfId="257" priority="298" operator="equal">
      <formula>1</formula>
    </cfRule>
  </conditionalFormatting>
  <conditionalFormatting sqref="M57">
    <cfRule type="cellIs" dxfId="256" priority="295" operator="equal">
      <formula>0</formula>
    </cfRule>
    <cfRule type="cellIs" dxfId="255" priority="296" operator="equal">
      <formula>1</formula>
    </cfRule>
  </conditionalFormatting>
  <conditionalFormatting sqref="M66">
    <cfRule type="cellIs" dxfId="254" priority="293" operator="equal">
      <formula>0</formula>
    </cfRule>
    <cfRule type="cellIs" dxfId="253" priority="294" operator="equal">
      <formula>1</formula>
    </cfRule>
  </conditionalFormatting>
  <conditionalFormatting sqref="M74">
    <cfRule type="cellIs" dxfId="252" priority="291" operator="equal">
      <formula>0</formula>
    </cfRule>
    <cfRule type="cellIs" dxfId="251" priority="292" operator="equal">
      <formula>1</formula>
    </cfRule>
  </conditionalFormatting>
  <conditionalFormatting sqref="M83">
    <cfRule type="cellIs" dxfId="250" priority="289" operator="equal">
      <formula>0</formula>
    </cfRule>
    <cfRule type="cellIs" dxfId="249" priority="290" operator="equal">
      <formula>1</formula>
    </cfRule>
  </conditionalFormatting>
  <conditionalFormatting sqref="M97">
    <cfRule type="cellIs" dxfId="248" priority="287" operator="equal">
      <formula>0</formula>
    </cfRule>
    <cfRule type="cellIs" dxfId="247" priority="288" operator="equal">
      <formula>1</formula>
    </cfRule>
  </conditionalFormatting>
  <conditionalFormatting sqref="M105">
    <cfRule type="cellIs" dxfId="246" priority="285" operator="equal">
      <formula>0</formula>
    </cfRule>
    <cfRule type="cellIs" dxfId="245" priority="286" operator="equal">
      <formula>1</formula>
    </cfRule>
  </conditionalFormatting>
  <conditionalFormatting sqref="M113">
    <cfRule type="cellIs" dxfId="244" priority="283" operator="equal">
      <formula>0</formula>
    </cfRule>
    <cfRule type="cellIs" dxfId="243" priority="284" operator="equal">
      <formula>1</formula>
    </cfRule>
  </conditionalFormatting>
  <conditionalFormatting sqref="K125">
    <cfRule type="cellIs" dxfId="242" priority="275" operator="equal">
      <formula>0</formula>
    </cfRule>
    <cfRule type="cellIs" dxfId="241" priority="276" operator="equal">
      <formula>1</formula>
    </cfRule>
  </conditionalFormatting>
  <conditionalFormatting sqref="M125">
    <cfRule type="cellIs" dxfId="240" priority="271" operator="equal">
      <formula>0</formula>
    </cfRule>
    <cfRule type="cellIs" dxfId="239" priority="272" operator="equal">
      <formula>1</formula>
    </cfRule>
  </conditionalFormatting>
  <conditionalFormatting sqref="K135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135">
    <cfRule type="cellIs" dxfId="236" priority="257" operator="equal">
      <formula>0</formula>
    </cfRule>
    <cfRule type="cellIs" dxfId="235" priority="258" operator="equal">
      <formula>1</formula>
    </cfRule>
  </conditionalFormatting>
  <conditionalFormatting sqref="J125">
    <cfRule type="cellIs" dxfId="234" priority="255" operator="equal">
      <formula>0</formula>
    </cfRule>
    <cfRule type="cellIs" dxfId="233" priority="256" operator="equal">
      <formula>1</formula>
    </cfRule>
  </conditionalFormatting>
  <conditionalFormatting sqref="J135">
    <cfRule type="cellIs" dxfId="232" priority="253" operator="equal">
      <formula>0</formula>
    </cfRule>
    <cfRule type="cellIs" dxfId="231" priority="254" operator="equal">
      <formula>1</formula>
    </cfRule>
  </conditionalFormatting>
  <conditionalFormatting sqref="J113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K148">
    <cfRule type="cellIs" dxfId="228" priority="249" operator="equal">
      <formula>0</formula>
    </cfRule>
    <cfRule type="cellIs" dxfId="227" priority="250" operator="equal">
      <formula>1</formula>
    </cfRule>
  </conditionalFormatting>
  <conditionalFormatting sqref="J148">
    <cfRule type="cellIs" dxfId="226" priority="243" operator="equal">
      <formula>0</formula>
    </cfRule>
    <cfRule type="cellIs" dxfId="225" priority="244" operator="equal">
      <formula>1</formula>
    </cfRule>
  </conditionalFormatting>
  <conditionalFormatting sqref="M148">
    <cfRule type="cellIs" dxfId="224" priority="241" operator="equal">
      <formula>0</formula>
    </cfRule>
    <cfRule type="cellIs" dxfId="223" priority="242" operator="equal">
      <formula>1</formula>
    </cfRule>
  </conditionalFormatting>
  <conditionalFormatting sqref="K163">
    <cfRule type="cellIs" dxfId="222" priority="239" operator="equal">
      <formula>0</formula>
    </cfRule>
    <cfRule type="cellIs" dxfId="221" priority="240" operator="equal">
      <formula>1</formula>
    </cfRule>
  </conditionalFormatting>
  <conditionalFormatting sqref="J163">
    <cfRule type="cellIs" dxfId="220" priority="237" operator="equal">
      <formula>0</formula>
    </cfRule>
    <cfRule type="cellIs" dxfId="219" priority="238" operator="equal">
      <formula>1</formula>
    </cfRule>
  </conditionalFormatting>
  <conditionalFormatting sqref="M163">
    <cfRule type="cellIs" dxfId="218" priority="235" operator="equal">
      <formula>0</formula>
    </cfRule>
    <cfRule type="cellIs" dxfId="217" priority="236" operator="equal">
      <formula>1</formula>
    </cfRule>
  </conditionalFormatting>
  <conditionalFormatting sqref="K174">
    <cfRule type="cellIs" dxfId="216" priority="233" operator="equal">
      <formula>0</formula>
    </cfRule>
    <cfRule type="cellIs" dxfId="215" priority="234" operator="equal">
      <formula>1</formula>
    </cfRule>
  </conditionalFormatting>
  <conditionalFormatting sqref="J174">
    <cfRule type="cellIs" dxfId="214" priority="231" operator="equal">
      <formula>0</formula>
    </cfRule>
    <cfRule type="cellIs" dxfId="213" priority="232" operator="equal">
      <formula>1</formula>
    </cfRule>
  </conditionalFormatting>
  <conditionalFormatting sqref="M174">
    <cfRule type="cellIs" dxfId="212" priority="229" operator="equal">
      <formula>0</formula>
    </cfRule>
    <cfRule type="cellIs" dxfId="211" priority="230" operator="equal">
      <formula>1</formula>
    </cfRule>
  </conditionalFormatting>
  <conditionalFormatting sqref="K184">
    <cfRule type="cellIs" dxfId="210" priority="221" operator="equal">
      <formula>0</formula>
    </cfRule>
    <cfRule type="cellIs" dxfId="209" priority="222" operator="equal">
      <formula>1</formula>
    </cfRule>
  </conditionalFormatting>
  <conditionalFormatting sqref="J184">
    <cfRule type="cellIs" dxfId="208" priority="219" operator="equal">
      <formula>0</formula>
    </cfRule>
    <cfRule type="cellIs" dxfId="207" priority="220" operator="equal">
      <formula>1</formula>
    </cfRule>
  </conditionalFormatting>
  <conditionalFormatting sqref="M184">
    <cfRule type="cellIs" dxfId="206" priority="217" operator="equal">
      <formula>0</formula>
    </cfRule>
    <cfRule type="cellIs" dxfId="205" priority="218" operator="equal">
      <formula>1</formula>
    </cfRule>
  </conditionalFormatting>
  <conditionalFormatting sqref="K194">
    <cfRule type="cellIs" dxfId="204" priority="215" operator="equal">
      <formula>0</formula>
    </cfRule>
    <cfRule type="cellIs" dxfId="203" priority="216" operator="equal">
      <formula>1</formula>
    </cfRule>
  </conditionalFormatting>
  <conditionalFormatting sqref="J194">
    <cfRule type="cellIs" dxfId="202" priority="213" operator="equal">
      <formula>0</formula>
    </cfRule>
    <cfRule type="cellIs" dxfId="201" priority="214" operator="equal">
      <formula>1</formula>
    </cfRule>
  </conditionalFormatting>
  <conditionalFormatting sqref="M194">
    <cfRule type="cellIs" dxfId="200" priority="211" operator="equal">
      <formula>0</formula>
    </cfRule>
    <cfRule type="cellIs" dxfId="199" priority="212" operator="equal">
      <formula>1</formula>
    </cfRule>
  </conditionalFormatting>
  <conditionalFormatting sqref="K204">
    <cfRule type="cellIs" dxfId="198" priority="209" operator="equal">
      <formula>0</formula>
    </cfRule>
    <cfRule type="cellIs" dxfId="197" priority="210" operator="equal">
      <formula>1</formula>
    </cfRule>
  </conditionalFormatting>
  <conditionalFormatting sqref="J204">
    <cfRule type="cellIs" dxfId="196" priority="207" operator="equal">
      <formula>0</formula>
    </cfRule>
    <cfRule type="cellIs" dxfId="195" priority="208" operator="equal">
      <formula>1</formula>
    </cfRule>
  </conditionalFormatting>
  <conditionalFormatting sqref="M204">
    <cfRule type="cellIs" dxfId="194" priority="205" operator="equal">
      <formula>0</formula>
    </cfRule>
    <cfRule type="cellIs" dxfId="193" priority="206" operator="equal">
      <formula>1</formula>
    </cfRule>
  </conditionalFormatting>
  <conditionalFormatting sqref="K211">
    <cfRule type="cellIs" dxfId="192" priority="203" operator="equal">
      <formula>0</formula>
    </cfRule>
    <cfRule type="cellIs" dxfId="191" priority="204" operator="equal">
      <formula>1</formula>
    </cfRule>
  </conditionalFormatting>
  <conditionalFormatting sqref="J211">
    <cfRule type="cellIs" dxfId="190" priority="201" operator="equal">
      <formula>0</formula>
    </cfRule>
    <cfRule type="cellIs" dxfId="189" priority="202" operator="equal">
      <formula>1</formula>
    </cfRule>
  </conditionalFormatting>
  <conditionalFormatting sqref="M211">
    <cfRule type="cellIs" dxfId="188" priority="199" operator="equal">
      <formula>0</formula>
    </cfRule>
    <cfRule type="cellIs" dxfId="187" priority="200" operator="equal">
      <formula>1</formula>
    </cfRule>
  </conditionalFormatting>
  <conditionalFormatting sqref="K224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J224">
    <cfRule type="cellIs" dxfId="184" priority="195" operator="equal">
      <formula>0</formula>
    </cfRule>
    <cfRule type="cellIs" dxfId="183" priority="196" operator="equal">
      <formula>1</formula>
    </cfRule>
  </conditionalFormatting>
  <conditionalFormatting sqref="M224">
    <cfRule type="cellIs" dxfId="182" priority="193" operator="equal">
      <formula>0</formula>
    </cfRule>
    <cfRule type="cellIs" dxfId="181" priority="194" operator="equal">
      <formula>1</formula>
    </cfRule>
  </conditionalFormatting>
  <conditionalFormatting sqref="K240">
    <cfRule type="cellIs" dxfId="180" priority="191" operator="equal">
      <formula>0</formula>
    </cfRule>
    <cfRule type="cellIs" dxfId="179" priority="192" operator="equal">
      <formula>1</formula>
    </cfRule>
  </conditionalFormatting>
  <conditionalFormatting sqref="J240">
    <cfRule type="cellIs" dxfId="178" priority="189" operator="equal">
      <formula>0</formula>
    </cfRule>
    <cfRule type="cellIs" dxfId="177" priority="190" operator="equal">
      <formula>1</formula>
    </cfRule>
  </conditionalFormatting>
  <conditionalFormatting sqref="M240">
    <cfRule type="cellIs" dxfId="176" priority="187" operator="equal">
      <formula>0</formula>
    </cfRule>
    <cfRule type="cellIs" dxfId="175" priority="188" operator="equal">
      <formula>1</formula>
    </cfRule>
  </conditionalFormatting>
  <conditionalFormatting sqref="K253">
    <cfRule type="cellIs" dxfId="174" priority="185" operator="equal">
      <formula>0</formula>
    </cfRule>
    <cfRule type="cellIs" dxfId="173" priority="186" operator="equal">
      <formula>1</formula>
    </cfRule>
  </conditionalFormatting>
  <conditionalFormatting sqref="J253">
    <cfRule type="cellIs" dxfId="172" priority="183" operator="equal">
      <formula>0</formula>
    </cfRule>
    <cfRule type="cellIs" dxfId="171" priority="184" operator="equal">
      <formula>1</formula>
    </cfRule>
  </conditionalFormatting>
  <conditionalFormatting sqref="M253">
    <cfRule type="cellIs" dxfId="170" priority="181" operator="equal">
      <formula>0</formula>
    </cfRule>
    <cfRule type="cellIs" dxfId="169" priority="182" operator="equal">
      <formula>1</formula>
    </cfRule>
  </conditionalFormatting>
  <conditionalFormatting sqref="K259">
    <cfRule type="cellIs" dxfId="168" priority="167" operator="equal">
      <formula>0</formula>
    </cfRule>
    <cfRule type="cellIs" dxfId="167" priority="168" operator="equal">
      <formula>1</formula>
    </cfRule>
  </conditionalFormatting>
  <conditionalFormatting sqref="J259">
    <cfRule type="cellIs" dxfId="166" priority="165" operator="equal">
      <formula>0</formula>
    </cfRule>
    <cfRule type="cellIs" dxfId="165" priority="166" operator="equal">
      <formula>1</formula>
    </cfRule>
  </conditionalFormatting>
  <conditionalFormatting sqref="M259">
    <cfRule type="cellIs" dxfId="164" priority="163" operator="equal">
      <formula>0</formula>
    </cfRule>
    <cfRule type="cellIs" dxfId="163" priority="164" operator="equal">
      <formula>1</formula>
    </cfRule>
  </conditionalFormatting>
  <conditionalFormatting sqref="K265">
    <cfRule type="cellIs" dxfId="162" priority="161" operator="equal">
      <formula>0</formula>
    </cfRule>
    <cfRule type="cellIs" dxfId="161" priority="162" operator="equal">
      <formula>1</formula>
    </cfRule>
  </conditionalFormatting>
  <conditionalFormatting sqref="J265">
    <cfRule type="cellIs" dxfId="160" priority="159" operator="equal">
      <formula>0</formula>
    </cfRule>
    <cfRule type="cellIs" dxfId="159" priority="160" operator="equal">
      <formula>1</formula>
    </cfRule>
  </conditionalFormatting>
  <conditionalFormatting sqref="M265">
    <cfRule type="cellIs" dxfId="158" priority="157" operator="equal">
      <formula>0</formula>
    </cfRule>
    <cfRule type="cellIs" dxfId="157" priority="158" operator="equal">
      <formula>1</formula>
    </cfRule>
  </conditionalFormatting>
  <conditionalFormatting sqref="K273">
    <cfRule type="cellIs" dxfId="156" priority="155" operator="equal">
      <formula>0</formula>
    </cfRule>
    <cfRule type="cellIs" dxfId="155" priority="156" operator="equal">
      <formula>1</formula>
    </cfRule>
  </conditionalFormatting>
  <conditionalFormatting sqref="J273">
    <cfRule type="cellIs" dxfId="154" priority="153" operator="equal">
      <formula>0</formula>
    </cfRule>
    <cfRule type="cellIs" dxfId="153" priority="154" operator="equal">
      <formula>1</formula>
    </cfRule>
  </conditionalFormatting>
  <conditionalFormatting sqref="M273">
    <cfRule type="cellIs" dxfId="152" priority="151" operator="equal">
      <formula>0</formula>
    </cfRule>
    <cfRule type="cellIs" dxfId="151" priority="152" operator="equal">
      <formula>1</formula>
    </cfRule>
  </conditionalFormatting>
  <conditionalFormatting sqref="K281">
    <cfRule type="cellIs" dxfId="150" priority="149" operator="equal">
      <formula>0</formula>
    </cfRule>
    <cfRule type="cellIs" dxfId="149" priority="150" operator="equal">
      <formula>1</formula>
    </cfRule>
  </conditionalFormatting>
  <conditionalFormatting sqref="J281">
    <cfRule type="cellIs" dxfId="148" priority="147" operator="equal">
      <formula>0</formula>
    </cfRule>
    <cfRule type="cellIs" dxfId="147" priority="148" operator="equal">
      <formula>1</formula>
    </cfRule>
  </conditionalFormatting>
  <conditionalFormatting sqref="M281">
    <cfRule type="cellIs" dxfId="146" priority="145" operator="equal">
      <formula>0</formula>
    </cfRule>
    <cfRule type="cellIs" dxfId="145" priority="146" operator="equal">
      <formula>1</formula>
    </cfRule>
  </conditionalFormatting>
  <conditionalFormatting sqref="K290">
    <cfRule type="cellIs" dxfId="144" priority="143" operator="equal">
      <formula>0</formula>
    </cfRule>
    <cfRule type="cellIs" dxfId="143" priority="144" operator="equal">
      <formula>1</formula>
    </cfRule>
  </conditionalFormatting>
  <conditionalFormatting sqref="J290">
    <cfRule type="cellIs" dxfId="142" priority="141" operator="equal">
      <formula>0</formula>
    </cfRule>
    <cfRule type="cellIs" dxfId="141" priority="142" operator="equal">
      <formula>1</formula>
    </cfRule>
  </conditionalFormatting>
  <conditionalFormatting sqref="M290">
    <cfRule type="cellIs" dxfId="140" priority="139" operator="equal">
      <formula>0</formula>
    </cfRule>
    <cfRule type="cellIs" dxfId="139" priority="140" operator="equal">
      <formula>1</formula>
    </cfRule>
  </conditionalFormatting>
  <conditionalFormatting sqref="K299">
    <cfRule type="cellIs" dxfId="138" priority="137" operator="equal">
      <formula>0</formula>
    </cfRule>
    <cfRule type="cellIs" dxfId="137" priority="138" operator="equal">
      <formula>1</formula>
    </cfRule>
  </conditionalFormatting>
  <conditionalFormatting sqref="J299">
    <cfRule type="cellIs" dxfId="136" priority="135" operator="equal">
      <formula>0</formula>
    </cfRule>
    <cfRule type="cellIs" dxfId="135" priority="136" operator="equal">
      <formula>1</formula>
    </cfRule>
  </conditionalFormatting>
  <conditionalFormatting sqref="M299">
    <cfRule type="cellIs" dxfId="134" priority="133" operator="equal">
      <formula>0</formula>
    </cfRule>
    <cfRule type="cellIs" dxfId="133" priority="134" operator="equal">
      <formula>1</formula>
    </cfRule>
  </conditionalFormatting>
  <conditionalFormatting sqref="K308">
    <cfRule type="cellIs" dxfId="132" priority="131" operator="equal">
      <formula>0</formula>
    </cfRule>
    <cfRule type="cellIs" dxfId="131" priority="132" operator="equal">
      <formula>1</formula>
    </cfRule>
  </conditionalFormatting>
  <conditionalFormatting sqref="J308">
    <cfRule type="cellIs" dxfId="130" priority="129" operator="equal">
      <formula>0</formula>
    </cfRule>
    <cfRule type="cellIs" dxfId="129" priority="130" operator="equal">
      <formula>1</formula>
    </cfRule>
  </conditionalFormatting>
  <conditionalFormatting sqref="M308">
    <cfRule type="cellIs" dxfId="128" priority="127" operator="equal">
      <formula>0</formula>
    </cfRule>
    <cfRule type="cellIs" dxfId="127" priority="128" operator="equal">
      <formula>1</formula>
    </cfRule>
  </conditionalFormatting>
  <conditionalFormatting sqref="K317">
    <cfRule type="cellIs" dxfId="126" priority="125" operator="equal">
      <formula>0</formula>
    </cfRule>
    <cfRule type="cellIs" dxfId="125" priority="126" operator="equal">
      <formula>1</formula>
    </cfRule>
  </conditionalFormatting>
  <conditionalFormatting sqref="J317">
    <cfRule type="cellIs" dxfId="124" priority="123" operator="equal">
      <formula>0</formula>
    </cfRule>
    <cfRule type="cellIs" dxfId="123" priority="124" operator="equal">
      <formula>1</formula>
    </cfRule>
  </conditionalFormatting>
  <conditionalFormatting sqref="M317">
    <cfRule type="cellIs" dxfId="122" priority="121" operator="equal">
      <formula>0</formula>
    </cfRule>
    <cfRule type="cellIs" dxfId="121" priority="122" operator="equal">
      <formula>1</formula>
    </cfRule>
  </conditionalFormatting>
  <conditionalFormatting sqref="K326">
    <cfRule type="cellIs" dxfId="120" priority="119" operator="equal">
      <formula>0</formula>
    </cfRule>
    <cfRule type="cellIs" dxfId="119" priority="120" operator="equal">
      <formula>1</formula>
    </cfRule>
  </conditionalFormatting>
  <conditionalFormatting sqref="J326">
    <cfRule type="cellIs" dxfId="118" priority="117" operator="equal">
      <formula>0</formula>
    </cfRule>
    <cfRule type="cellIs" dxfId="117" priority="118" operator="equal">
      <formula>1</formula>
    </cfRule>
  </conditionalFormatting>
  <conditionalFormatting sqref="M326">
    <cfRule type="cellIs" dxfId="116" priority="115" operator="equal">
      <formula>0</formula>
    </cfRule>
    <cfRule type="cellIs" dxfId="115" priority="116" operator="equal">
      <formula>1</formula>
    </cfRule>
  </conditionalFormatting>
  <conditionalFormatting sqref="K335">
    <cfRule type="cellIs" dxfId="114" priority="113" operator="equal">
      <formula>0</formula>
    </cfRule>
    <cfRule type="cellIs" dxfId="113" priority="114" operator="equal">
      <formula>1</formula>
    </cfRule>
  </conditionalFormatting>
  <conditionalFormatting sqref="J335">
    <cfRule type="cellIs" dxfId="112" priority="111" operator="equal">
      <formula>0</formula>
    </cfRule>
    <cfRule type="cellIs" dxfId="111" priority="112" operator="equal">
      <formula>1</formula>
    </cfRule>
  </conditionalFormatting>
  <conditionalFormatting sqref="M335">
    <cfRule type="cellIs" dxfId="110" priority="109" operator="equal">
      <formula>0</formula>
    </cfRule>
    <cfRule type="cellIs" dxfId="109" priority="110" operator="equal">
      <formula>1</formula>
    </cfRule>
  </conditionalFormatting>
  <conditionalFormatting sqref="K344">
    <cfRule type="cellIs" dxfId="108" priority="107" operator="equal">
      <formula>0</formula>
    </cfRule>
    <cfRule type="cellIs" dxfId="107" priority="108" operator="equal">
      <formula>1</formula>
    </cfRule>
  </conditionalFormatting>
  <conditionalFormatting sqref="J344">
    <cfRule type="cellIs" dxfId="106" priority="105" operator="equal">
      <formula>0</formula>
    </cfRule>
    <cfRule type="cellIs" dxfId="105" priority="106" operator="equal">
      <formula>1</formula>
    </cfRule>
  </conditionalFormatting>
  <conditionalFormatting sqref="M344">
    <cfRule type="cellIs" dxfId="104" priority="103" operator="equal">
      <formula>0</formula>
    </cfRule>
    <cfRule type="cellIs" dxfId="103" priority="104" operator="equal">
      <formula>1</formula>
    </cfRule>
  </conditionalFormatting>
  <conditionalFormatting sqref="K353">
    <cfRule type="cellIs" dxfId="102" priority="101" operator="equal">
      <formula>0</formula>
    </cfRule>
    <cfRule type="cellIs" dxfId="101" priority="102" operator="equal">
      <formula>1</formula>
    </cfRule>
  </conditionalFormatting>
  <conditionalFormatting sqref="J353">
    <cfRule type="cellIs" dxfId="100" priority="99" operator="equal">
      <formula>0</formula>
    </cfRule>
    <cfRule type="cellIs" dxfId="99" priority="100" operator="equal">
      <formula>1</formula>
    </cfRule>
  </conditionalFormatting>
  <conditionalFormatting sqref="M353">
    <cfRule type="cellIs" dxfId="98" priority="97" operator="equal">
      <formula>0</formula>
    </cfRule>
    <cfRule type="cellIs" dxfId="97" priority="98" operator="equal">
      <formula>1</formula>
    </cfRule>
  </conditionalFormatting>
  <conditionalFormatting sqref="K362">
    <cfRule type="cellIs" dxfId="96" priority="95" operator="equal">
      <formula>0</formula>
    </cfRule>
    <cfRule type="cellIs" dxfId="95" priority="96" operator="equal">
      <formula>1</formula>
    </cfRule>
  </conditionalFormatting>
  <conditionalFormatting sqref="J362">
    <cfRule type="cellIs" dxfId="94" priority="93" operator="equal">
      <formula>0</formula>
    </cfRule>
    <cfRule type="cellIs" dxfId="93" priority="94" operator="equal">
      <formula>1</formula>
    </cfRule>
  </conditionalFormatting>
  <conditionalFormatting sqref="M362">
    <cfRule type="cellIs" dxfId="92" priority="91" operator="equal">
      <formula>0</formula>
    </cfRule>
    <cfRule type="cellIs" dxfId="91" priority="92" operator="equal">
      <formula>1</formula>
    </cfRule>
  </conditionalFormatting>
  <conditionalFormatting sqref="K371">
    <cfRule type="cellIs" dxfId="90" priority="89" operator="equal">
      <formula>0</formula>
    </cfRule>
    <cfRule type="cellIs" dxfId="89" priority="90" operator="equal">
      <formula>1</formula>
    </cfRule>
  </conditionalFormatting>
  <conditionalFormatting sqref="J371">
    <cfRule type="cellIs" dxfId="88" priority="87" operator="equal">
      <formula>0</formula>
    </cfRule>
    <cfRule type="cellIs" dxfId="87" priority="88" operator="equal">
      <formula>1</formula>
    </cfRule>
  </conditionalFormatting>
  <conditionalFormatting sqref="M371">
    <cfRule type="cellIs" dxfId="86" priority="85" operator="equal">
      <formula>0</formula>
    </cfRule>
    <cfRule type="cellIs" dxfId="85" priority="86" operator="equal">
      <formula>1</formula>
    </cfRule>
  </conditionalFormatting>
  <conditionalFormatting sqref="K380">
    <cfRule type="cellIs" dxfId="84" priority="83" operator="equal">
      <formula>0</formula>
    </cfRule>
    <cfRule type="cellIs" dxfId="83" priority="84" operator="equal">
      <formula>1</formula>
    </cfRule>
  </conditionalFormatting>
  <conditionalFormatting sqref="J380">
    <cfRule type="cellIs" dxfId="82" priority="81" operator="equal">
      <formula>0</formula>
    </cfRule>
    <cfRule type="cellIs" dxfId="81" priority="82" operator="equal">
      <formula>1</formula>
    </cfRule>
  </conditionalFormatting>
  <conditionalFormatting sqref="M380">
    <cfRule type="cellIs" dxfId="80" priority="79" operator="equal">
      <formula>0</formula>
    </cfRule>
    <cfRule type="cellIs" dxfId="79" priority="80" operator="equal">
      <formula>1</formula>
    </cfRule>
  </conditionalFormatting>
  <conditionalFormatting sqref="K389">
    <cfRule type="cellIs" dxfId="78" priority="77" operator="equal">
      <formula>0</formula>
    </cfRule>
    <cfRule type="cellIs" dxfId="77" priority="78" operator="equal">
      <formula>1</formula>
    </cfRule>
  </conditionalFormatting>
  <conditionalFormatting sqref="J389">
    <cfRule type="cellIs" dxfId="76" priority="75" operator="equal">
      <formula>0</formula>
    </cfRule>
    <cfRule type="cellIs" dxfId="75" priority="76" operator="equal">
      <formula>1</formula>
    </cfRule>
  </conditionalFormatting>
  <conditionalFormatting sqref="M389">
    <cfRule type="cellIs" dxfId="74" priority="73" operator="equal">
      <formula>0</formula>
    </cfRule>
    <cfRule type="cellIs" dxfId="73" priority="74" operator="equal">
      <formula>1</formula>
    </cfRule>
  </conditionalFormatting>
  <conditionalFormatting sqref="K398">
    <cfRule type="cellIs" dxfId="72" priority="71" operator="equal">
      <formula>0</formula>
    </cfRule>
    <cfRule type="cellIs" dxfId="71" priority="72" operator="equal">
      <formula>1</formula>
    </cfRule>
  </conditionalFormatting>
  <conditionalFormatting sqref="J398">
    <cfRule type="cellIs" dxfId="70" priority="69" operator="equal">
      <formula>0</formula>
    </cfRule>
    <cfRule type="cellIs" dxfId="69" priority="70" operator="equal">
      <formula>1</formula>
    </cfRule>
  </conditionalFormatting>
  <conditionalFormatting sqref="M398">
    <cfRule type="cellIs" dxfId="68" priority="67" operator="equal">
      <formula>0</formula>
    </cfRule>
    <cfRule type="cellIs" dxfId="67" priority="68" operator="equal">
      <formula>1</formula>
    </cfRule>
  </conditionalFormatting>
  <conditionalFormatting sqref="K407">
    <cfRule type="cellIs" dxfId="66" priority="65" operator="equal">
      <formula>0</formula>
    </cfRule>
    <cfRule type="cellIs" dxfId="65" priority="66" operator="equal">
      <formula>1</formula>
    </cfRule>
  </conditionalFormatting>
  <conditionalFormatting sqref="J407">
    <cfRule type="cellIs" dxfId="64" priority="63" operator="equal">
      <formula>0</formula>
    </cfRule>
    <cfRule type="cellIs" dxfId="63" priority="64" operator="equal">
      <formula>1</formula>
    </cfRule>
  </conditionalFormatting>
  <conditionalFormatting sqref="M407">
    <cfRule type="cellIs" dxfId="62" priority="61" operator="equal">
      <formula>0</formula>
    </cfRule>
    <cfRule type="cellIs" dxfId="61" priority="62" operator="equal">
      <formula>1</formula>
    </cfRule>
  </conditionalFormatting>
  <conditionalFormatting sqref="K416">
    <cfRule type="cellIs" dxfId="60" priority="59" operator="equal">
      <formula>0</formula>
    </cfRule>
    <cfRule type="cellIs" dxfId="59" priority="60" operator="equal">
      <formula>1</formula>
    </cfRule>
  </conditionalFormatting>
  <conditionalFormatting sqref="J416">
    <cfRule type="cellIs" dxfId="58" priority="57" operator="equal">
      <formula>0</formula>
    </cfRule>
    <cfRule type="cellIs" dxfId="57" priority="58" operator="equal">
      <formula>1</formula>
    </cfRule>
  </conditionalFormatting>
  <conditionalFormatting sqref="M416">
    <cfRule type="cellIs" dxfId="56" priority="55" operator="equal">
      <formula>0</formula>
    </cfRule>
    <cfRule type="cellIs" dxfId="55" priority="56" operator="equal">
      <formula>1</formula>
    </cfRule>
  </conditionalFormatting>
  <conditionalFormatting sqref="K427">
    <cfRule type="cellIs" dxfId="54" priority="53" operator="equal">
      <formula>0</formula>
    </cfRule>
    <cfRule type="cellIs" dxfId="53" priority="54" operator="equal">
      <formula>1</formula>
    </cfRule>
  </conditionalFormatting>
  <conditionalFormatting sqref="J427">
    <cfRule type="cellIs" dxfId="52" priority="51" operator="equal">
      <formula>0</formula>
    </cfRule>
    <cfRule type="cellIs" dxfId="51" priority="52" operator="equal">
      <formula>1</formula>
    </cfRule>
  </conditionalFormatting>
  <conditionalFormatting sqref="M427">
    <cfRule type="cellIs" dxfId="50" priority="49" operator="equal">
      <formula>0</formula>
    </cfRule>
    <cfRule type="cellIs" dxfId="49" priority="50" operator="equal">
      <formula>1</formula>
    </cfRule>
  </conditionalFormatting>
  <conditionalFormatting sqref="K436">
    <cfRule type="cellIs" dxfId="48" priority="47" operator="equal">
      <formula>0</formula>
    </cfRule>
    <cfRule type="cellIs" dxfId="47" priority="48" operator="equal">
      <formula>1</formula>
    </cfRule>
  </conditionalFormatting>
  <conditionalFormatting sqref="J436">
    <cfRule type="cellIs" dxfId="46" priority="45" operator="equal">
      <formula>0</formula>
    </cfRule>
    <cfRule type="cellIs" dxfId="45" priority="46" operator="equal">
      <formula>1</formula>
    </cfRule>
  </conditionalFormatting>
  <conditionalFormatting sqref="M436">
    <cfRule type="cellIs" dxfId="44" priority="43" operator="equal">
      <formula>0</formula>
    </cfRule>
    <cfRule type="cellIs" dxfId="43" priority="44" operator="equal">
      <formula>1</formula>
    </cfRule>
  </conditionalFormatting>
  <conditionalFormatting sqref="K445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J445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M445">
    <cfRule type="cellIs" dxfId="38" priority="37" operator="equal">
      <formula>0</formula>
    </cfRule>
    <cfRule type="cellIs" dxfId="37" priority="38" operator="equal">
      <formula>1</formula>
    </cfRule>
  </conditionalFormatting>
  <conditionalFormatting sqref="K460">
    <cfRule type="cellIs" dxfId="36" priority="35" operator="equal">
      <formula>0</formula>
    </cfRule>
    <cfRule type="cellIs" dxfId="35" priority="36" operator="equal">
      <formula>1</formula>
    </cfRule>
  </conditionalFormatting>
  <conditionalFormatting sqref="J460">
    <cfRule type="cellIs" dxfId="34" priority="33" operator="equal">
      <formula>0</formula>
    </cfRule>
    <cfRule type="cellIs" dxfId="33" priority="34" operator="equal">
      <formula>1</formula>
    </cfRule>
  </conditionalFormatting>
  <conditionalFormatting sqref="M460">
    <cfRule type="cellIs" dxfId="32" priority="31" operator="equal">
      <formula>0</formula>
    </cfRule>
    <cfRule type="cellIs" dxfId="31" priority="32" operator="equal">
      <formula>1</formula>
    </cfRule>
  </conditionalFormatting>
  <conditionalFormatting sqref="K467">
    <cfRule type="cellIs" dxfId="30" priority="29" operator="equal">
      <formula>0</formula>
    </cfRule>
    <cfRule type="cellIs" dxfId="29" priority="30" operator="equal">
      <formula>1</formula>
    </cfRule>
  </conditionalFormatting>
  <conditionalFormatting sqref="J467">
    <cfRule type="cellIs" dxfId="28" priority="27" operator="equal">
      <formula>0</formula>
    </cfRule>
    <cfRule type="cellIs" dxfId="27" priority="28" operator="equal">
      <formula>1</formula>
    </cfRule>
  </conditionalFormatting>
  <conditionalFormatting sqref="M467">
    <cfRule type="cellIs" dxfId="26" priority="25" operator="equal">
      <formula>0</formula>
    </cfRule>
    <cfRule type="cellIs" dxfId="25" priority="26" operator="equal">
      <formula>1</formula>
    </cfRule>
  </conditionalFormatting>
  <conditionalFormatting sqref="K478">
    <cfRule type="cellIs" dxfId="24" priority="23" operator="equal">
      <formula>0</formula>
    </cfRule>
    <cfRule type="cellIs" dxfId="23" priority="24" operator="equal">
      <formula>1</formula>
    </cfRule>
  </conditionalFormatting>
  <conditionalFormatting sqref="J478">
    <cfRule type="cellIs" dxfId="22" priority="21" operator="equal">
      <formula>0</formula>
    </cfRule>
    <cfRule type="cellIs" dxfId="21" priority="22" operator="equal">
      <formula>1</formula>
    </cfRule>
  </conditionalFormatting>
  <conditionalFormatting sqref="M478">
    <cfRule type="cellIs" dxfId="20" priority="19" operator="equal">
      <formula>0</formula>
    </cfRule>
    <cfRule type="cellIs" dxfId="19" priority="20" operator="equal">
      <formula>1</formula>
    </cfRule>
  </conditionalFormatting>
  <conditionalFormatting sqref="K483">
    <cfRule type="cellIs" dxfId="18" priority="17" operator="equal">
      <formula>0</formula>
    </cfRule>
    <cfRule type="cellIs" dxfId="17" priority="18" operator="equal">
      <formula>1</formula>
    </cfRule>
  </conditionalFormatting>
  <conditionalFormatting sqref="J483">
    <cfRule type="cellIs" dxfId="16" priority="15" operator="equal">
      <formula>0</formula>
    </cfRule>
    <cfRule type="cellIs" dxfId="15" priority="16" operator="equal">
      <formula>1</formula>
    </cfRule>
  </conditionalFormatting>
  <conditionalFormatting sqref="M483">
    <cfRule type="cellIs" dxfId="14" priority="13" operator="equal">
      <formula>0</formula>
    </cfRule>
    <cfRule type="cellIs" dxfId="13" priority="14" operator="equal">
      <formula>1</formula>
    </cfRule>
  </conditionalFormatting>
  <conditionalFormatting sqref="K490">
    <cfRule type="cellIs" dxfId="12" priority="11" operator="equal">
      <formula>0</formula>
    </cfRule>
    <cfRule type="cellIs" dxfId="11" priority="12" operator="equal">
      <formula>1</formula>
    </cfRule>
  </conditionalFormatting>
  <conditionalFormatting sqref="J490">
    <cfRule type="cellIs" dxfId="10" priority="9" operator="equal">
      <formula>0</formula>
    </cfRule>
    <cfRule type="cellIs" dxfId="9" priority="10" operator="equal">
      <formula>1</formula>
    </cfRule>
  </conditionalFormatting>
  <conditionalFormatting sqref="M490">
    <cfRule type="cellIs" dxfId="8" priority="7" operator="equal">
      <formula>0</formula>
    </cfRule>
    <cfRule type="cellIs" dxfId="7" priority="8" operator="equal">
      <formula>1</formula>
    </cfRule>
  </conditionalFormatting>
  <conditionalFormatting sqref="K500">
    <cfRule type="cellIs" dxfId="6" priority="5" operator="equal">
      <formula>0</formula>
    </cfRule>
    <cfRule type="cellIs" dxfId="5" priority="6" operator="equal">
      <formula>1</formula>
    </cfRule>
  </conditionalFormatting>
  <conditionalFormatting sqref="J500">
    <cfRule type="cellIs" dxfId="4" priority="3" operator="equal">
      <formula>0</formula>
    </cfRule>
    <cfRule type="cellIs" dxfId="3" priority="4" operator="equal">
      <formula>1</formula>
    </cfRule>
  </conditionalFormatting>
  <conditionalFormatting sqref="M500">
    <cfRule type="cellIs" dxfId="2" priority="1" operator="equal">
      <formula>0</formula>
    </cfRule>
    <cfRule type="cellIs" dxfId="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 filterMode="1"/>
  <dimension ref="A1:H247"/>
  <sheetViews>
    <sheetView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C50" sqref="C50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890</v>
      </c>
      <c r="B1" s="134" t="s">
        <v>138</v>
      </c>
      <c r="C1" s="134" t="s">
        <v>891</v>
      </c>
      <c r="D1" s="65" t="s">
        <v>129</v>
      </c>
      <c r="E1" s="65" t="s">
        <v>130</v>
      </c>
      <c r="F1" s="65" t="s">
        <v>509</v>
      </c>
      <c r="G1" s="65" t="s">
        <v>510</v>
      </c>
      <c r="H1" s="65" t="s">
        <v>3</v>
      </c>
    </row>
    <row r="2" spans="1:8" hidden="1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511</v>
      </c>
    </row>
    <row r="3" spans="1:8" hidden="1">
      <c r="A3" s="6" t="s">
        <v>298</v>
      </c>
      <c r="B3" s="55" t="s">
        <v>304</v>
      </c>
      <c r="C3" s="55">
        <f t="shared" ref="C3:C65" si="0">COUNTA(D3:E3)</f>
        <v>2</v>
      </c>
      <c r="D3" s="6" t="s">
        <v>151</v>
      </c>
      <c r="E3" s="6" t="s">
        <v>499</v>
      </c>
      <c r="F3" s="6">
        <v>3</v>
      </c>
      <c r="G3" s="6">
        <v>10</v>
      </c>
      <c r="H3" s="6" t="s">
        <v>512</v>
      </c>
    </row>
    <row r="4" spans="1:8" hidden="1">
      <c r="A4" s="6" t="s">
        <v>872</v>
      </c>
      <c r="B4" s="55" t="s">
        <v>892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513</v>
      </c>
    </row>
    <row r="5" spans="1:8" hidden="1">
      <c r="A5" s="6" t="s">
        <v>474</v>
      </c>
      <c r="B5" s="55" t="s">
        <v>373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514</v>
      </c>
    </row>
    <row r="6" spans="1:8" hidden="1">
      <c r="A6" s="6" t="s">
        <v>215</v>
      </c>
      <c r="B6" s="55" t="s">
        <v>893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515</v>
      </c>
    </row>
    <row r="7" spans="1:8" hidden="1">
      <c r="A7" s="6" t="s">
        <v>239</v>
      </c>
      <c r="B7" s="55" t="s">
        <v>894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516</v>
      </c>
    </row>
    <row r="8" spans="1:8" hidden="1">
      <c r="A8" s="6" t="s">
        <v>148</v>
      </c>
      <c r="B8" s="55" t="s">
        <v>895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517</v>
      </c>
    </row>
    <row r="9" spans="1:8" hidden="1">
      <c r="A9" s="6" t="s">
        <v>465</v>
      </c>
      <c r="B9" s="55" t="s">
        <v>896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518</v>
      </c>
    </row>
    <row r="10" spans="1:8" hidden="1">
      <c r="A10" s="6" t="s">
        <v>110</v>
      </c>
      <c r="B10" s="55" t="s">
        <v>897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511</v>
      </c>
    </row>
    <row r="11" spans="1:8" hidden="1">
      <c r="A11" s="6" t="s">
        <v>478</v>
      </c>
      <c r="B11" s="55" t="s">
        <v>470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519</v>
      </c>
    </row>
    <row r="12" spans="1:8" hidden="1">
      <c r="A12" s="6" t="s">
        <v>873</v>
      </c>
      <c r="B12" s="55" t="s">
        <v>344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520</v>
      </c>
    </row>
    <row r="13" spans="1:8" hidden="1">
      <c r="A13" s="6" t="s">
        <v>475</v>
      </c>
      <c r="B13" s="55" t="s">
        <v>521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522</v>
      </c>
    </row>
    <row r="14" spans="1:8" hidden="1">
      <c r="A14" s="6" t="s">
        <v>215</v>
      </c>
      <c r="B14" s="55" t="s">
        <v>405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523</v>
      </c>
    </row>
    <row r="15" spans="1:8" hidden="1">
      <c r="A15" s="6" t="s">
        <v>239</v>
      </c>
      <c r="B15" s="55" t="s">
        <v>524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525</v>
      </c>
    </row>
    <row r="16" spans="1:8" hidden="1">
      <c r="A16" s="6" t="s">
        <v>148</v>
      </c>
      <c r="B16" s="55" t="s">
        <v>457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526</v>
      </c>
    </row>
    <row r="17" spans="1:8" hidden="1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527</v>
      </c>
    </row>
    <row r="18" spans="1:8" hidden="1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511</v>
      </c>
    </row>
    <row r="19" spans="1:8" hidden="1">
      <c r="A19" s="6" t="s">
        <v>298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528</v>
      </c>
    </row>
    <row r="20" spans="1:8" hidden="1">
      <c r="A20" s="6" t="s">
        <v>872</v>
      </c>
      <c r="B20" s="55" t="s">
        <v>471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529</v>
      </c>
    </row>
    <row r="21" spans="1:8" hidden="1">
      <c r="A21" s="6" t="s">
        <v>474</v>
      </c>
      <c r="B21" s="55" t="s">
        <v>898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530</v>
      </c>
    </row>
    <row r="22" spans="1:8" hidden="1">
      <c r="A22" s="6" t="s">
        <v>215</v>
      </c>
      <c r="B22" s="55" t="s">
        <v>899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531</v>
      </c>
    </row>
    <row r="23" spans="1:8" hidden="1">
      <c r="A23" s="6" t="s">
        <v>239</v>
      </c>
      <c r="B23" s="55" t="s">
        <v>900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532</v>
      </c>
    </row>
    <row r="24" spans="1:8" hidden="1">
      <c r="A24" s="6" t="s">
        <v>148</v>
      </c>
      <c r="B24" s="55" t="s">
        <v>901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533</v>
      </c>
    </row>
    <row r="25" spans="1:8" hidden="1">
      <c r="A25" s="6" t="s">
        <v>467</v>
      </c>
      <c r="B25" s="55" t="s">
        <v>902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534</v>
      </c>
    </row>
    <row r="26" spans="1:8" hidden="1">
      <c r="A26" s="6" t="s">
        <v>110</v>
      </c>
      <c r="B26" s="55" t="s">
        <v>487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511</v>
      </c>
    </row>
    <row r="27" spans="1:8" hidden="1">
      <c r="A27" s="6" t="s">
        <v>478</v>
      </c>
      <c r="B27" s="55" t="s">
        <v>903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535</v>
      </c>
    </row>
    <row r="28" spans="1:8" hidden="1">
      <c r="A28" s="6" t="s">
        <v>873</v>
      </c>
      <c r="B28" s="55" t="s">
        <v>536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537</v>
      </c>
    </row>
    <row r="29" spans="1:8" hidden="1">
      <c r="A29" s="6" t="s">
        <v>475</v>
      </c>
      <c r="B29" s="55" t="s">
        <v>538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539</v>
      </c>
    </row>
    <row r="30" spans="1:8" hidden="1">
      <c r="A30" s="6" t="s">
        <v>215</v>
      </c>
      <c r="B30" s="55" t="s">
        <v>540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541</v>
      </c>
    </row>
    <row r="31" spans="1:8" hidden="1">
      <c r="A31" s="6" t="s">
        <v>239</v>
      </c>
      <c r="B31" s="55" t="s">
        <v>542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543</v>
      </c>
    </row>
    <row r="32" spans="1:8" hidden="1">
      <c r="A32" s="6" t="s">
        <v>148</v>
      </c>
      <c r="B32" s="55" t="s">
        <v>544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545</v>
      </c>
    </row>
    <row r="33" spans="1:8" hidden="1">
      <c r="A33" s="6" t="s">
        <v>158</v>
      </c>
      <c r="B33" s="55" t="s">
        <v>546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547</v>
      </c>
    </row>
    <row r="34" spans="1:8" hidden="1">
      <c r="A34" s="6" t="s">
        <v>110</v>
      </c>
      <c r="B34" s="55" t="s">
        <v>904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511</v>
      </c>
    </row>
    <row r="35" spans="1:8" hidden="1">
      <c r="A35" s="6" t="s">
        <v>298</v>
      </c>
      <c r="B35" s="55" t="s">
        <v>905</v>
      </c>
      <c r="C35" s="55">
        <f t="shared" si="0"/>
        <v>2</v>
      </c>
      <c r="D35" s="6" t="s">
        <v>312</v>
      </c>
      <c r="E35" s="6" t="s">
        <v>499</v>
      </c>
      <c r="F35" s="6">
        <v>3</v>
      </c>
      <c r="G35" s="6">
        <v>10</v>
      </c>
      <c r="H35" s="6" t="s">
        <v>548</v>
      </c>
    </row>
    <row r="36" spans="1:8" hidden="1">
      <c r="A36" s="6" t="s">
        <v>874</v>
      </c>
      <c r="B36" s="55" t="s">
        <v>209</v>
      </c>
      <c r="C36" s="55">
        <f t="shared" si="0"/>
        <v>1</v>
      </c>
      <c r="D36" s="6" t="s">
        <v>499</v>
      </c>
      <c r="E36" s="6"/>
      <c r="F36" s="6">
        <v>3</v>
      </c>
      <c r="G36" s="6">
        <v>16</v>
      </c>
      <c r="H36" s="6" t="s">
        <v>549</v>
      </c>
    </row>
    <row r="37" spans="1:8" hidden="1">
      <c r="A37" s="6" t="s">
        <v>474</v>
      </c>
      <c r="B37" s="55" t="s">
        <v>906</v>
      </c>
      <c r="C37" s="55">
        <f t="shared" si="0"/>
        <v>1</v>
      </c>
      <c r="D37" s="6" t="s">
        <v>312</v>
      </c>
      <c r="E37" s="6"/>
      <c r="F37" s="6">
        <v>1</v>
      </c>
      <c r="G37" s="6">
        <v>5</v>
      </c>
      <c r="H37" s="6" t="s">
        <v>550</v>
      </c>
    </row>
    <row r="38" spans="1:8" hidden="1">
      <c r="A38" s="6" t="s">
        <v>215</v>
      </c>
      <c r="B38" s="55" t="s">
        <v>907</v>
      </c>
      <c r="C38" s="55">
        <f t="shared" si="0"/>
        <v>1</v>
      </c>
      <c r="D38" s="6" t="s">
        <v>312</v>
      </c>
      <c r="E38" s="6"/>
      <c r="F38" s="6">
        <v>1</v>
      </c>
      <c r="G38" s="6">
        <v>5</v>
      </c>
      <c r="H38" s="6" t="s">
        <v>551</v>
      </c>
    </row>
    <row r="39" spans="1:8" hidden="1">
      <c r="A39" s="6" t="s">
        <v>239</v>
      </c>
      <c r="B39" s="55" t="s">
        <v>908</v>
      </c>
      <c r="C39" s="55">
        <f t="shared" si="0"/>
        <v>1</v>
      </c>
      <c r="D39" s="6" t="s">
        <v>312</v>
      </c>
      <c r="E39" s="6"/>
      <c r="F39" s="6">
        <v>1</v>
      </c>
      <c r="G39" s="6">
        <v>5</v>
      </c>
      <c r="H39" s="6" t="s">
        <v>552</v>
      </c>
    </row>
    <row r="40" spans="1:8" hidden="1">
      <c r="A40" s="6" t="s">
        <v>148</v>
      </c>
      <c r="B40" s="55" t="s">
        <v>909</v>
      </c>
      <c r="C40" s="55">
        <f t="shared" si="0"/>
        <v>2</v>
      </c>
      <c r="D40" s="6" t="s">
        <v>312</v>
      </c>
      <c r="E40" s="6" t="s">
        <v>137</v>
      </c>
      <c r="F40" s="6">
        <v>2</v>
      </c>
      <c r="G40" s="6">
        <v>7</v>
      </c>
      <c r="H40" s="6" t="s">
        <v>553</v>
      </c>
    </row>
    <row r="41" spans="1:8" hidden="1">
      <c r="A41" s="6" t="s">
        <v>52</v>
      </c>
      <c r="B41" s="55" t="s">
        <v>910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554</v>
      </c>
    </row>
    <row r="42" spans="1:8" hidden="1">
      <c r="A42" s="6" t="s">
        <v>110</v>
      </c>
      <c r="B42" s="55" t="s">
        <v>911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511</v>
      </c>
    </row>
    <row r="43" spans="1:8" hidden="1">
      <c r="A43" s="6" t="s">
        <v>478</v>
      </c>
      <c r="B43" s="55" t="s">
        <v>912</v>
      </c>
      <c r="C43" s="55">
        <f t="shared" si="0"/>
        <v>1</v>
      </c>
      <c r="D43" s="6" t="s">
        <v>312</v>
      </c>
      <c r="E43" s="6"/>
      <c r="F43" s="6">
        <v>1</v>
      </c>
      <c r="G43" s="6">
        <v>10</v>
      </c>
      <c r="H43" s="6" t="s">
        <v>555</v>
      </c>
    </row>
    <row r="44" spans="1:8" hidden="1">
      <c r="A44" s="6" t="s">
        <v>875</v>
      </c>
      <c r="B44" s="55" t="s">
        <v>381</v>
      </c>
      <c r="C44" s="55">
        <f t="shared" si="0"/>
        <v>1</v>
      </c>
      <c r="D44" s="6" t="s">
        <v>499</v>
      </c>
      <c r="E44" s="6"/>
      <c r="F44" s="6">
        <v>3</v>
      </c>
      <c r="G44" s="6">
        <v>16</v>
      </c>
      <c r="H44" s="6" t="s">
        <v>556</v>
      </c>
    </row>
    <row r="45" spans="1:8" hidden="1">
      <c r="A45" s="6" t="s">
        <v>475</v>
      </c>
      <c r="B45" s="55" t="s">
        <v>557</v>
      </c>
      <c r="C45" s="55">
        <f t="shared" si="0"/>
        <v>1</v>
      </c>
      <c r="D45" s="6" t="s">
        <v>312</v>
      </c>
      <c r="E45" s="6"/>
      <c r="F45" s="6">
        <v>1</v>
      </c>
      <c r="G45" s="6">
        <v>5</v>
      </c>
      <c r="H45" s="6" t="s">
        <v>558</v>
      </c>
    </row>
    <row r="46" spans="1:8" hidden="1">
      <c r="A46" s="6" t="s">
        <v>215</v>
      </c>
      <c r="B46" s="55" t="s">
        <v>559</v>
      </c>
      <c r="C46" s="55">
        <f t="shared" si="0"/>
        <v>1</v>
      </c>
      <c r="D46" s="6" t="s">
        <v>336</v>
      </c>
      <c r="E46" s="6"/>
      <c r="F46" s="6">
        <v>1</v>
      </c>
      <c r="G46" s="6">
        <v>5</v>
      </c>
      <c r="H46" s="6" t="s">
        <v>560</v>
      </c>
    </row>
    <row r="47" spans="1:8" hidden="1">
      <c r="A47" s="6" t="s">
        <v>239</v>
      </c>
      <c r="B47" s="55" t="s">
        <v>561</v>
      </c>
      <c r="C47" s="55">
        <f t="shared" si="0"/>
        <v>1</v>
      </c>
      <c r="D47" s="6" t="s">
        <v>336</v>
      </c>
      <c r="E47" s="6"/>
      <c r="F47" s="6">
        <v>1</v>
      </c>
      <c r="G47" s="6">
        <v>5</v>
      </c>
      <c r="H47" s="6" t="s">
        <v>562</v>
      </c>
    </row>
    <row r="48" spans="1:8" hidden="1">
      <c r="A48" s="6" t="s">
        <v>148</v>
      </c>
      <c r="B48" s="55" t="s">
        <v>563</v>
      </c>
      <c r="C48" s="55">
        <f t="shared" si="0"/>
        <v>2</v>
      </c>
      <c r="D48" s="6" t="s">
        <v>336</v>
      </c>
      <c r="E48" s="6" t="s">
        <v>137</v>
      </c>
      <c r="F48" s="6">
        <v>2</v>
      </c>
      <c r="G48" s="6">
        <v>7</v>
      </c>
      <c r="H48" s="6" t="s">
        <v>564</v>
      </c>
    </row>
    <row r="49" spans="1:8" hidden="1">
      <c r="A49" s="6" t="s">
        <v>68</v>
      </c>
      <c r="B49" s="55" t="s">
        <v>565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566</v>
      </c>
    </row>
    <row r="50" spans="1:8">
      <c r="A50" s="6" t="s">
        <v>976</v>
      </c>
      <c r="B50" s="55" t="s">
        <v>913</v>
      </c>
      <c r="C50" s="55">
        <f t="shared" si="0"/>
        <v>2</v>
      </c>
      <c r="D50" s="6" t="s">
        <v>137</v>
      </c>
      <c r="E50" s="6" t="s">
        <v>137</v>
      </c>
      <c r="F50" s="6">
        <v>3</v>
      </c>
      <c r="G50" s="6">
        <v>4</v>
      </c>
      <c r="H50" s="6" t="s">
        <v>984</v>
      </c>
    </row>
    <row r="51" spans="1:8" hidden="1">
      <c r="A51" s="6" t="s">
        <v>298</v>
      </c>
      <c r="B51" s="55" t="s">
        <v>914</v>
      </c>
      <c r="C51" s="55">
        <f t="shared" si="0"/>
        <v>2</v>
      </c>
      <c r="D51" s="6" t="s">
        <v>114</v>
      </c>
      <c r="E51" s="6" t="s">
        <v>499</v>
      </c>
      <c r="F51" s="6">
        <v>3</v>
      </c>
      <c r="G51" s="6">
        <v>10</v>
      </c>
      <c r="H51" s="6" t="s">
        <v>567</v>
      </c>
    </row>
    <row r="52" spans="1:8" hidden="1">
      <c r="A52" s="6" t="s">
        <v>876</v>
      </c>
      <c r="B52" s="55" t="s">
        <v>915</v>
      </c>
      <c r="C52" s="55">
        <f t="shared" si="0"/>
        <v>1</v>
      </c>
      <c r="D52" s="6" t="s">
        <v>499</v>
      </c>
      <c r="E52" s="6"/>
      <c r="F52" s="6">
        <v>3</v>
      </c>
      <c r="G52" s="6">
        <v>13</v>
      </c>
      <c r="H52" s="6" t="s">
        <v>568</v>
      </c>
    </row>
    <row r="53" spans="1:8" hidden="1">
      <c r="A53" s="6" t="s">
        <v>474</v>
      </c>
      <c r="B53" s="55" t="s">
        <v>403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569</v>
      </c>
    </row>
    <row r="54" spans="1:8" hidden="1">
      <c r="A54" s="6" t="s">
        <v>215</v>
      </c>
      <c r="B54" s="55" t="s">
        <v>472</v>
      </c>
      <c r="C54" s="55">
        <f t="shared" si="0"/>
        <v>1</v>
      </c>
      <c r="D54" s="6" t="s">
        <v>590</v>
      </c>
      <c r="E54" s="6"/>
      <c r="F54" s="6">
        <v>1</v>
      </c>
      <c r="G54" s="6">
        <v>10</v>
      </c>
      <c r="H54" s="6" t="s">
        <v>570</v>
      </c>
    </row>
    <row r="55" spans="1:8" hidden="1">
      <c r="A55" s="6" t="s">
        <v>239</v>
      </c>
      <c r="B55" s="55" t="s">
        <v>916</v>
      </c>
      <c r="C55" s="55">
        <f t="shared" si="0"/>
        <v>1</v>
      </c>
      <c r="D55" s="6" t="s">
        <v>590</v>
      </c>
      <c r="E55" s="6"/>
      <c r="F55" s="6">
        <v>1</v>
      </c>
      <c r="G55" s="6">
        <v>10</v>
      </c>
      <c r="H55" s="6" t="s">
        <v>571</v>
      </c>
    </row>
    <row r="56" spans="1:8" hidden="1">
      <c r="A56" s="6" t="s">
        <v>148</v>
      </c>
      <c r="B56" s="55" t="s">
        <v>917</v>
      </c>
      <c r="C56" s="55">
        <f t="shared" si="0"/>
        <v>2</v>
      </c>
      <c r="D56" s="6" t="s">
        <v>590</v>
      </c>
      <c r="E56" s="6" t="s">
        <v>137</v>
      </c>
      <c r="F56" s="6">
        <v>2</v>
      </c>
      <c r="G56" s="6">
        <v>10</v>
      </c>
      <c r="H56" s="6" t="s">
        <v>572</v>
      </c>
    </row>
    <row r="57" spans="1:8" hidden="1">
      <c r="A57" s="6" t="s">
        <v>72</v>
      </c>
      <c r="B57" s="55" t="s">
        <v>918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573</v>
      </c>
    </row>
    <row r="58" spans="1:8" hidden="1">
      <c r="A58" s="6" t="s">
        <v>191</v>
      </c>
      <c r="B58" s="55" t="s">
        <v>919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511</v>
      </c>
    </row>
    <row r="59" spans="1:8" hidden="1">
      <c r="A59" s="6" t="s">
        <v>478</v>
      </c>
      <c r="B59" s="55" t="s">
        <v>920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574</v>
      </c>
    </row>
    <row r="60" spans="1:8" hidden="1">
      <c r="A60" s="6" t="s">
        <v>877</v>
      </c>
      <c r="B60" s="55" t="s">
        <v>382</v>
      </c>
      <c r="C60" s="55">
        <f t="shared" si="0"/>
        <v>1</v>
      </c>
      <c r="D60" s="6" t="s">
        <v>499</v>
      </c>
      <c r="E60" s="6"/>
      <c r="F60" s="6">
        <v>3</v>
      </c>
      <c r="G60" s="6">
        <v>13</v>
      </c>
      <c r="H60" s="6" t="s">
        <v>575</v>
      </c>
    </row>
    <row r="61" spans="1:8" hidden="1">
      <c r="A61" s="6" t="s">
        <v>475</v>
      </c>
      <c r="B61" s="55" t="s">
        <v>576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577</v>
      </c>
    </row>
    <row r="62" spans="1:8" hidden="1">
      <c r="A62" s="6" t="s">
        <v>215</v>
      </c>
      <c r="B62" s="55" t="s">
        <v>334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578</v>
      </c>
    </row>
    <row r="63" spans="1:8" hidden="1">
      <c r="A63" s="6" t="s">
        <v>239</v>
      </c>
      <c r="B63" s="55" t="s">
        <v>579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580</v>
      </c>
    </row>
    <row r="64" spans="1:8" hidden="1">
      <c r="A64" s="6" t="s">
        <v>148</v>
      </c>
      <c r="B64" s="55" t="s">
        <v>581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582</v>
      </c>
    </row>
    <row r="65" spans="1:8" hidden="1">
      <c r="A65" s="6" t="s">
        <v>70</v>
      </c>
      <c r="B65" s="55" t="s">
        <v>406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583</v>
      </c>
    </row>
    <row r="66" spans="1:8" hidden="1">
      <c r="A66" s="6" t="s">
        <v>188</v>
      </c>
      <c r="B66" s="55" t="s">
        <v>921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584</v>
      </c>
    </row>
    <row r="67" spans="1:8" hidden="1">
      <c r="A67" s="6" t="s">
        <v>188</v>
      </c>
      <c r="B67" s="55" t="s">
        <v>922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585</v>
      </c>
    </row>
    <row r="68" spans="1:8" hidden="1">
      <c r="A68" s="6" t="s">
        <v>188</v>
      </c>
      <c r="B68" s="55" t="s">
        <v>495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586</v>
      </c>
    </row>
    <row r="69" spans="1:8" hidden="1">
      <c r="A69" s="6" t="s">
        <v>188</v>
      </c>
      <c r="B69" s="55" t="s">
        <v>923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587</v>
      </c>
    </row>
    <row r="70" spans="1:8" hidden="1">
      <c r="A70" s="6" t="s">
        <v>188</v>
      </c>
      <c r="B70" s="55" t="s">
        <v>924</v>
      </c>
      <c r="C70" s="55">
        <f t="shared" si="1"/>
        <v>2</v>
      </c>
      <c r="D70" s="6" t="s">
        <v>151</v>
      </c>
      <c r="E70" s="6" t="s">
        <v>312</v>
      </c>
      <c r="F70" s="6">
        <v>1</v>
      </c>
      <c r="G70" s="6">
        <v>5</v>
      </c>
      <c r="H70" s="6" t="s">
        <v>588</v>
      </c>
    </row>
    <row r="71" spans="1:8" hidden="1">
      <c r="A71" s="6" t="s">
        <v>188</v>
      </c>
      <c r="B71" s="55" t="s">
        <v>925</v>
      </c>
      <c r="C71" s="55">
        <f t="shared" si="1"/>
        <v>2</v>
      </c>
      <c r="D71" s="6" t="s">
        <v>151</v>
      </c>
      <c r="E71" s="6" t="s">
        <v>336</v>
      </c>
      <c r="F71" s="6">
        <v>1</v>
      </c>
      <c r="G71" s="6">
        <v>5</v>
      </c>
      <c r="H71" s="6" t="s">
        <v>589</v>
      </c>
    </row>
    <row r="72" spans="1:8" hidden="1">
      <c r="A72" s="6" t="s">
        <v>188</v>
      </c>
      <c r="B72" s="55" t="s">
        <v>926</v>
      </c>
      <c r="C72" s="55">
        <f t="shared" si="1"/>
        <v>2</v>
      </c>
      <c r="D72" s="6" t="s">
        <v>151</v>
      </c>
      <c r="E72" s="6" t="s">
        <v>590</v>
      </c>
      <c r="F72" s="6">
        <v>1</v>
      </c>
      <c r="G72" s="6">
        <v>7</v>
      </c>
      <c r="H72" s="6" t="s">
        <v>591</v>
      </c>
    </row>
    <row r="73" spans="1:8" hidden="1">
      <c r="A73" s="6" t="s">
        <v>188</v>
      </c>
      <c r="B73" s="55" t="s">
        <v>927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592</v>
      </c>
    </row>
    <row r="74" spans="1:8" hidden="1">
      <c r="A74" s="6" t="s">
        <v>188</v>
      </c>
      <c r="B74" s="55" t="s">
        <v>928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593</v>
      </c>
    </row>
    <row r="75" spans="1:8" hidden="1">
      <c r="A75" s="6" t="s">
        <v>188</v>
      </c>
      <c r="B75" s="55" t="s">
        <v>929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594</v>
      </c>
    </row>
    <row r="76" spans="1:8" hidden="1">
      <c r="A76" s="6" t="s">
        <v>188</v>
      </c>
      <c r="B76" s="55" t="s">
        <v>595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596</v>
      </c>
    </row>
    <row r="77" spans="1:8" hidden="1">
      <c r="A77" s="6" t="s">
        <v>188</v>
      </c>
      <c r="B77" s="55" t="s">
        <v>597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598</v>
      </c>
    </row>
    <row r="78" spans="1:8" hidden="1">
      <c r="A78" s="6" t="s">
        <v>188</v>
      </c>
      <c r="B78" s="55" t="s">
        <v>599</v>
      </c>
      <c r="C78" s="55">
        <f t="shared" si="1"/>
        <v>2</v>
      </c>
      <c r="D78" s="6" t="s">
        <v>189</v>
      </c>
      <c r="E78" s="6" t="s">
        <v>312</v>
      </c>
      <c r="F78" s="6">
        <v>1</v>
      </c>
      <c r="G78" s="6">
        <v>5</v>
      </c>
      <c r="H78" s="6" t="s">
        <v>600</v>
      </c>
    </row>
    <row r="79" spans="1:8" hidden="1">
      <c r="A79" s="6" t="s">
        <v>188</v>
      </c>
      <c r="B79" s="55" t="s">
        <v>601</v>
      </c>
      <c r="C79" s="55">
        <f t="shared" si="1"/>
        <v>2</v>
      </c>
      <c r="D79" s="6" t="s">
        <v>189</v>
      </c>
      <c r="E79" s="6" t="s">
        <v>336</v>
      </c>
      <c r="F79" s="6">
        <v>1</v>
      </c>
      <c r="G79" s="6">
        <v>5</v>
      </c>
      <c r="H79" s="6" t="s">
        <v>602</v>
      </c>
    </row>
    <row r="80" spans="1:8" hidden="1">
      <c r="A80" s="6" t="s">
        <v>188</v>
      </c>
      <c r="B80" s="55" t="s">
        <v>603</v>
      </c>
      <c r="C80" s="55">
        <f t="shared" si="1"/>
        <v>2</v>
      </c>
      <c r="D80" s="6" t="s">
        <v>189</v>
      </c>
      <c r="E80" s="6" t="s">
        <v>590</v>
      </c>
      <c r="F80" s="6">
        <v>1</v>
      </c>
      <c r="G80" s="6">
        <v>7</v>
      </c>
      <c r="H80" s="6" t="s">
        <v>604</v>
      </c>
    </row>
    <row r="81" spans="1:8" hidden="1">
      <c r="A81" s="6" t="s">
        <v>188</v>
      </c>
      <c r="B81" s="55" t="s">
        <v>605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606</v>
      </c>
    </row>
    <row r="82" spans="1:8" hidden="1">
      <c r="A82" s="6" t="s">
        <v>188</v>
      </c>
      <c r="B82" s="55" t="s">
        <v>930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607</v>
      </c>
    </row>
    <row r="83" spans="1:8" hidden="1">
      <c r="A83" s="6" t="s">
        <v>188</v>
      </c>
      <c r="B83" s="55" t="s">
        <v>931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608</v>
      </c>
    </row>
    <row r="84" spans="1:8" hidden="1">
      <c r="A84" s="6" t="s">
        <v>188</v>
      </c>
      <c r="B84" s="55" t="s">
        <v>932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609</v>
      </c>
    </row>
    <row r="85" spans="1:8" hidden="1">
      <c r="A85" s="6" t="s">
        <v>188</v>
      </c>
      <c r="B85" s="55" t="s">
        <v>933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610</v>
      </c>
    </row>
    <row r="86" spans="1:8" hidden="1">
      <c r="A86" s="6" t="s">
        <v>188</v>
      </c>
      <c r="B86" s="55" t="s">
        <v>934</v>
      </c>
      <c r="C86" s="55">
        <f t="shared" si="1"/>
        <v>2</v>
      </c>
      <c r="D86" s="6" t="s">
        <v>190</v>
      </c>
      <c r="E86" s="6" t="s">
        <v>312</v>
      </c>
      <c r="F86" s="6">
        <v>1</v>
      </c>
      <c r="G86" s="6">
        <v>5</v>
      </c>
      <c r="H86" s="6" t="s">
        <v>611</v>
      </c>
    </row>
    <row r="87" spans="1:8" hidden="1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336</v>
      </c>
      <c r="F87" s="6">
        <v>1</v>
      </c>
      <c r="G87" s="6">
        <v>5</v>
      </c>
      <c r="H87" s="6" t="s">
        <v>612</v>
      </c>
    </row>
    <row r="88" spans="1:8" hidden="1">
      <c r="A88" s="6" t="s">
        <v>188</v>
      </c>
      <c r="B88" s="55" t="s">
        <v>935</v>
      </c>
      <c r="C88" s="55">
        <f t="shared" si="1"/>
        <v>2</v>
      </c>
      <c r="D88" s="6" t="s">
        <v>190</v>
      </c>
      <c r="E88" s="6" t="s">
        <v>590</v>
      </c>
      <c r="F88" s="6">
        <v>1</v>
      </c>
      <c r="G88" s="6">
        <v>7</v>
      </c>
      <c r="H88" s="6" t="s">
        <v>613</v>
      </c>
    </row>
    <row r="89" spans="1:8" hidden="1">
      <c r="A89" s="6" t="s">
        <v>188</v>
      </c>
      <c r="B89" s="55" t="s">
        <v>936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614</v>
      </c>
    </row>
    <row r="90" spans="1:8" hidden="1">
      <c r="A90" s="6" t="s">
        <v>188</v>
      </c>
      <c r="B90" s="55" t="s">
        <v>937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615</v>
      </c>
    </row>
    <row r="91" spans="1:8" hidden="1">
      <c r="A91" s="6" t="s">
        <v>188</v>
      </c>
      <c r="B91" s="55" t="s">
        <v>938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616</v>
      </c>
    </row>
    <row r="92" spans="1:8" hidden="1">
      <c r="A92" s="6" t="s">
        <v>188</v>
      </c>
      <c r="B92" s="55" t="s">
        <v>367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617</v>
      </c>
    </row>
    <row r="93" spans="1:8" hidden="1">
      <c r="A93" s="6" t="s">
        <v>188</v>
      </c>
      <c r="B93" s="55" t="s">
        <v>618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619</v>
      </c>
    </row>
    <row r="94" spans="1:8" hidden="1">
      <c r="A94" s="6" t="s">
        <v>188</v>
      </c>
      <c r="B94" s="55" t="s">
        <v>620</v>
      </c>
      <c r="C94" s="55">
        <f t="shared" si="1"/>
        <v>2</v>
      </c>
      <c r="D94" s="6" t="s">
        <v>272</v>
      </c>
      <c r="E94" s="6" t="s">
        <v>312</v>
      </c>
      <c r="F94" s="6">
        <v>1</v>
      </c>
      <c r="G94" s="6">
        <v>5</v>
      </c>
      <c r="H94" s="6" t="s">
        <v>621</v>
      </c>
    </row>
    <row r="95" spans="1:8" hidden="1">
      <c r="A95" s="6" t="s">
        <v>188</v>
      </c>
      <c r="B95" s="55" t="s">
        <v>622</v>
      </c>
      <c r="C95" s="55">
        <f t="shared" si="1"/>
        <v>2</v>
      </c>
      <c r="D95" s="6" t="s">
        <v>272</v>
      </c>
      <c r="E95" s="6" t="s">
        <v>336</v>
      </c>
      <c r="F95" s="6">
        <v>1</v>
      </c>
      <c r="G95" s="6">
        <v>5</v>
      </c>
      <c r="H95" s="6" t="s">
        <v>623</v>
      </c>
    </row>
    <row r="96" spans="1:8" hidden="1">
      <c r="A96" s="6" t="s">
        <v>188</v>
      </c>
      <c r="B96" s="55" t="s">
        <v>624</v>
      </c>
      <c r="C96" s="55">
        <f t="shared" si="1"/>
        <v>2</v>
      </c>
      <c r="D96" s="6" t="s">
        <v>272</v>
      </c>
      <c r="E96" s="6" t="s">
        <v>590</v>
      </c>
      <c r="F96" s="6">
        <v>1</v>
      </c>
      <c r="G96" s="6">
        <v>7</v>
      </c>
      <c r="H96" s="6" t="s">
        <v>625</v>
      </c>
    </row>
    <row r="97" spans="1:8" hidden="1">
      <c r="A97" s="6" t="s">
        <v>188</v>
      </c>
      <c r="B97" s="55" t="s">
        <v>626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627</v>
      </c>
    </row>
    <row r="98" spans="1:8" hidden="1">
      <c r="A98" s="6" t="s">
        <v>188</v>
      </c>
      <c r="B98" s="55" t="s">
        <v>939</v>
      </c>
      <c r="C98" s="55">
        <f t="shared" ref="C98:C129" si="2">COUNTA(D98:E98)</f>
        <v>2</v>
      </c>
      <c r="D98" s="6" t="s">
        <v>312</v>
      </c>
      <c r="E98" s="6" t="s">
        <v>151</v>
      </c>
      <c r="F98" s="6">
        <v>1</v>
      </c>
      <c r="G98" s="6">
        <v>5</v>
      </c>
      <c r="H98" s="6" t="s">
        <v>628</v>
      </c>
    </row>
    <row r="99" spans="1:8" hidden="1">
      <c r="A99" s="6" t="s">
        <v>188</v>
      </c>
      <c r="B99" s="55" t="s">
        <v>940</v>
      </c>
      <c r="C99" s="55">
        <f t="shared" si="2"/>
        <v>2</v>
      </c>
      <c r="D99" s="6" t="s">
        <v>312</v>
      </c>
      <c r="E99" s="6" t="s">
        <v>189</v>
      </c>
      <c r="F99" s="6">
        <v>1</v>
      </c>
      <c r="G99" s="6">
        <v>5</v>
      </c>
      <c r="H99" s="6" t="s">
        <v>629</v>
      </c>
    </row>
    <row r="100" spans="1:8" hidden="1">
      <c r="A100" s="6" t="s">
        <v>188</v>
      </c>
      <c r="B100" s="55" t="s">
        <v>941</v>
      </c>
      <c r="C100" s="55">
        <f t="shared" si="2"/>
        <v>2</v>
      </c>
      <c r="D100" s="6" t="s">
        <v>312</v>
      </c>
      <c r="E100" s="6" t="s">
        <v>190</v>
      </c>
      <c r="F100" s="6">
        <v>1</v>
      </c>
      <c r="G100" s="6">
        <v>5</v>
      </c>
      <c r="H100" s="6" t="s">
        <v>630</v>
      </c>
    </row>
    <row r="101" spans="1:8" hidden="1">
      <c r="A101" s="6" t="s">
        <v>188</v>
      </c>
      <c r="B101" s="55" t="s">
        <v>942</v>
      </c>
      <c r="C101" s="55">
        <f t="shared" si="2"/>
        <v>2</v>
      </c>
      <c r="D101" s="6" t="s">
        <v>312</v>
      </c>
      <c r="E101" s="6" t="s">
        <v>272</v>
      </c>
      <c r="F101" s="6">
        <v>1</v>
      </c>
      <c r="G101" s="6">
        <v>5</v>
      </c>
      <c r="H101" s="6" t="s">
        <v>631</v>
      </c>
    </row>
    <row r="102" spans="1:8" hidden="1">
      <c r="A102" s="6" t="s">
        <v>188</v>
      </c>
      <c r="B102" s="55" t="s">
        <v>943</v>
      </c>
      <c r="C102" s="55">
        <f t="shared" si="2"/>
        <v>2</v>
      </c>
      <c r="D102" s="6" t="s">
        <v>312</v>
      </c>
      <c r="E102" s="6" t="s">
        <v>312</v>
      </c>
      <c r="F102" s="6">
        <v>1</v>
      </c>
      <c r="G102" s="6">
        <v>5</v>
      </c>
      <c r="H102" s="6" t="s">
        <v>632</v>
      </c>
    </row>
    <row r="103" spans="1:8" hidden="1">
      <c r="A103" s="6" t="s">
        <v>188</v>
      </c>
      <c r="B103" s="55" t="s">
        <v>944</v>
      </c>
      <c r="C103" s="55">
        <f t="shared" si="2"/>
        <v>2</v>
      </c>
      <c r="D103" s="6" t="s">
        <v>312</v>
      </c>
      <c r="E103" s="6" t="s">
        <v>336</v>
      </c>
      <c r="F103" s="6">
        <v>1</v>
      </c>
      <c r="G103" s="6">
        <v>5</v>
      </c>
      <c r="H103" s="6" t="s">
        <v>633</v>
      </c>
    </row>
    <row r="104" spans="1:8" hidden="1">
      <c r="A104" s="6" t="s">
        <v>188</v>
      </c>
      <c r="B104" s="55" t="s">
        <v>945</v>
      </c>
      <c r="C104" s="55">
        <f t="shared" si="2"/>
        <v>2</v>
      </c>
      <c r="D104" s="6" t="s">
        <v>312</v>
      </c>
      <c r="E104" s="6" t="s">
        <v>590</v>
      </c>
      <c r="F104" s="6">
        <v>1</v>
      </c>
      <c r="G104" s="6">
        <v>7</v>
      </c>
      <c r="H104" s="6" t="s">
        <v>634</v>
      </c>
    </row>
    <row r="105" spans="1:8" hidden="1">
      <c r="A105" s="6" t="s">
        <v>188</v>
      </c>
      <c r="B105" s="55" t="s">
        <v>946</v>
      </c>
      <c r="C105" s="55">
        <f t="shared" si="2"/>
        <v>2</v>
      </c>
      <c r="D105" s="6" t="s">
        <v>312</v>
      </c>
      <c r="E105" s="6" t="s">
        <v>153</v>
      </c>
      <c r="F105" s="6">
        <v>1</v>
      </c>
      <c r="G105" s="6">
        <v>5</v>
      </c>
      <c r="H105" s="6" t="s">
        <v>635</v>
      </c>
    </row>
    <row r="106" spans="1:8" hidden="1">
      <c r="A106" s="6" t="s">
        <v>188</v>
      </c>
      <c r="B106" s="55" t="s">
        <v>947</v>
      </c>
      <c r="C106" s="55">
        <f t="shared" si="2"/>
        <v>2</v>
      </c>
      <c r="D106" s="6" t="s">
        <v>336</v>
      </c>
      <c r="E106" s="6" t="s">
        <v>151</v>
      </c>
      <c r="F106" s="6">
        <v>1</v>
      </c>
      <c r="G106" s="6">
        <v>5</v>
      </c>
      <c r="H106" s="6" t="s">
        <v>636</v>
      </c>
    </row>
    <row r="107" spans="1:8" hidden="1">
      <c r="A107" s="6" t="s">
        <v>188</v>
      </c>
      <c r="B107" s="55" t="s">
        <v>948</v>
      </c>
      <c r="C107" s="55">
        <f t="shared" si="2"/>
        <v>2</v>
      </c>
      <c r="D107" s="6" t="s">
        <v>336</v>
      </c>
      <c r="E107" s="6" t="s">
        <v>189</v>
      </c>
      <c r="F107" s="6">
        <v>1</v>
      </c>
      <c r="G107" s="6">
        <v>5</v>
      </c>
      <c r="H107" s="6" t="s">
        <v>637</v>
      </c>
    </row>
    <row r="108" spans="1:8" hidden="1">
      <c r="A108" s="6" t="s">
        <v>188</v>
      </c>
      <c r="B108" s="55" t="s">
        <v>638</v>
      </c>
      <c r="C108" s="55">
        <f t="shared" si="2"/>
        <v>2</v>
      </c>
      <c r="D108" s="6" t="s">
        <v>336</v>
      </c>
      <c r="E108" s="6" t="s">
        <v>190</v>
      </c>
      <c r="F108" s="6">
        <v>1</v>
      </c>
      <c r="G108" s="6">
        <v>5</v>
      </c>
      <c r="H108" s="6" t="s">
        <v>639</v>
      </c>
    </row>
    <row r="109" spans="1:8" hidden="1">
      <c r="A109" s="6" t="s">
        <v>188</v>
      </c>
      <c r="B109" s="55" t="s">
        <v>640</v>
      </c>
      <c r="C109" s="55">
        <f t="shared" si="2"/>
        <v>2</v>
      </c>
      <c r="D109" s="6" t="s">
        <v>336</v>
      </c>
      <c r="E109" s="6" t="s">
        <v>272</v>
      </c>
      <c r="F109" s="6">
        <v>1</v>
      </c>
      <c r="G109" s="6">
        <v>5</v>
      </c>
      <c r="H109" s="6" t="s">
        <v>641</v>
      </c>
    </row>
    <row r="110" spans="1:8" hidden="1">
      <c r="A110" s="6" t="s">
        <v>188</v>
      </c>
      <c r="B110" s="55" t="s">
        <v>642</v>
      </c>
      <c r="C110" s="55">
        <f t="shared" si="2"/>
        <v>2</v>
      </c>
      <c r="D110" s="6" t="s">
        <v>336</v>
      </c>
      <c r="E110" s="6" t="s">
        <v>312</v>
      </c>
      <c r="F110" s="6">
        <v>1</v>
      </c>
      <c r="G110" s="6">
        <v>5</v>
      </c>
      <c r="H110" s="6" t="s">
        <v>643</v>
      </c>
    </row>
    <row r="111" spans="1:8" hidden="1">
      <c r="A111" s="6" t="s">
        <v>188</v>
      </c>
      <c r="B111" s="55" t="s">
        <v>644</v>
      </c>
      <c r="C111" s="55">
        <f t="shared" si="2"/>
        <v>2</v>
      </c>
      <c r="D111" s="6" t="s">
        <v>336</v>
      </c>
      <c r="E111" s="6" t="s">
        <v>336</v>
      </c>
      <c r="F111" s="6">
        <v>1</v>
      </c>
      <c r="G111" s="6">
        <v>5</v>
      </c>
      <c r="H111" s="6" t="s">
        <v>645</v>
      </c>
    </row>
    <row r="112" spans="1:8" hidden="1">
      <c r="A112" s="6" t="s">
        <v>188</v>
      </c>
      <c r="B112" s="55" t="s">
        <v>646</v>
      </c>
      <c r="C112" s="55">
        <f t="shared" si="2"/>
        <v>2</v>
      </c>
      <c r="D112" s="6" t="s">
        <v>336</v>
      </c>
      <c r="E112" s="6" t="s">
        <v>590</v>
      </c>
      <c r="F112" s="6">
        <v>1</v>
      </c>
      <c r="G112" s="6">
        <v>7</v>
      </c>
      <c r="H112" s="6" t="s">
        <v>647</v>
      </c>
    </row>
    <row r="113" spans="1:8" hidden="1">
      <c r="A113" s="6" t="s">
        <v>188</v>
      </c>
      <c r="B113" s="55" t="s">
        <v>648</v>
      </c>
      <c r="C113" s="55">
        <f t="shared" si="2"/>
        <v>2</v>
      </c>
      <c r="D113" s="6" t="s">
        <v>336</v>
      </c>
      <c r="E113" s="6" t="s">
        <v>153</v>
      </c>
      <c r="F113" s="6">
        <v>1</v>
      </c>
      <c r="G113" s="6">
        <v>5</v>
      </c>
      <c r="H113" s="6" t="s">
        <v>649</v>
      </c>
    </row>
    <row r="114" spans="1:8" hidden="1">
      <c r="A114" s="6" t="s">
        <v>188</v>
      </c>
      <c r="B114" s="55" t="s">
        <v>949</v>
      </c>
      <c r="C114" s="55">
        <f t="shared" si="2"/>
        <v>2</v>
      </c>
      <c r="D114" s="6" t="s">
        <v>590</v>
      </c>
      <c r="E114" s="6" t="s">
        <v>151</v>
      </c>
      <c r="F114" s="6">
        <v>1</v>
      </c>
      <c r="G114" s="6">
        <v>7</v>
      </c>
      <c r="H114" s="6" t="s">
        <v>650</v>
      </c>
    </row>
    <row r="115" spans="1:8" hidden="1">
      <c r="A115" s="6" t="s">
        <v>188</v>
      </c>
      <c r="B115" s="55" t="s">
        <v>950</v>
      </c>
      <c r="C115" s="55">
        <f t="shared" si="2"/>
        <v>2</v>
      </c>
      <c r="D115" s="6" t="s">
        <v>590</v>
      </c>
      <c r="E115" s="6" t="s">
        <v>189</v>
      </c>
      <c r="F115" s="6">
        <v>1</v>
      </c>
      <c r="G115" s="6">
        <v>7</v>
      </c>
      <c r="H115" s="6" t="s">
        <v>651</v>
      </c>
    </row>
    <row r="116" spans="1:8" hidden="1">
      <c r="A116" s="6" t="s">
        <v>188</v>
      </c>
      <c r="B116" s="55" t="s">
        <v>951</v>
      </c>
      <c r="C116" s="55">
        <f t="shared" si="2"/>
        <v>2</v>
      </c>
      <c r="D116" s="6" t="s">
        <v>590</v>
      </c>
      <c r="E116" s="6" t="s">
        <v>190</v>
      </c>
      <c r="F116" s="6">
        <v>1</v>
      </c>
      <c r="G116" s="6">
        <v>7</v>
      </c>
      <c r="H116" s="6" t="s">
        <v>652</v>
      </c>
    </row>
    <row r="117" spans="1:8" hidden="1">
      <c r="A117" s="6" t="s">
        <v>188</v>
      </c>
      <c r="B117" s="55" t="s">
        <v>952</v>
      </c>
      <c r="C117" s="55">
        <f t="shared" si="2"/>
        <v>2</v>
      </c>
      <c r="D117" s="6" t="s">
        <v>590</v>
      </c>
      <c r="E117" s="6" t="s">
        <v>272</v>
      </c>
      <c r="F117" s="6">
        <v>1</v>
      </c>
      <c r="G117" s="6">
        <v>7</v>
      </c>
      <c r="H117" s="6" t="s">
        <v>653</v>
      </c>
    </row>
    <row r="118" spans="1:8" hidden="1">
      <c r="A118" s="6" t="s">
        <v>188</v>
      </c>
      <c r="B118" s="55" t="s">
        <v>953</v>
      </c>
      <c r="C118" s="55">
        <f t="shared" si="2"/>
        <v>2</v>
      </c>
      <c r="D118" s="6" t="s">
        <v>590</v>
      </c>
      <c r="E118" s="6" t="s">
        <v>312</v>
      </c>
      <c r="F118" s="6">
        <v>1</v>
      </c>
      <c r="G118" s="6">
        <v>7</v>
      </c>
      <c r="H118" s="6" t="s">
        <v>654</v>
      </c>
    </row>
    <row r="119" spans="1:8" hidden="1">
      <c r="A119" s="6" t="s">
        <v>188</v>
      </c>
      <c r="B119" s="55" t="s">
        <v>954</v>
      </c>
      <c r="C119" s="55">
        <f t="shared" si="2"/>
        <v>2</v>
      </c>
      <c r="D119" s="6" t="s">
        <v>590</v>
      </c>
      <c r="E119" s="6" t="s">
        <v>336</v>
      </c>
      <c r="F119" s="6">
        <v>1</v>
      </c>
      <c r="G119" s="6">
        <v>7</v>
      </c>
      <c r="H119" s="6" t="s">
        <v>655</v>
      </c>
    </row>
    <row r="120" spans="1:8" hidden="1">
      <c r="A120" s="6" t="s">
        <v>108</v>
      </c>
      <c r="B120" s="55" t="s">
        <v>955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656</v>
      </c>
    </row>
    <row r="121" spans="1:8" hidden="1">
      <c r="A121" s="6" t="s">
        <v>188</v>
      </c>
      <c r="B121" s="55" t="s">
        <v>956</v>
      </c>
      <c r="C121" s="55">
        <f t="shared" si="2"/>
        <v>2</v>
      </c>
      <c r="D121" s="6" t="s">
        <v>590</v>
      </c>
      <c r="E121" s="6" t="s">
        <v>153</v>
      </c>
      <c r="F121" s="6">
        <v>1</v>
      </c>
      <c r="G121" s="6">
        <v>7</v>
      </c>
      <c r="H121" s="6" t="s">
        <v>657</v>
      </c>
    </row>
    <row r="122" spans="1:8" hidden="1">
      <c r="A122" s="6" t="s">
        <v>188</v>
      </c>
      <c r="B122" s="55" t="s">
        <v>957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658</v>
      </c>
    </row>
    <row r="123" spans="1:8" hidden="1">
      <c r="A123" s="6" t="s">
        <v>188</v>
      </c>
      <c r="B123" s="55" t="s">
        <v>958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659</v>
      </c>
    </row>
    <row r="124" spans="1:8" hidden="1">
      <c r="A124" s="6" t="s">
        <v>188</v>
      </c>
      <c r="B124" s="55" t="s">
        <v>660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661</v>
      </c>
    </row>
    <row r="125" spans="1:8" hidden="1">
      <c r="A125" s="6" t="s">
        <v>188</v>
      </c>
      <c r="B125" s="55" t="s">
        <v>662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663</v>
      </c>
    </row>
    <row r="126" spans="1:8" hidden="1">
      <c r="A126" s="6" t="s">
        <v>188</v>
      </c>
      <c r="B126" s="55" t="s">
        <v>664</v>
      </c>
      <c r="C126" s="55">
        <f t="shared" si="2"/>
        <v>2</v>
      </c>
      <c r="D126" s="6" t="s">
        <v>153</v>
      </c>
      <c r="E126" s="6" t="s">
        <v>312</v>
      </c>
      <c r="F126" s="6">
        <v>1</v>
      </c>
      <c r="G126" s="6">
        <v>5</v>
      </c>
      <c r="H126" s="6" t="s">
        <v>665</v>
      </c>
    </row>
    <row r="127" spans="1:8" hidden="1">
      <c r="A127" s="6" t="s">
        <v>188</v>
      </c>
      <c r="B127" s="55" t="s">
        <v>666</v>
      </c>
      <c r="C127" s="55">
        <f t="shared" si="2"/>
        <v>2</v>
      </c>
      <c r="D127" s="6" t="s">
        <v>153</v>
      </c>
      <c r="E127" s="6" t="s">
        <v>336</v>
      </c>
      <c r="F127" s="6">
        <v>1</v>
      </c>
      <c r="G127" s="6">
        <v>5</v>
      </c>
      <c r="H127" s="6" t="s">
        <v>667</v>
      </c>
    </row>
    <row r="128" spans="1:8" hidden="1">
      <c r="A128" s="6" t="s">
        <v>188</v>
      </c>
      <c r="B128" s="55" t="s">
        <v>342</v>
      </c>
      <c r="C128" s="55">
        <f t="shared" si="2"/>
        <v>2</v>
      </c>
      <c r="D128" s="6" t="s">
        <v>153</v>
      </c>
      <c r="E128" s="6" t="s">
        <v>590</v>
      </c>
      <c r="F128" s="6">
        <v>1</v>
      </c>
      <c r="G128" s="6">
        <v>7</v>
      </c>
      <c r="H128" s="6" t="s">
        <v>668</v>
      </c>
    </row>
    <row r="129" spans="1:8" hidden="1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669</v>
      </c>
    </row>
    <row r="130" spans="1:8" hidden="1">
      <c r="A130" s="6" t="s">
        <v>401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670</v>
      </c>
    </row>
    <row r="131" spans="1:8" hidden="1">
      <c r="A131" s="6" t="s">
        <v>401</v>
      </c>
      <c r="B131" s="55" t="s">
        <v>462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671</v>
      </c>
    </row>
    <row r="132" spans="1:8" hidden="1">
      <c r="A132" s="6" t="s">
        <v>401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672</v>
      </c>
    </row>
    <row r="133" spans="1:8" hidden="1">
      <c r="A133" s="6" t="s">
        <v>401</v>
      </c>
      <c r="B133" s="55" t="s">
        <v>959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673</v>
      </c>
    </row>
    <row r="134" spans="1:8" hidden="1">
      <c r="A134" s="6" t="s">
        <v>401</v>
      </c>
      <c r="B134" s="55" t="s">
        <v>960</v>
      </c>
      <c r="C134" s="55">
        <f t="shared" si="4"/>
        <v>1</v>
      </c>
      <c r="D134" s="6" t="s">
        <v>312</v>
      </c>
      <c r="E134" s="6"/>
      <c r="F134" s="6">
        <v>1</v>
      </c>
      <c r="G134" s="6">
        <v>4</v>
      </c>
      <c r="H134" s="6" t="s">
        <v>674</v>
      </c>
    </row>
    <row r="135" spans="1:8" hidden="1">
      <c r="A135" s="6" t="s">
        <v>401</v>
      </c>
      <c r="B135" s="55" t="s">
        <v>961</v>
      </c>
      <c r="C135" s="55">
        <f t="shared" si="4"/>
        <v>1</v>
      </c>
      <c r="D135" s="6" t="s">
        <v>336</v>
      </c>
      <c r="E135" s="6"/>
      <c r="F135" s="6">
        <v>1</v>
      </c>
      <c r="G135" s="6">
        <v>4</v>
      </c>
      <c r="H135" s="6" t="s">
        <v>675</v>
      </c>
    </row>
    <row r="136" spans="1:8" hidden="1">
      <c r="A136" s="6" t="s">
        <v>401</v>
      </c>
      <c r="B136" s="55" t="s">
        <v>962</v>
      </c>
      <c r="C136" s="55">
        <f t="shared" si="4"/>
        <v>1</v>
      </c>
      <c r="D136" s="6" t="s">
        <v>590</v>
      </c>
      <c r="E136" s="6"/>
      <c r="F136" s="6">
        <v>1</v>
      </c>
      <c r="G136" s="6">
        <v>7</v>
      </c>
      <c r="H136" s="6" t="s">
        <v>676</v>
      </c>
    </row>
    <row r="137" spans="1:8" hidden="1">
      <c r="A137" s="6" t="s">
        <v>401</v>
      </c>
      <c r="B137" s="55" t="s">
        <v>963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677</v>
      </c>
    </row>
    <row r="138" spans="1:8" hidden="1">
      <c r="A138" s="6" t="s">
        <v>438</v>
      </c>
      <c r="B138" s="55" t="s">
        <v>964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678</v>
      </c>
    </row>
    <row r="139" spans="1:8" hidden="1">
      <c r="A139" s="6" t="s">
        <v>438</v>
      </c>
      <c r="B139" s="55" t="s">
        <v>965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679</v>
      </c>
    </row>
    <row r="140" spans="1:8" hidden="1">
      <c r="A140" s="6" t="s">
        <v>438</v>
      </c>
      <c r="B140" s="55" t="s">
        <v>680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681</v>
      </c>
    </row>
    <row r="141" spans="1:8" hidden="1">
      <c r="A141" s="6" t="s">
        <v>438</v>
      </c>
      <c r="B141" s="55" t="s">
        <v>682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683</v>
      </c>
    </row>
    <row r="142" spans="1:8" hidden="1">
      <c r="A142" s="6" t="s">
        <v>438</v>
      </c>
      <c r="B142" s="55" t="s">
        <v>684</v>
      </c>
      <c r="C142" s="55">
        <f t="shared" si="4"/>
        <v>1</v>
      </c>
      <c r="D142" s="6" t="s">
        <v>312</v>
      </c>
      <c r="E142" s="6"/>
      <c r="F142" s="6">
        <v>1</v>
      </c>
      <c r="G142" s="6">
        <v>4</v>
      </c>
      <c r="H142" s="6" t="s">
        <v>685</v>
      </c>
    </row>
    <row r="143" spans="1:8" hidden="1">
      <c r="A143" s="6" t="s">
        <v>438</v>
      </c>
      <c r="B143" s="55" t="s">
        <v>686</v>
      </c>
      <c r="C143" s="55">
        <f t="shared" si="4"/>
        <v>1</v>
      </c>
      <c r="D143" s="6" t="s">
        <v>336</v>
      </c>
      <c r="E143" s="6"/>
      <c r="F143" s="6">
        <v>1</v>
      </c>
      <c r="G143" s="6">
        <v>4</v>
      </c>
      <c r="H143" s="6" t="s">
        <v>687</v>
      </c>
    </row>
    <row r="144" spans="1:8" hidden="1">
      <c r="A144" s="6" t="s">
        <v>438</v>
      </c>
      <c r="B144" s="55" t="s">
        <v>688</v>
      </c>
      <c r="C144" s="55">
        <f t="shared" si="4"/>
        <v>1</v>
      </c>
      <c r="D144" s="6" t="s">
        <v>590</v>
      </c>
      <c r="E144" s="6"/>
      <c r="F144" s="6">
        <v>1</v>
      </c>
      <c r="G144" s="6">
        <v>7</v>
      </c>
      <c r="H144" s="6" t="s">
        <v>689</v>
      </c>
    </row>
    <row r="145" spans="1:8" hidden="1">
      <c r="A145" s="6" t="s">
        <v>438</v>
      </c>
      <c r="B145" s="55" t="s">
        <v>690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691</v>
      </c>
    </row>
    <row r="146" spans="1:8" hidden="1">
      <c r="A146" s="6" t="s">
        <v>443</v>
      </c>
      <c r="B146" s="55" t="s">
        <v>966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692</v>
      </c>
    </row>
    <row r="147" spans="1:8" hidden="1">
      <c r="A147" s="6" t="s">
        <v>443</v>
      </c>
      <c r="B147" s="55" t="s">
        <v>967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693</v>
      </c>
    </row>
    <row r="148" spans="1:8" hidden="1">
      <c r="A148" s="6" t="s">
        <v>443</v>
      </c>
      <c r="B148" s="55" t="s">
        <v>968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694</v>
      </c>
    </row>
    <row r="149" spans="1:8" hidden="1">
      <c r="A149" s="6" t="s">
        <v>443</v>
      </c>
      <c r="B149" s="55" t="s">
        <v>969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695</v>
      </c>
    </row>
    <row r="150" spans="1:8" hidden="1">
      <c r="A150" s="6" t="s">
        <v>443</v>
      </c>
      <c r="B150" s="55" t="s">
        <v>970</v>
      </c>
      <c r="C150" s="55">
        <f t="shared" si="4"/>
        <v>1</v>
      </c>
      <c r="D150" s="6" t="s">
        <v>312</v>
      </c>
      <c r="E150" s="6"/>
      <c r="F150" s="6">
        <v>1</v>
      </c>
      <c r="G150" s="6">
        <v>4</v>
      </c>
      <c r="H150" s="6" t="s">
        <v>696</v>
      </c>
    </row>
    <row r="151" spans="1:8" hidden="1">
      <c r="A151" s="6" t="s">
        <v>443</v>
      </c>
      <c r="B151" s="55" t="s">
        <v>971</v>
      </c>
      <c r="C151" s="55">
        <f t="shared" si="4"/>
        <v>1</v>
      </c>
      <c r="D151" s="6" t="s">
        <v>336</v>
      </c>
      <c r="E151" s="6"/>
      <c r="F151" s="6">
        <v>1</v>
      </c>
      <c r="G151" s="6">
        <v>4</v>
      </c>
      <c r="H151" s="6" t="s">
        <v>697</v>
      </c>
    </row>
    <row r="152" spans="1:8" hidden="1">
      <c r="A152" s="6" t="s">
        <v>443</v>
      </c>
      <c r="B152" s="55" t="s">
        <v>972</v>
      </c>
      <c r="C152" s="55">
        <f t="shared" si="4"/>
        <v>1</v>
      </c>
      <c r="D152" s="6" t="s">
        <v>590</v>
      </c>
      <c r="E152" s="6"/>
      <c r="F152" s="6">
        <v>1</v>
      </c>
      <c r="G152" s="6">
        <v>7</v>
      </c>
      <c r="H152" s="6" t="s">
        <v>698</v>
      </c>
    </row>
    <row r="153" spans="1:8" hidden="1">
      <c r="A153" s="6" t="s">
        <v>443</v>
      </c>
      <c r="B153" s="55" t="s">
        <v>973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699</v>
      </c>
    </row>
    <row r="154" spans="1:8" hidden="1">
      <c r="A154" s="6" t="s">
        <v>456</v>
      </c>
      <c r="B154" s="55" t="s">
        <v>974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700</v>
      </c>
    </row>
    <row r="155" spans="1:8" hidden="1">
      <c r="A155" s="6" t="s">
        <v>456</v>
      </c>
      <c r="B155" s="55" t="s">
        <v>370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701</v>
      </c>
    </row>
    <row r="156" spans="1:8" hidden="1">
      <c r="A156" s="6" t="s">
        <v>456</v>
      </c>
      <c r="B156" s="55" t="s">
        <v>702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703</v>
      </c>
    </row>
    <row r="157" spans="1:8" hidden="1">
      <c r="A157" s="6" t="s">
        <v>456</v>
      </c>
      <c r="B157" s="55" t="s">
        <v>704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705</v>
      </c>
    </row>
    <row r="158" spans="1:8" hidden="1">
      <c r="A158" s="6" t="s">
        <v>456</v>
      </c>
      <c r="B158" s="55" t="s">
        <v>706</v>
      </c>
      <c r="C158" s="55">
        <f t="shared" si="4"/>
        <v>1</v>
      </c>
      <c r="D158" s="6" t="s">
        <v>312</v>
      </c>
      <c r="E158" s="6"/>
      <c r="F158" s="6">
        <v>1</v>
      </c>
      <c r="G158" s="6">
        <v>4</v>
      </c>
      <c r="H158" s="6" t="s">
        <v>707</v>
      </c>
    </row>
    <row r="159" spans="1:8" hidden="1">
      <c r="A159" s="6" t="s">
        <v>456</v>
      </c>
      <c r="B159" s="55" t="s">
        <v>708</v>
      </c>
      <c r="C159" s="55">
        <f t="shared" si="4"/>
        <v>1</v>
      </c>
      <c r="D159" s="6" t="s">
        <v>336</v>
      </c>
      <c r="E159" s="6"/>
      <c r="F159" s="6">
        <v>1</v>
      </c>
      <c r="G159" s="6">
        <v>4</v>
      </c>
      <c r="H159" s="6" t="s">
        <v>709</v>
      </c>
    </row>
    <row r="160" spans="1:8" hidden="1">
      <c r="A160" s="6" t="s">
        <v>456</v>
      </c>
      <c r="B160" s="55" t="s">
        <v>710</v>
      </c>
      <c r="C160" s="55">
        <f t="shared" si="4"/>
        <v>1</v>
      </c>
      <c r="D160" s="6" t="s">
        <v>590</v>
      </c>
      <c r="E160" s="6"/>
      <c r="F160" s="6">
        <v>1</v>
      </c>
      <c r="G160" s="6">
        <v>7</v>
      </c>
      <c r="H160" s="6" t="s">
        <v>711</v>
      </c>
    </row>
    <row r="161" spans="1:8" hidden="1">
      <c r="A161" s="6" t="s">
        <v>456</v>
      </c>
      <c r="B161" s="55" t="s">
        <v>712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713</v>
      </c>
    </row>
    <row r="162" spans="1:8" hidden="1">
      <c r="A162" s="6" t="s">
        <v>410</v>
      </c>
      <c r="B162" s="55" t="s">
        <v>714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715</v>
      </c>
    </row>
    <row r="163" spans="1:8" hidden="1">
      <c r="A163" s="6" t="s">
        <v>410</v>
      </c>
      <c r="B163" s="55" t="s">
        <v>716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717</v>
      </c>
    </row>
    <row r="164" spans="1:8" hidden="1">
      <c r="A164" s="6" t="s">
        <v>410</v>
      </c>
      <c r="B164" s="55" t="s">
        <v>718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719</v>
      </c>
    </row>
    <row r="165" spans="1:8" hidden="1">
      <c r="A165" s="6" t="s">
        <v>410</v>
      </c>
      <c r="B165" s="55" t="s">
        <v>720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721</v>
      </c>
    </row>
    <row r="166" spans="1:8" hidden="1">
      <c r="A166" s="6" t="s">
        <v>410</v>
      </c>
      <c r="B166" s="55" t="s">
        <v>722</v>
      </c>
      <c r="C166" s="55">
        <f t="shared" si="4"/>
        <v>1</v>
      </c>
      <c r="D166" s="6" t="s">
        <v>312</v>
      </c>
      <c r="E166" s="6"/>
      <c r="F166" s="6">
        <v>1</v>
      </c>
      <c r="G166" s="6">
        <v>4</v>
      </c>
      <c r="H166" s="6" t="s">
        <v>723</v>
      </c>
    </row>
    <row r="167" spans="1:8" hidden="1">
      <c r="A167" s="6" t="s">
        <v>410</v>
      </c>
      <c r="B167" s="55" t="s">
        <v>724</v>
      </c>
      <c r="C167" s="55">
        <f t="shared" si="4"/>
        <v>1</v>
      </c>
      <c r="D167" s="6" t="s">
        <v>336</v>
      </c>
      <c r="E167" s="6"/>
      <c r="F167" s="6">
        <v>1</v>
      </c>
      <c r="G167" s="6">
        <v>4</v>
      </c>
      <c r="H167" s="6" t="s">
        <v>725</v>
      </c>
    </row>
    <row r="168" spans="1:8" hidden="1">
      <c r="A168" s="6" t="s">
        <v>410</v>
      </c>
      <c r="B168" s="55" t="s">
        <v>726</v>
      </c>
      <c r="C168" s="55">
        <f t="shared" si="4"/>
        <v>1</v>
      </c>
      <c r="D168" s="6" t="s">
        <v>590</v>
      </c>
      <c r="E168" s="6"/>
      <c r="F168" s="6">
        <v>1</v>
      </c>
      <c r="G168" s="6">
        <v>7</v>
      </c>
      <c r="H168" s="6" t="s">
        <v>727</v>
      </c>
    </row>
    <row r="169" spans="1:8" hidden="1">
      <c r="A169" s="6" t="s">
        <v>410</v>
      </c>
      <c r="B169" s="55" t="s">
        <v>728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729</v>
      </c>
    </row>
    <row r="170" spans="1:8" hidden="1">
      <c r="A170" s="6" t="s">
        <v>461</v>
      </c>
      <c r="B170" s="55" t="s">
        <v>730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731</v>
      </c>
    </row>
    <row r="171" spans="1:8" hidden="1">
      <c r="A171" s="6" t="s">
        <v>461</v>
      </c>
      <c r="B171" s="55" t="s">
        <v>732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733</v>
      </c>
    </row>
    <row r="172" spans="1:8" hidden="1">
      <c r="A172" s="6" t="s">
        <v>461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734</v>
      </c>
    </row>
    <row r="173" spans="1:8" hidden="1">
      <c r="A173" s="6" t="s">
        <v>461</v>
      </c>
      <c r="B173" s="55" t="s">
        <v>335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735</v>
      </c>
    </row>
    <row r="174" spans="1:8" hidden="1">
      <c r="A174" s="6" t="s">
        <v>461</v>
      </c>
      <c r="B174" s="55" t="s">
        <v>128</v>
      </c>
      <c r="C174" s="55">
        <f t="shared" si="4"/>
        <v>1</v>
      </c>
      <c r="D174" s="6" t="s">
        <v>312</v>
      </c>
      <c r="E174" s="6"/>
      <c r="F174" s="6">
        <v>1</v>
      </c>
      <c r="G174" s="6">
        <v>4</v>
      </c>
      <c r="H174" s="6" t="s">
        <v>736</v>
      </c>
    </row>
    <row r="175" spans="1:8" hidden="1">
      <c r="A175" s="6" t="s">
        <v>461</v>
      </c>
      <c r="B175" s="55" t="s">
        <v>737</v>
      </c>
      <c r="C175" s="55">
        <f t="shared" si="4"/>
        <v>1</v>
      </c>
      <c r="D175" s="6" t="s">
        <v>336</v>
      </c>
      <c r="E175" s="6"/>
      <c r="F175" s="6">
        <v>1</v>
      </c>
      <c r="G175" s="6">
        <v>4</v>
      </c>
      <c r="H175" s="6" t="s">
        <v>738</v>
      </c>
    </row>
    <row r="176" spans="1:8" hidden="1">
      <c r="A176" s="6" t="s">
        <v>461</v>
      </c>
      <c r="B176" s="55" t="s">
        <v>739</v>
      </c>
      <c r="C176" s="55">
        <f t="shared" si="4"/>
        <v>1</v>
      </c>
      <c r="D176" s="6" t="s">
        <v>590</v>
      </c>
      <c r="E176" s="6"/>
      <c r="F176" s="6">
        <v>1</v>
      </c>
      <c r="G176" s="6">
        <v>7</v>
      </c>
      <c r="H176" s="6" t="s">
        <v>740</v>
      </c>
    </row>
    <row r="177" spans="1:8" hidden="1">
      <c r="A177" s="6" t="s">
        <v>461</v>
      </c>
      <c r="B177" s="55" t="s">
        <v>741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742</v>
      </c>
    </row>
    <row r="178" spans="1:8" hidden="1">
      <c r="A178" s="6" t="s">
        <v>269</v>
      </c>
      <c r="B178" s="55" t="s">
        <v>508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743</v>
      </c>
    </row>
    <row r="179" spans="1:8" hidden="1">
      <c r="A179" s="6" t="s">
        <v>269</v>
      </c>
      <c r="B179" s="55" t="s">
        <v>506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744</v>
      </c>
    </row>
    <row r="180" spans="1:8" hidden="1">
      <c r="A180" s="6" t="s">
        <v>269</v>
      </c>
      <c r="B180" s="55" t="s">
        <v>505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745</v>
      </c>
    </row>
    <row r="181" spans="1:8" hidden="1">
      <c r="A181" s="6" t="s">
        <v>269</v>
      </c>
      <c r="B181" s="55" t="s">
        <v>504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746</v>
      </c>
    </row>
    <row r="182" spans="1:8" hidden="1">
      <c r="A182" s="6" t="s">
        <v>269</v>
      </c>
      <c r="B182" s="55" t="s">
        <v>503</v>
      </c>
      <c r="C182" s="55">
        <f t="shared" si="4"/>
        <v>1</v>
      </c>
      <c r="D182" s="6" t="s">
        <v>312</v>
      </c>
      <c r="E182" s="6"/>
      <c r="F182" s="6">
        <v>1</v>
      </c>
      <c r="G182" s="6">
        <v>4</v>
      </c>
      <c r="H182" s="6" t="s">
        <v>747</v>
      </c>
    </row>
    <row r="183" spans="1:8" hidden="1">
      <c r="A183" s="6" t="s">
        <v>269</v>
      </c>
      <c r="B183" s="55" t="s">
        <v>502</v>
      </c>
      <c r="C183" s="55">
        <f t="shared" si="4"/>
        <v>1</v>
      </c>
      <c r="D183" s="6" t="s">
        <v>336</v>
      </c>
      <c r="E183" s="6"/>
      <c r="F183" s="6">
        <v>1</v>
      </c>
      <c r="G183" s="6">
        <v>4</v>
      </c>
      <c r="H183" s="6" t="s">
        <v>748</v>
      </c>
    </row>
    <row r="184" spans="1:8" hidden="1">
      <c r="A184" s="6" t="s">
        <v>269</v>
      </c>
      <c r="B184" s="55" t="s">
        <v>501</v>
      </c>
      <c r="C184" s="55">
        <f t="shared" si="4"/>
        <v>1</v>
      </c>
      <c r="D184" s="6" t="s">
        <v>590</v>
      </c>
      <c r="E184" s="6"/>
      <c r="F184" s="6">
        <v>1</v>
      </c>
      <c r="G184" s="6">
        <v>7</v>
      </c>
      <c r="H184" s="6" t="s">
        <v>749</v>
      </c>
    </row>
    <row r="185" spans="1:8" hidden="1">
      <c r="A185" s="6" t="s">
        <v>269</v>
      </c>
      <c r="B185" s="55" t="s">
        <v>500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750</v>
      </c>
    </row>
    <row r="186" spans="1:8" hidden="1">
      <c r="A186" s="6" t="s">
        <v>878</v>
      </c>
      <c r="B186" s="55" t="s">
        <v>751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752</v>
      </c>
    </row>
    <row r="187" spans="1:8" hidden="1">
      <c r="A187" s="6" t="s">
        <v>878</v>
      </c>
      <c r="B187" s="55" t="s">
        <v>753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754</v>
      </c>
    </row>
    <row r="188" spans="1:8" hidden="1">
      <c r="A188" s="6" t="s">
        <v>878</v>
      </c>
      <c r="B188" s="55" t="s">
        <v>755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756</v>
      </c>
    </row>
    <row r="189" spans="1:8" hidden="1">
      <c r="A189" s="6" t="s">
        <v>878</v>
      </c>
      <c r="B189" s="55" t="s">
        <v>757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758</v>
      </c>
    </row>
    <row r="190" spans="1:8" hidden="1">
      <c r="A190" s="6" t="s">
        <v>878</v>
      </c>
      <c r="B190" s="55" t="s">
        <v>345</v>
      </c>
      <c r="C190" s="55">
        <f t="shared" si="4"/>
        <v>1</v>
      </c>
      <c r="D190" s="6" t="s">
        <v>312</v>
      </c>
      <c r="E190" s="6"/>
      <c r="F190" s="6">
        <v>1</v>
      </c>
      <c r="G190" s="6">
        <v>4</v>
      </c>
      <c r="H190" s="6" t="s">
        <v>759</v>
      </c>
    </row>
    <row r="191" spans="1:8" hidden="1">
      <c r="A191" s="6" t="s">
        <v>878</v>
      </c>
      <c r="B191" s="55" t="s">
        <v>760</v>
      </c>
      <c r="C191" s="55">
        <f t="shared" si="4"/>
        <v>1</v>
      </c>
      <c r="D191" s="6" t="s">
        <v>336</v>
      </c>
      <c r="E191" s="6"/>
      <c r="F191" s="6">
        <v>1</v>
      </c>
      <c r="G191" s="6">
        <v>4</v>
      </c>
      <c r="H191" s="6" t="s">
        <v>761</v>
      </c>
    </row>
    <row r="192" spans="1:8" hidden="1">
      <c r="A192" s="6" t="s">
        <v>878</v>
      </c>
      <c r="B192" s="55" t="s">
        <v>762</v>
      </c>
      <c r="C192" s="55">
        <f t="shared" si="4"/>
        <v>1</v>
      </c>
      <c r="D192" s="6" t="s">
        <v>590</v>
      </c>
      <c r="E192" s="6"/>
      <c r="F192" s="6">
        <v>1</v>
      </c>
      <c r="G192" s="6">
        <v>7</v>
      </c>
      <c r="H192" s="6" t="s">
        <v>763</v>
      </c>
    </row>
    <row r="193" spans="1:8" hidden="1">
      <c r="A193" s="6" t="s">
        <v>878</v>
      </c>
      <c r="B193" s="55" t="s">
        <v>764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765</v>
      </c>
    </row>
    <row r="194" spans="1:8" hidden="1">
      <c r="A194" s="6" t="s">
        <v>767</v>
      </c>
      <c r="B194" s="55" t="s">
        <v>766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768</v>
      </c>
    </row>
    <row r="195" spans="1:8" hidden="1">
      <c r="A195" s="6" t="s">
        <v>282</v>
      </c>
      <c r="B195" s="55" t="s">
        <v>769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770</v>
      </c>
    </row>
    <row r="196" spans="1:8" hidden="1">
      <c r="A196" s="6" t="s">
        <v>361</v>
      </c>
      <c r="B196" s="55" t="s">
        <v>771</v>
      </c>
      <c r="C196" s="55">
        <f t="shared" si="5"/>
        <v>1</v>
      </c>
      <c r="D196" s="6" t="s">
        <v>499</v>
      </c>
      <c r="E196" s="6"/>
      <c r="F196" s="6">
        <v>3</v>
      </c>
      <c r="G196" s="6">
        <v>10</v>
      </c>
      <c r="H196" s="6" t="s">
        <v>772</v>
      </c>
    </row>
    <row r="197" spans="1:8" hidden="1">
      <c r="A197" s="6" t="s">
        <v>356</v>
      </c>
      <c r="B197" s="55" t="s">
        <v>773</v>
      </c>
      <c r="C197" s="55">
        <f t="shared" si="5"/>
        <v>1</v>
      </c>
      <c r="D197" s="6" t="s">
        <v>499</v>
      </c>
      <c r="E197" s="6"/>
      <c r="F197" s="6">
        <v>3</v>
      </c>
      <c r="G197" s="6">
        <v>10</v>
      </c>
      <c r="H197" s="6" t="s">
        <v>774</v>
      </c>
    </row>
    <row r="198" spans="1:8" hidden="1">
      <c r="A198" s="6" t="s">
        <v>879</v>
      </c>
      <c r="B198" s="55" t="s">
        <v>775</v>
      </c>
      <c r="C198" s="55">
        <f t="shared" si="5"/>
        <v>1</v>
      </c>
      <c r="D198" s="6" t="s">
        <v>499</v>
      </c>
      <c r="E198" s="6"/>
      <c r="F198" s="6">
        <v>3</v>
      </c>
      <c r="G198" s="6">
        <v>11</v>
      </c>
      <c r="H198" s="6" t="s">
        <v>776</v>
      </c>
    </row>
    <row r="199" spans="1:8" hidden="1">
      <c r="A199" s="6" t="s">
        <v>150</v>
      </c>
      <c r="B199" s="55" t="s">
        <v>777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778</v>
      </c>
    </row>
    <row r="200" spans="1:8">
      <c r="A200" s="6" t="s">
        <v>404</v>
      </c>
      <c r="B200" s="55" t="s">
        <v>779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780</v>
      </c>
    </row>
    <row r="201" spans="1:8" hidden="1">
      <c r="A201" s="6" t="s">
        <v>880</v>
      </c>
      <c r="B201" s="55" t="s">
        <v>781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782</v>
      </c>
    </row>
    <row r="202" spans="1:8" hidden="1">
      <c r="A202" s="6" t="s">
        <v>498</v>
      </c>
      <c r="B202" s="55" t="s">
        <v>783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784</v>
      </c>
    </row>
    <row r="203" spans="1:8" hidden="1">
      <c r="A203" s="6" t="s">
        <v>84</v>
      </c>
      <c r="B203" s="55" t="s">
        <v>785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786</v>
      </c>
    </row>
    <row r="204" spans="1:8" hidden="1">
      <c r="A204" s="6" t="s">
        <v>255</v>
      </c>
      <c r="B204" s="55" t="s">
        <v>787</v>
      </c>
      <c r="C204" s="55">
        <f t="shared" si="5"/>
        <v>1</v>
      </c>
      <c r="D204" s="6" t="s">
        <v>499</v>
      </c>
      <c r="E204" s="6"/>
      <c r="F204" s="6">
        <v>3</v>
      </c>
      <c r="G204" s="6">
        <v>10</v>
      </c>
      <c r="H204" s="6" t="s">
        <v>788</v>
      </c>
    </row>
    <row r="205" spans="1:8" hidden="1">
      <c r="A205" s="6" t="s">
        <v>356</v>
      </c>
      <c r="B205" s="55" t="s">
        <v>789</v>
      </c>
      <c r="C205" s="55">
        <f t="shared" si="5"/>
        <v>1</v>
      </c>
      <c r="D205" s="6" t="s">
        <v>499</v>
      </c>
      <c r="E205" s="6"/>
      <c r="F205" s="6">
        <v>3</v>
      </c>
      <c r="G205" s="6">
        <v>10</v>
      </c>
      <c r="H205" s="6" t="s">
        <v>774</v>
      </c>
    </row>
    <row r="206" spans="1:8" hidden="1">
      <c r="A206" s="6" t="s">
        <v>497</v>
      </c>
      <c r="B206" s="55" t="s">
        <v>790</v>
      </c>
      <c r="C206" s="55">
        <f t="shared" si="5"/>
        <v>1</v>
      </c>
      <c r="D206" s="6" t="s">
        <v>499</v>
      </c>
      <c r="E206" s="6"/>
      <c r="F206" s="6">
        <v>3</v>
      </c>
      <c r="G206" s="6">
        <v>11</v>
      </c>
      <c r="H206" s="6" t="s">
        <v>791</v>
      </c>
    </row>
    <row r="207" spans="1:8" hidden="1">
      <c r="A207" s="6" t="s">
        <v>197</v>
      </c>
      <c r="B207" s="55" t="s">
        <v>491</v>
      </c>
      <c r="C207" s="55">
        <f t="shared" si="5"/>
        <v>1</v>
      </c>
      <c r="D207" s="6" t="s">
        <v>499</v>
      </c>
      <c r="E207" s="6"/>
      <c r="F207" s="6">
        <v>3</v>
      </c>
      <c r="G207" s="6">
        <v>11</v>
      </c>
      <c r="H207" s="6" t="s">
        <v>792</v>
      </c>
    </row>
    <row r="208" spans="1:8">
      <c r="A208" s="6" t="s">
        <v>441</v>
      </c>
      <c r="B208" s="55" t="s">
        <v>793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794</v>
      </c>
    </row>
    <row r="209" spans="1:8" hidden="1">
      <c r="A209" s="6" t="s">
        <v>880</v>
      </c>
      <c r="B209" s="55" t="s">
        <v>795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796</v>
      </c>
    </row>
    <row r="210" spans="1:8" hidden="1">
      <c r="A210" s="6" t="s">
        <v>798</v>
      </c>
      <c r="B210" s="55" t="s">
        <v>797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799</v>
      </c>
    </row>
    <row r="211" spans="1:8" hidden="1">
      <c r="A211" s="6" t="s">
        <v>282</v>
      </c>
      <c r="B211" s="55" t="s">
        <v>800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801</v>
      </c>
    </row>
    <row r="212" spans="1:8" hidden="1">
      <c r="A212" s="6" t="s">
        <v>881</v>
      </c>
      <c r="B212" s="55" t="s">
        <v>802</v>
      </c>
      <c r="C212" s="55">
        <f t="shared" si="5"/>
        <v>1</v>
      </c>
      <c r="D212" s="6" t="s">
        <v>499</v>
      </c>
      <c r="E212" s="6"/>
      <c r="F212" s="6">
        <v>3</v>
      </c>
      <c r="G212" s="6">
        <v>10</v>
      </c>
      <c r="H212" s="6" t="s">
        <v>803</v>
      </c>
    </row>
    <row r="213" spans="1:8" hidden="1">
      <c r="A213" s="6" t="s">
        <v>882</v>
      </c>
      <c r="B213" s="55" t="s">
        <v>804</v>
      </c>
      <c r="C213" s="55">
        <f t="shared" si="5"/>
        <v>1</v>
      </c>
      <c r="D213" s="6" t="s">
        <v>883</v>
      </c>
      <c r="E213" s="6"/>
      <c r="F213" s="6">
        <v>2</v>
      </c>
      <c r="G213" s="6">
        <v>10</v>
      </c>
      <c r="H213" s="6" t="s">
        <v>805</v>
      </c>
    </row>
    <row r="214" spans="1:8" hidden="1">
      <c r="A214" s="6" t="s">
        <v>884</v>
      </c>
      <c r="B214" s="55" t="s">
        <v>806</v>
      </c>
      <c r="C214" s="55">
        <f t="shared" si="5"/>
        <v>1</v>
      </c>
      <c r="D214" s="6" t="s">
        <v>499</v>
      </c>
      <c r="E214" s="6"/>
      <c r="F214" s="6">
        <v>3</v>
      </c>
      <c r="G214" s="6">
        <v>5</v>
      </c>
      <c r="H214" s="6" t="s">
        <v>807</v>
      </c>
    </row>
    <row r="215" spans="1:8" hidden="1">
      <c r="A215" s="6" t="s">
        <v>150</v>
      </c>
      <c r="B215" s="55" t="s">
        <v>808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809</v>
      </c>
    </row>
    <row r="216" spans="1:8">
      <c r="A216" s="6" t="s">
        <v>445</v>
      </c>
      <c r="B216" s="55" t="s">
        <v>810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811</v>
      </c>
    </row>
    <row r="217" spans="1:8" hidden="1">
      <c r="A217" s="6" t="s">
        <v>880</v>
      </c>
      <c r="B217" s="55" t="s">
        <v>812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813</v>
      </c>
    </row>
    <row r="218" spans="1:8" hidden="1">
      <c r="A218" s="6" t="s">
        <v>815</v>
      </c>
      <c r="B218" s="55" t="s">
        <v>814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816</v>
      </c>
    </row>
    <row r="219" spans="1:8" hidden="1">
      <c r="A219" s="6" t="s">
        <v>84</v>
      </c>
      <c r="B219" s="55" t="s">
        <v>817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786</v>
      </c>
    </row>
    <row r="220" spans="1:8" hidden="1">
      <c r="A220" s="6" t="s">
        <v>885</v>
      </c>
      <c r="B220" s="55" t="s">
        <v>818</v>
      </c>
      <c r="C220" s="55">
        <f t="shared" si="5"/>
        <v>1</v>
      </c>
      <c r="D220" s="6" t="s">
        <v>499</v>
      </c>
      <c r="E220" s="6"/>
      <c r="F220" s="6">
        <v>3</v>
      </c>
      <c r="G220" s="6">
        <v>10</v>
      </c>
      <c r="H220" s="6" t="s">
        <v>819</v>
      </c>
    </row>
    <row r="221" spans="1:8" hidden="1">
      <c r="A221" s="6" t="s">
        <v>886</v>
      </c>
      <c r="B221" s="55" t="s">
        <v>301</v>
      </c>
      <c r="C221" s="55">
        <f t="shared" si="5"/>
        <v>1</v>
      </c>
      <c r="D221" s="6" t="s">
        <v>883</v>
      </c>
      <c r="E221" s="6"/>
      <c r="F221" s="6">
        <v>2</v>
      </c>
      <c r="G221" s="6">
        <v>10</v>
      </c>
      <c r="H221" s="6" t="s">
        <v>820</v>
      </c>
    </row>
    <row r="222" spans="1:8" hidden="1">
      <c r="A222" s="6" t="s">
        <v>790</v>
      </c>
      <c r="B222" s="55" t="s">
        <v>821</v>
      </c>
      <c r="C222" s="55">
        <f t="shared" si="5"/>
        <v>1</v>
      </c>
      <c r="D222" s="6" t="s">
        <v>499</v>
      </c>
      <c r="E222" s="6"/>
      <c r="F222" s="6">
        <v>3</v>
      </c>
      <c r="G222" s="6">
        <v>5</v>
      </c>
      <c r="H222" s="6" t="s">
        <v>822</v>
      </c>
    </row>
    <row r="223" spans="1:8" hidden="1">
      <c r="A223" s="6" t="s">
        <v>197</v>
      </c>
      <c r="B223" s="55" t="s">
        <v>823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792</v>
      </c>
    </row>
    <row r="224" spans="1:8">
      <c r="A224" s="6" t="s">
        <v>459</v>
      </c>
      <c r="B224" s="55" t="s">
        <v>824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825</v>
      </c>
    </row>
    <row r="225" spans="1:8" hidden="1">
      <c r="A225" s="6" t="s">
        <v>880</v>
      </c>
      <c r="B225" s="55" t="s">
        <v>826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827</v>
      </c>
    </row>
    <row r="226" spans="1:8" hidden="1">
      <c r="A226" s="6" t="s">
        <v>829</v>
      </c>
      <c r="B226" s="55" t="s">
        <v>828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830</v>
      </c>
    </row>
    <row r="227" spans="1:8" hidden="1">
      <c r="A227" s="6" t="s">
        <v>282</v>
      </c>
      <c r="B227" s="55" t="s">
        <v>831</v>
      </c>
      <c r="C227" s="55">
        <f t="shared" si="5"/>
        <v>1</v>
      </c>
      <c r="D227" s="6" t="s">
        <v>312</v>
      </c>
      <c r="E227" s="6"/>
      <c r="F227" s="6">
        <v>1</v>
      </c>
      <c r="G227" s="6">
        <v>10</v>
      </c>
      <c r="H227" s="6" t="s">
        <v>832</v>
      </c>
    </row>
    <row r="228" spans="1:8" hidden="1">
      <c r="A228" s="6" t="s">
        <v>376</v>
      </c>
      <c r="B228" s="55" t="s">
        <v>833</v>
      </c>
      <c r="C228" s="55">
        <f t="shared" si="5"/>
        <v>1</v>
      </c>
      <c r="D228" s="6" t="s">
        <v>499</v>
      </c>
      <c r="E228" s="6"/>
      <c r="F228" s="6">
        <v>3</v>
      </c>
      <c r="G228" s="6">
        <v>10</v>
      </c>
      <c r="H228" s="6" t="s">
        <v>834</v>
      </c>
    </row>
    <row r="229" spans="1:8" hidden="1">
      <c r="A229" s="6" t="s">
        <v>98</v>
      </c>
      <c r="B229" s="55" t="s">
        <v>835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 hidden="1">
      <c r="A230" s="6" t="s">
        <v>887</v>
      </c>
      <c r="B230" s="55" t="s">
        <v>836</v>
      </c>
      <c r="C230" s="55">
        <f t="shared" si="5"/>
        <v>1</v>
      </c>
      <c r="D230" s="6" t="s">
        <v>499</v>
      </c>
      <c r="E230" s="6"/>
      <c r="F230" s="6">
        <v>3</v>
      </c>
      <c r="G230" s="6">
        <v>5</v>
      </c>
      <c r="H230" s="6" t="s">
        <v>837</v>
      </c>
    </row>
    <row r="231" spans="1:8" hidden="1">
      <c r="A231" s="6" t="s">
        <v>150</v>
      </c>
      <c r="B231" s="55" t="s">
        <v>838</v>
      </c>
      <c r="C231" s="55">
        <f t="shared" si="5"/>
        <v>1</v>
      </c>
      <c r="D231" s="6" t="s">
        <v>312</v>
      </c>
      <c r="E231" s="6"/>
      <c r="F231" s="6">
        <v>1</v>
      </c>
      <c r="G231" s="6">
        <v>11</v>
      </c>
      <c r="H231" s="6" t="s">
        <v>839</v>
      </c>
    </row>
    <row r="232" spans="1:8">
      <c r="A232" s="6" t="s">
        <v>154</v>
      </c>
      <c r="B232" s="55" t="s">
        <v>840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841</v>
      </c>
    </row>
    <row r="233" spans="1:8" hidden="1">
      <c r="A233" s="6" t="s">
        <v>880</v>
      </c>
      <c r="B233" s="55" t="s">
        <v>842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843</v>
      </c>
    </row>
    <row r="234" spans="1:8" hidden="1">
      <c r="A234" s="6" t="s">
        <v>845</v>
      </c>
      <c r="B234" s="55" t="s">
        <v>844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846</v>
      </c>
    </row>
    <row r="235" spans="1:8" hidden="1">
      <c r="A235" s="6" t="s">
        <v>88</v>
      </c>
      <c r="B235" s="55" t="s">
        <v>847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848</v>
      </c>
    </row>
    <row r="236" spans="1:8" hidden="1">
      <c r="A236" s="6" t="s">
        <v>374</v>
      </c>
      <c r="B236" s="55" t="s">
        <v>849</v>
      </c>
      <c r="C236" s="55">
        <f t="shared" si="5"/>
        <v>1</v>
      </c>
      <c r="D236" s="6" t="s">
        <v>499</v>
      </c>
      <c r="E236" s="6"/>
      <c r="F236" s="6">
        <v>3</v>
      </c>
      <c r="G236" s="6">
        <v>10</v>
      </c>
      <c r="H236" s="6" t="s">
        <v>850</v>
      </c>
    </row>
    <row r="237" spans="1:8" hidden="1">
      <c r="A237" s="6" t="s">
        <v>22</v>
      </c>
      <c r="B237" s="55" t="s">
        <v>851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852</v>
      </c>
    </row>
    <row r="238" spans="1:8" hidden="1">
      <c r="A238" s="6" t="s">
        <v>888</v>
      </c>
      <c r="B238" s="55" t="s">
        <v>853</v>
      </c>
      <c r="C238" s="55">
        <f t="shared" si="5"/>
        <v>1</v>
      </c>
      <c r="D238" s="6" t="s">
        <v>499</v>
      </c>
      <c r="E238" s="6"/>
      <c r="F238" s="6">
        <v>3</v>
      </c>
      <c r="G238" s="6">
        <v>5</v>
      </c>
      <c r="H238" s="6" t="s">
        <v>854</v>
      </c>
    </row>
    <row r="239" spans="1:8" hidden="1">
      <c r="A239" s="6" t="s">
        <v>197</v>
      </c>
      <c r="B239" s="55" t="s">
        <v>855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792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856</v>
      </c>
    </row>
    <row r="241" spans="1:8" hidden="1">
      <c r="A241" s="6" t="s">
        <v>880</v>
      </c>
      <c r="B241" s="55" t="s">
        <v>857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858</v>
      </c>
    </row>
    <row r="242" spans="1:8" hidden="1">
      <c r="A242" s="6" t="s">
        <v>859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860</v>
      </c>
    </row>
    <row r="243" spans="1:8" hidden="1">
      <c r="A243" s="6" t="s">
        <v>282</v>
      </c>
      <c r="B243" s="55" t="s">
        <v>861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862</v>
      </c>
    </row>
    <row r="244" spans="1:8" hidden="1">
      <c r="A244" s="6" t="s">
        <v>368</v>
      </c>
      <c r="B244" s="55" t="s">
        <v>863</v>
      </c>
      <c r="C244" s="55">
        <f t="shared" si="5"/>
        <v>1</v>
      </c>
      <c r="D244" s="6" t="s">
        <v>499</v>
      </c>
      <c r="E244" s="6"/>
      <c r="F244" s="6">
        <v>3</v>
      </c>
      <c r="G244" s="6">
        <v>10</v>
      </c>
      <c r="H244" s="6" t="s">
        <v>864</v>
      </c>
    </row>
    <row r="245" spans="1:8" hidden="1">
      <c r="A245" s="6" t="s">
        <v>866</v>
      </c>
      <c r="B245" s="55" t="s">
        <v>865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867</v>
      </c>
    </row>
    <row r="246" spans="1:8" hidden="1">
      <c r="A246" s="6" t="s">
        <v>889</v>
      </c>
      <c r="B246" s="55" t="s">
        <v>868</v>
      </c>
      <c r="C246" s="55">
        <f t="shared" si="5"/>
        <v>1</v>
      </c>
      <c r="D246" s="6" t="s">
        <v>499</v>
      </c>
      <c r="E246" s="6"/>
      <c r="F246" s="6">
        <v>3</v>
      </c>
      <c r="G246" s="6">
        <v>5</v>
      </c>
      <c r="H246" s="6" t="s">
        <v>869</v>
      </c>
    </row>
    <row r="247" spans="1:8" hidden="1">
      <c r="A247" s="6" t="s">
        <v>150</v>
      </c>
      <c r="B247" s="55" t="s">
        <v>870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871</v>
      </c>
    </row>
  </sheetData>
  <autoFilter ref="A1:H247" xr:uid="{E98BA271-5408-4066-89C1-21113520246E}">
    <filterColumn colId="3">
      <filters>
        <filter val="Byt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15" activePane="bottomRight" state="frozen"/>
      <selection activeCell="B1" sqref="B1"/>
      <selection pane="topRight" activeCell="E1" sqref="E1"/>
      <selection pane="bottomLeft" activeCell="B3" sqref="B3"/>
      <selection pane="bottomRight" activeCell="F42" sqref="F42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435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976</v>
      </c>
      <c r="F40" s="61">
        <v>425</v>
      </c>
    </row>
    <row r="41" spans="1:6">
      <c r="A41" s="3" t="s">
        <v>66</v>
      </c>
      <c r="B41" s="4" t="s">
        <v>67</v>
      </c>
      <c r="E41" s="60" t="s">
        <v>991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434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421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422</v>
      </c>
      <c r="Q4" s="110" t="s">
        <v>423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424</v>
      </c>
      <c r="Q5" s="110" t="s">
        <v>425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426</v>
      </c>
      <c r="Q6" s="110" t="s">
        <v>427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428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426</v>
      </c>
      <c r="Q8" s="110" t="s">
        <v>427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429</v>
      </c>
      <c r="Q9" s="110" t="s">
        <v>430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426</v>
      </c>
      <c r="Q10" s="110" t="s">
        <v>431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432</v>
      </c>
      <c r="Q11" s="110" t="s">
        <v>433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2026-02-23T21:59:27Z</dcterms:modified>
</cp:coreProperties>
</file>